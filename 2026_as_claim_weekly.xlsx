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-120" yWindow="-120" windowWidth="29040" windowHeight="15840" tabRatio="924"/>
  </bookViews>
  <sheets>
    <sheet name="스케줄(2026)" sheetId="57" r:id="rId1"/>
    <sheet name="사전품의내역" sheetId="2" r:id="rId2"/>
    <sheet name="발주양식" sheetId="4" r:id="rId3"/>
    <sheet name="사전품의양식 (7주)" sheetId="122" r:id="rId4"/>
    <sheet name="사전품의양식 (6주)" sheetId="121" r:id="rId5"/>
    <sheet name="사전품의양식 (5주)" sheetId="120" r:id="rId6"/>
    <sheet name="사전품의양식 (4주)" sheetId="118" r:id="rId7"/>
    <sheet name="사전품의양식 (3주)" sheetId="117" r:id="rId8"/>
    <sheet name="사전품의양식 (2주)" sheetId="116" r:id="rId9"/>
    <sheet name="사전품의양식 (1주)" sheetId="115" r:id="rId10"/>
    <sheet name="사전품의양식 (53주)" sheetId="114" r:id="rId11"/>
    <sheet name="사전품의양식" sheetId="3" r:id="rId12"/>
  </sheets>
  <definedNames>
    <definedName name="_xlnm._FilterDatabase" localSheetId="2" hidden="1">발주양식!$A$349:$L$357</definedName>
    <definedName name="_xlnm._FilterDatabase" localSheetId="1" hidden="1">사전품의내역!$A$1:$S$1188</definedName>
    <definedName name="DDD" localSheetId="9">#REF!</definedName>
    <definedName name="DDD" localSheetId="8">#REF!</definedName>
    <definedName name="DDD" localSheetId="7">#REF!</definedName>
    <definedName name="DDD" localSheetId="6">#REF!</definedName>
    <definedName name="DDD" localSheetId="10">#REF!</definedName>
    <definedName name="DDD" localSheetId="5">#REF!</definedName>
    <definedName name="DDD" localSheetId="4">#REF!</definedName>
    <definedName name="DDD" localSheetId="3">#REF!</definedName>
    <definedName name="DDD">#REF!</definedName>
    <definedName name="DF" localSheetId="9">#REF!</definedName>
    <definedName name="DF" localSheetId="8">#REF!</definedName>
    <definedName name="DF" localSheetId="7">#REF!</definedName>
    <definedName name="DF" localSheetId="6">#REF!</definedName>
    <definedName name="DF" localSheetId="10">#REF!</definedName>
    <definedName name="DF" localSheetId="5">#REF!</definedName>
    <definedName name="DF" localSheetId="4">#REF!</definedName>
    <definedName name="DF" localSheetId="3">#REF!</definedName>
    <definedName name="DF">#REF!</definedName>
    <definedName name="DFSFSFSFSF" localSheetId="9">#REF!</definedName>
    <definedName name="DFSFSFSFSF" localSheetId="8">#REF!</definedName>
    <definedName name="DFSFSFSFSF" localSheetId="7">#REF!</definedName>
    <definedName name="DFSFSFSFSF" localSheetId="6">#REF!</definedName>
    <definedName name="DFSFSFSFSF" localSheetId="10">#REF!</definedName>
    <definedName name="DFSFSFSFSF" localSheetId="5">#REF!</definedName>
    <definedName name="DFSFSFSFSF" localSheetId="4">#REF!</definedName>
    <definedName name="DFSFSFSFSF" localSheetId="3">#REF!</definedName>
    <definedName name="DFSFSFSFSF">#REF!</definedName>
    <definedName name="_xlnm.Print_Area" localSheetId="2">발주양식!$A$278:$N$284</definedName>
    <definedName name="_xlnm.Print_Area" localSheetId="1">사전품의내역!$A$531:$N$553</definedName>
    <definedName name="_xlnm.Print_Area" localSheetId="11">사전품의양식!$A$2:$M$44</definedName>
    <definedName name="_xlnm.Print_Area" localSheetId="9">'사전품의양식 (1주)'!$A$1:$M$46</definedName>
    <definedName name="_xlnm.Print_Area" localSheetId="8">'사전품의양식 (2주)'!$A$1:$M$52</definedName>
    <definedName name="_xlnm.Print_Area" localSheetId="7">'사전품의양식 (3주)'!$A$1:$M$48</definedName>
    <definedName name="_xlnm.Print_Area" localSheetId="6">'사전품의양식 (4주)'!$A$1:$M$44</definedName>
    <definedName name="_xlnm.Print_Area" localSheetId="10">'사전품의양식 (53주)'!$A$1:$M$53</definedName>
    <definedName name="_xlnm.Print_Area" localSheetId="5">'사전품의양식 (5주)'!$A$1:$M$45</definedName>
    <definedName name="_xlnm.Print_Area" localSheetId="4">'사전품의양식 (6주)'!$A$1:$M$42</definedName>
    <definedName name="_xlnm.Print_Area" localSheetId="3">'사전품의양식 (7주)'!$A$1:$M$42</definedName>
    <definedName name="_xlnm.Print_Area" localSheetId="0">'스케줄(2026)'!#REF!</definedName>
    <definedName name="납품" localSheetId="9">#REF!</definedName>
    <definedName name="납품" localSheetId="8">#REF!</definedName>
    <definedName name="납품" localSheetId="7">#REF!</definedName>
    <definedName name="납품" localSheetId="6">#REF!</definedName>
    <definedName name="납품" localSheetId="10">#REF!</definedName>
    <definedName name="납품" localSheetId="5">#REF!</definedName>
    <definedName name="납품" localSheetId="4">#REF!</definedName>
    <definedName name="납품" localSheetId="3">#REF!</definedName>
    <definedName name="납품">#REF!</definedName>
    <definedName name="유무상" localSheetId="9">#REF!</definedName>
    <definedName name="유무상" localSheetId="8">#REF!</definedName>
    <definedName name="유무상" localSheetId="7">#REF!</definedName>
    <definedName name="유무상" localSheetId="6">#REF!</definedName>
    <definedName name="유무상" localSheetId="10">#REF!</definedName>
    <definedName name="유무상" localSheetId="5">#REF!</definedName>
    <definedName name="유무상" localSheetId="4">#REF!</definedName>
    <definedName name="유무상" localSheetId="3">#REF!</definedName>
    <definedName name="유무상">#REF!</definedName>
    <definedName name="인도구분" localSheetId="9">#REF!</definedName>
    <definedName name="인도구분" localSheetId="8">#REF!</definedName>
    <definedName name="인도구분" localSheetId="7">#REF!</definedName>
    <definedName name="인도구분" localSheetId="6">#REF!</definedName>
    <definedName name="인도구분" localSheetId="10">#REF!</definedName>
    <definedName name="인도구분" localSheetId="5">#REF!</definedName>
    <definedName name="인도구분" localSheetId="4">#REF!</definedName>
    <definedName name="인도구분" localSheetId="3">#REF!</definedName>
    <definedName name="인도구분">#REF!</definedName>
    <definedName name="조선소" localSheetId="9">#REF!</definedName>
    <definedName name="조선소" localSheetId="8">#REF!</definedName>
    <definedName name="조선소" localSheetId="7">#REF!</definedName>
    <definedName name="조선소" localSheetId="6">#REF!</definedName>
    <definedName name="조선소" localSheetId="10">#REF!</definedName>
    <definedName name="조선소" localSheetId="5">#REF!</definedName>
    <definedName name="조선소" localSheetId="4">#REF!</definedName>
    <definedName name="조선소" localSheetId="3">#REF!</definedName>
    <definedName name="조선소">#REF!</definedName>
    <definedName name="차량" localSheetId="9">#REF!</definedName>
    <definedName name="차량" localSheetId="8">#REF!</definedName>
    <definedName name="차량" localSheetId="7">#REF!</definedName>
    <definedName name="차량" localSheetId="6">#REF!</definedName>
    <definedName name="차량" localSheetId="10">#REF!</definedName>
    <definedName name="차량" localSheetId="5">#REF!</definedName>
    <definedName name="차량" localSheetId="4">#REF!</definedName>
    <definedName name="차량" localSheetId="3">#REF!</definedName>
    <definedName name="차량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22" l="1"/>
  <c r="L9" i="122"/>
  <c r="L18" i="122" s="1"/>
  <c r="S8" i="122"/>
  <c r="R8" i="122"/>
  <c r="Q8" i="122"/>
  <c r="T7" i="122"/>
  <c r="T6" i="122"/>
  <c r="T8" i="122" l="1"/>
  <c r="L17" i="121"/>
  <c r="L9" i="121"/>
  <c r="S8" i="121"/>
  <c r="R8" i="121"/>
  <c r="Q8" i="121"/>
  <c r="T7" i="121"/>
  <c r="T6" i="121"/>
  <c r="L18" i="121" l="1"/>
  <c r="T8" i="121"/>
  <c r="L18" i="120"/>
  <c r="S9" i="120"/>
  <c r="R9" i="120"/>
  <c r="Q9" i="120"/>
  <c r="T8" i="120"/>
  <c r="T7" i="120"/>
  <c r="L10" i="120"/>
  <c r="L19" i="118"/>
  <c r="T9" i="120" l="1"/>
  <c r="L19" i="120"/>
  <c r="S13" i="118" l="1"/>
  <c r="R13" i="118"/>
  <c r="Q13" i="118"/>
  <c r="T12" i="118"/>
  <c r="T11" i="118"/>
  <c r="L10" i="118"/>
  <c r="L20" i="118" s="1"/>
  <c r="T13" i="118" l="1"/>
  <c r="L22" i="117"/>
  <c r="L12" i="116" l="1"/>
  <c r="S14" i="117" l="1"/>
  <c r="R14" i="117"/>
  <c r="Q14" i="117"/>
  <c r="T13" i="117"/>
  <c r="T12" i="117"/>
  <c r="L11" i="117"/>
  <c r="L23" i="117" s="1"/>
  <c r="T14" i="117" l="1"/>
  <c r="L26" i="116"/>
  <c r="S15" i="116"/>
  <c r="R15" i="116"/>
  <c r="T14" i="116"/>
  <c r="T13" i="116"/>
  <c r="Q15" i="116"/>
  <c r="T15" i="116" l="1"/>
  <c r="L27" i="116" l="1"/>
  <c r="M991" i="2" l="1"/>
  <c r="M971" i="2"/>
  <c r="M959" i="2"/>
  <c r="M942" i="2"/>
  <c r="M941" i="2"/>
  <c r="M940" i="2"/>
  <c r="M939" i="2"/>
  <c r="M931" i="2"/>
  <c r="M930" i="2"/>
  <c r="M929" i="2"/>
  <c r="M928" i="2"/>
  <c r="M927" i="2"/>
  <c r="L18" i="115" l="1"/>
  <c r="S10" i="115"/>
  <c r="R10" i="115"/>
  <c r="Q10" i="115"/>
  <c r="T9" i="115"/>
  <c r="L8" i="115"/>
  <c r="T10" i="115" l="1"/>
  <c r="L19" i="115"/>
  <c r="L25" i="114" l="1"/>
  <c r="S14" i="114"/>
  <c r="R14" i="114"/>
  <c r="Q14" i="114"/>
  <c r="T13" i="114"/>
  <c r="T12" i="114"/>
  <c r="T14" i="114" s="1"/>
  <c r="L11" i="114"/>
  <c r="L26" i="114" s="1"/>
  <c r="C15" i="2" l="1"/>
  <c r="M22" i="2"/>
  <c r="M23" i="2"/>
  <c r="M29" i="2"/>
  <c r="O33" i="2"/>
  <c r="M35" i="2"/>
  <c r="M36" i="2"/>
  <c r="M37" i="2"/>
  <c r="M38" i="2"/>
  <c r="M48" i="2"/>
  <c r="M55" i="2"/>
  <c r="M56" i="2"/>
  <c r="M57" i="2"/>
  <c r="M58" i="2"/>
  <c r="M66" i="2"/>
  <c r="M84" i="2"/>
  <c r="M85" i="2"/>
  <c r="M87" i="2"/>
  <c r="M88" i="2"/>
  <c r="C96" i="2"/>
  <c r="M117" i="2"/>
  <c r="M121" i="2"/>
  <c r="M135" i="2"/>
  <c r="M136" i="2"/>
  <c r="M137" i="2"/>
  <c r="M138" i="2"/>
  <c r="M139" i="2"/>
  <c r="M140" i="2"/>
  <c r="M141" i="2"/>
  <c r="M142" i="2"/>
  <c r="M145" i="2"/>
  <c r="M147" i="2"/>
  <c r="M148" i="2"/>
  <c r="M149" i="2"/>
  <c r="M153" i="2"/>
  <c r="M154" i="2"/>
  <c r="M155" i="2"/>
  <c r="M156" i="2"/>
  <c r="M157" i="2"/>
  <c r="M158" i="2"/>
  <c r="M159" i="2"/>
  <c r="M160" i="2"/>
  <c r="M161" i="2"/>
  <c r="M162" i="2"/>
  <c r="M164" i="2"/>
  <c r="M165" i="2"/>
  <c r="M167" i="2"/>
  <c r="M168" i="2"/>
  <c r="M169" i="2"/>
  <c r="M170" i="2"/>
  <c r="M172" i="2"/>
  <c r="M173" i="2"/>
  <c r="M176" i="2"/>
  <c r="M177" i="2"/>
  <c r="M178" i="2"/>
  <c r="M179" i="2"/>
  <c r="M181" i="2"/>
  <c r="M185" i="2"/>
  <c r="M186" i="2"/>
  <c r="M187" i="2"/>
  <c r="M188" i="2"/>
  <c r="M202" i="2"/>
  <c r="M203" i="2"/>
  <c r="M207" i="2"/>
  <c r="M209" i="2"/>
  <c r="M210" i="2"/>
  <c r="M211" i="2"/>
  <c r="M212" i="2"/>
  <c r="M213" i="2"/>
  <c r="M214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4" i="2"/>
  <c r="M245" i="2"/>
  <c r="M248" i="2"/>
  <c r="M250" i="2"/>
  <c r="M255" i="2"/>
  <c r="M256" i="2"/>
  <c r="M257" i="2"/>
  <c r="M259" i="2"/>
  <c r="M263" i="2"/>
  <c r="M264" i="2"/>
  <c r="M265" i="2"/>
  <c r="M266" i="2"/>
  <c r="M267" i="2"/>
  <c r="M271" i="2"/>
  <c r="M272" i="2"/>
  <c r="M273" i="2"/>
  <c r="M274" i="2"/>
  <c r="M275" i="2"/>
  <c r="M276" i="2"/>
  <c r="M277" i="2"/>
  <c r="M279" i="2"/>
  <c r="M280" i="2"/>
  <c r="M296" i="2"/>
  <c r="M297" i="2"/>
  <c r="M298" i="2"/>
  <c r="M302" i="2"/>
  <c r="M303" i="2"/>
  <c r="M304" i="2"/>
  <c r="M305" i="2"/>
  <c r="M306" i="2"/>
  <c r="M308" i="2"/>
  <c r="M309" i="2"/>
  <c r="M316" i="2"/>
  <c r="M317" i="2"/>
  <c r="M318" i="2"/>
  <c r="M322" i="2"/>
  <c r="M323" i="2"/>
  <c r="M329" i="2"/>
  <c r="M330" i="2"/>
  <c r="M331" i="2"/>
  <c r="M334" i="2"/>
  <c r="M335" i="2"/>
  <c r="M336" i="2"/>
  <c r="M337" i="2"/>
  <c r="M342" i="2"/>
  <c r="M343" i="2"/>
  <c r="M344" i="2"/>
  <c r="C384" i="2"/>
  <c r="M900" i="2"/>
  <c r="L11" i="3" l="1"/>
  <c r="L21" i="3" l="1"/>
  <c r="J479" i="4" l="1"/>
  <c r="J459" i="4"/>
  <c r="J435" i="4"/>
  <c r="J431" i="4"/>
  <c r="L387" i="4" l="1"/>
  <c r="J370" i="4" l="1"/>
  <c r="J361" i="4"/>
  <c r="J357" i="4"/>
  <c r="J330" i="4"/>
  <c r="J321" i="4"/>
  <c r="J314" i="4"/>
  <c r="J305" i="4"/>
  <c r="J275" i="4" l="1"/>
  <c r="J271" i="4" l="1"/>
  <c r="J262" i="4"/>
  <c r="J257" i="4" l="1"/>
  <c r="J250" i="4"/>
  <c r="J244" i="4"/>
  <c r="J236" i="4" l="1"/>
  <c r="J226" i="4"/>
  <c r="J154" i="4" l="1"/>
  <c r="J70" i="4" l="1"/>
  <c r="J137" i="4"/>
  <c r="J203" i="4"/>
  <c r="J214" i="4" l="1"/>
  <c r="J145" i="4"/>
  <c r="J163" i="4" l="1"/>
  <c r="J183" i="4" l="1"/>
  <c r="J193" i="4" l="1"/>
  <c r="J167" i="4" l="1"/>
  <c r="J121" i="4" l="1"/>
  <c r="J112" i="4" l="1"/>
  <c r="J78" i="4" l="1"/>
  <c r="J101" i="4"/>
  <c r="J92" i="4"/>
  <c r="J86" i="4" l="1"/>
  <c r="J64" i="4"/>
  <c r="J42" i="4" l="1"/>
  <c r="J54" i="4"/>
  <c r="J35" i="4" l="1"/>
  <c r="J21" i="4" l="1"/>
  <c r="J48" i="4" l="1"/>
  <c r="J26" i="4"/>
</calcChain>
</file>

<file path=xl/comments1.xml><?xml version="1.0" encoding="utf-8"?>
<comments xmlns="http://schemas.openxmlformats.org/spreadsheetml/2006/main">
  <authors>
    <author>user</author>
  </authors>
  <commentList>
    <comment ref="J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J5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
</t>
        </r>
        <r>
          <rPr>
            <b/>
            <sz val="9"/>
            <color indexed="81"/>
            <rFont val="Tahoma"/>
            <family val="2"/>
          </rPr>
          <t>6556</t>
        </r>
        <r>
          <rPr>
            <b/>
            <sz val="9"/>
            <color indexed="81"/>
            <rFont val="돋움"/>
            <family val="3"/>
            <charset val="129"/>
          </rPr>
          <t xml:space="preserve">
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
권용연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최병경</t>
        </r>
      </text>
    </comment>
    <comment ref="I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이시맥
</t>
        </r>
        <r>
          <rPr>
            <b/>
            <sz val="9"/>
            <color indexed="81"/>
            <rFont val="Tahoma"/>
            <family val="2"/>
          </rPr>
          <t xml:space="preserve">12/31~1/5
</t>
        </r>
        <r>
          <rPr>
            <b/>
            <sz val="9"/>
            <color indexed="81"/>
            <rFont val="돋움"/>
            <family val="3"/>
            <charset val="129"/>
          </rPr>
          <t>박주성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  <r>
          <rPr>
            <b/>
            <sz val="9"/>
            <color indexed="81"/>
            <rFont val="Tahoma"/>
            <family val="2"/>
          </rPr>
          <t>12/30~1/5</t>
        </r>
      </text>
    </comment>
    <comment ref="J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H8" authorId="0" shapeId="0">
      <text>
        <r>
          <rPr>
            <b/>
            <sz val="9"/>
            <color indexed="81"/>
            <rFont val="돋움"/>
            <family val="3"/>
            <charset val="129"/>
          </rPr>
          <t>신한전자 점검인지 해결인지 별도로 확인해야함</t>
        </r>
      </text>
    </comment>
    <comment ref="J8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9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
6556
권용연,최병경
81오0676</t>
        </r>
      </text>
    </comment>
    <comment ref="J1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18" authorId="0" shapeId="0">
      <text>
        <r>
          <rPr>
            <b/>
            <sz val="9"/>
            <color indexed="81"/>
            <rFont val="돋움"/>
            <family val="3"/>
            <charset val="129"/>
          </rPr>
          <t>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입고언제</t>
        </r>
        <r>
          <rPr>
            <b/>
            <sz val="9"/>
            <color indexed="81"/>
            <rFont val="Tahoma"/>
            <family val="2"/>
          </rPr>
          <t>?
PIPE,</t>
        </r>
        <r>
          <rPr>
            <b/>
            <sz val="9"/>
            <color indexed="81"/>
            <rFont val="돋움"/>
            <family val="3"/>
            <charset val="129"/>
          </rPr>
          <t>마그네틱드릴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엔코더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전달드리기</t>
        </r>
      </text>
    </comment>
    <comment ref="J18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24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 xml:space="preserve"> ~5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되어있음</t>
        </r>
      </text>
    </comment>
    <comment ref="J2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25" authorId="0" shapeId="0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J26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오태호</t>
        </r>
      </text>
    </comment>
    <comment ref="H27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 xml:space="preserve"> ~5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되어있음</t>
        </r>
      </text>
    </comment>
    <comment ref="J27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 xml:space="preserve">HHD </t>
        </r>
        <r>
          <rPr>
            <b/>
            <sz val="9"/>
            <color indexed="81"/>
            <rFont val="돋움"/>
            <family val="3"/>
            <charset val="129"/>
          </rPr>
          <t>자체점검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취소됨</t>
        </r>
      </text>
    </comment>
    <comment ref="J30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서</t>
        </r>
        <r>
          <rPr>
            <b/>
            <sz val="9"/>
            <color indexed="81"/>
            <rFont val="Tahoma"/>
            <family val="2"/>
          </rPr>
          <t xml:space="preserve">8378
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</text>
    </comment>
    <comment ref="J34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H36" authorId="0" shapeId="0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37</t>
        </r>
        <r>
          <rPr>
            <b/>
            <sz val="9"/>
            <color indexed="81"/>
            <rFont val="돋움"/>
            <family val="3"/>
            <charset val="129"/>
          </rPr>
          <t>거</t>
        </r>
        <r>
          <rPr>
            <b/>
            <sz val="9"/>
            <color indexed="81"/>
            <rFont val="Tahoma"/>
            <family val="2"/>
          </rPr>
          <t xml:space="preserve">6556 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</text>
    </comment>
    <comment ref="I42" authorId="0" shapeId="0">
      <text>
        <r>
          <rPr>
            <b/>
            <sz val="9"/>
            <color indexed="81"/>
            <rFont val="Tahoma"/>
            <family val="2"/>
          </rPr>
          <t>9080</t>
        </r>
      </text>
    </comment>
    <comment ref="J42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4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김동완</t>
        </r>
        <r>
          <rPr>
            <b/>
            <sz val="9"/>
            <color indexed="81"/>
            <rFont val="Tahoma"/>
            <family val="2"/>
          </rPr>
          <t xml:space="preserve"> 19911202
01084439391
</t>
        </r>
        <r>
          <rPr>
            <b/>
            <sz val="9"/>
            <color indexed="81"/>
            <rFont val="돋움"/>
            <family val="3"/>
            <charset val="129"/>
          </rPr>
          <t>경남거제시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장평로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다인빌딩</t>
        </r>
        <r>
          <rPr>
            <b/>
            <sz val="9"/>
            <color indexed="81"/>
            <rFont val="Tahoma"/>
            <family val="2"/>
          </rPr>
          <t>206</t>
        </r>
        <r>
          <rPr>
            <b/>
            <sz val="9"/>
            <color indexed="81"/>
            <rFont val="돋움"/>
            <family val="3"/>
            <charset val="129"/>
          </rPr>
          <t>호
김기동</t>
        </r>
        <r>
          <rPr>
            <b/>
            <sz val="9"/>
            <color indexed="81"/>
            <rFont val="Tahoma"/>
            <family val="2"/>
          </rPr>
          <t xml:space="preserve"> 
1978.10.27
</t>
        </r>
        <r>
          <rPr>
            <b/>
            <sz val="9"/>
            <color indexed="81"/>
            <rFont val="돋움"/>
            <family val="3"/>
            <charset val="129"/>
          </rPr>
          <t>거제시거제중앙로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돋움"/>
            <family val="3"/>
            <charset val="129"/>
          </rPr>
          <t>길</t>
        </r>
        <r>
          <rPr>
            <b/>
            <sz val="9"/>
            <color indexed="81"/>
            <rFont val="Tahoma"/>
            <family val="2"/>
          </rPr>
          <t>34
010-3735-9725</t>
        </r>
      </text>
    </comment>
    <comment ref="J45" authorId="0" shapeId="0">
      <text>
        <r>
          <rPr>
            <b/>
            <sz val="9"/>
            <color indexed="81"/>
            <rFont val="돋움"/>
            <family val="3"/>
            <charset val="129"/>
          </rPr>
          <t>박재규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</text>
    </comment>
    <comment ref="J4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최병경 이사님 오실예정
권용연전무님 못오실예정
</t>
        </r>
      </text>
    </comment>
    <comment ref="J49" authorId="0" shapeId="0">
      <text>
        <r>
          <rPr>
            <b/>
            <sz val="9"/>
            <color indexed="81"/>
            <rFont val="돋움"/>
            <family val="3"/>
            <charset val="129"/>
          </rPr>
          <t>한상준이사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권용연전무
</t>
        </r>
      </text>
    </comment>
    <comment ref="J52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H54" authorId="0" shapeId="0">
      <text>
        <r>
          <rPr>
            <b/>
            <sz val="9"/>
            <color indexed="81"/>
            <rFont val="돋움"/>
            <family val="3"/>
            <charset val="129"/>
          </rPr>
          <t>센서브라켓</t>
        </r>
        <r>
          <rPr>
            <b/>
            <sz val="9"/>
            <color indexed="81"/>
            <rFont val="Tahoma"/>
            <family val="2"/>
          </rPr>
          <t xml:space="preserve"> 1EA : CNM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55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김현우
</t>
        </r>
      </text>
    </comment>
    <comment ref="J56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57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김현우
</t>
        </r>
      </text>
    </comment>
    <comment ref="J61" authorId="0" shapeId="0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63" authorId="0" shapeId="0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63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64" authorId="0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66" authorId="0" shapeId="0">
      <text>
        <r>
          <rPr>
            <b/>
            <sz val="9"/>
            <color indexed="81"/>
            <rFont val="Tahoma"/>
            <family val="2"/>
          </rPr>
          <t xml:space="preserve">LUG 2EA </t>
        </r>
        <r>
          <rPr>
            <b/>
            <sz val="9"/>
            <color indexed="81"/>
            <rFont val="돋움"/>
            <family val="3"/>
            <charset val="129"/>
          </rPr>
          <t>챙기기</t>
        </r>
      </text>
    </comment>
    <comment ref="J66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67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67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O67" authorId="0" shapeId="0">
      <text>
        <r>
          <rPr>
            <b/>
            <sz val="9"/>
            <color indexed="81"/>
            <rFont val="돋움"/>
            <family val="3"/>
            <charset val="129"/>
          </rPr>
          <t>이범수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상사</t>
        </r>
        <r>
          <rPr>
            <b/>
            <sz val="9"/>
            <color indexed="81"/>
            <rFont val="Tahoma"/>
            <family val="2"/>
          </rPr>
          <t xml:space="preserve"> ROVL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</text>
    </comment>
    <comment ref="H70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70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O70" authorId="0" shapeId="0">
      <text>
        <r>
          <rPr>
            <b/>
            <sz val="9"/>
            <color indexed="81"/>
            <rFont val="돋움"/>
            <family val="3"/>
            <charset val="129"/>
          </rPr>
          <t>이범수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상사</t>
        </r>
        <r>
          <rPr>
            <b/>
            <sz val="9"/>
            <color indexed="81"/>
            <rFont val="Tahoma"/>
            <family val="2"/>
          </rPr>
          <t xml:space="preserve"> ROVL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</text>
    </comment>
    <comment ref="O72" authorId="0" shapeId="0">
      <text>
        <r>
          <rPr>
            <b/>
            <sz val="9"/>
            <color indexed="81"/>
            <rFont val="Tahoma"/>
            <family val="2"/>
          </rPr>
          <t xml:space="preserve">RD 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류지환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매니저</t>
        </r>
        <r>
          <rPr>
            <b/>
            <sz val="9"/>
            <color indexed="81"/>
            <rFont val="Tahoma"/>
            <family val="2"/>
          </rPr>
          <t xml:space="preserve"> 010-3502-9825
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서류확인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레포트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E77" authorId="0" shapeId="0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77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J80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81" authorId="0" shapeId="0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O81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site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신청완료</t>
        </r>
      </text>
    </comment>
    <comment ref="J82" authorId="0" shapeId="0">
      <text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
권용연</t>
        </r>
        <r>
          <rPr>
            <b/>
            <sz val="9"/>
            <color indexed="81"/>
            <rFont val="Tahoma"/>
            <family val="2"/>
          </rPr>
          <t xml:space="preserve"> 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0676</t>
        </r>
      </text>
    </comment>
    <comment ref="I86" authorId="0" shapeId="0">
      <text>
        <r>
          <rPr>
            <b/>
            <sz val="9"/>
            <color indexed="81"/>
            <rFont val="돋움"/>
            <family val="3"/>
            <charset val="129"/>
          </rPr>
          <t>인적사항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전달완료</t>
        </r>
      </text>
    </comment>
    <comment ref="H88" authorId="0" shapeId="0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88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9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94" authorId="0" shapeId="0">
      <text>
        <r>
          <rPr>
            <b/>
            <sz val="9"/>
            <color indexed="81"/>
            <rFont val="Tahoma"/>
            <family val="2"/>
          </rPr>
          <t>86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>0160</t>
        </r>
      </text>
    </comment>
    <comment ref="J95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96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
이상기전무님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이상명이사님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전광진부장님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99" authorId="0" shapeId="0">
      <text>
        <r>
          <rPr>
            <b/>
            <sz val="9"/>
            <color indexed="81"/>
            <rFont val="Tahoma"/>
            <family val="2"/>
          </rPr>
          <t>2461</t>
        </r>
        <r>
          <rPr>
            <b/>
            <sz val="9"/>
            <color indexed="81"/>
            <rFont val="돋움"/>
            <family val="3"/>
            <charset val="129"/>
          </rPr>
          <t xml:space="preserve">
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</text>
    </comment>
    <comment ref="J100" authorId="0" shapeId="0">
      <text>
        <r>
          <rPr>
            <b/>
            <sz val="9"/>
            <color indexed="81"/>
            <rFont val="Tahoma"/>
            <family val="2"/>
          </rPr>
          <t>2461</t>
        </r>
        <r>
          <rPr>
            <b/>
            <sz val="9"/>
            <color indexed="81"/>
            <rFont val="돋움"/>
            <family val="3"/>
            <charset val="129"/>
          </rPr>
          <t xml:space="preserve">
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정지훈
정지훈씨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101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이사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서영우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박성용기장님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최병경이사님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02" authorId="0" shapeId="0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04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
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</text>
    </comment>
    <comment ref="J105" authorId="0" shapeId="0">
      <text>
        <r>
          <rPr>
            <b/>
            <sz val="9"/>
            <color indexed="81"/>
            <rFont val="돋움"/>
            <family val="3"/>
            <charset val="129"/>
          </rPr>
          <t>박용웅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07" authorId="0" shapeId="0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09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천상욱반장님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2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113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114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116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118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122" authorId="0" shapeId="0">
      <text>
        <r>
          <rPr>
            <b/>
            <sz val="9"/>
            <color indexed="81"/>
            <rFont val="돋움"/>
            <family val="3"/>
            <charset val="129"/>
          </rPr>
          <t>고무패드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8EA
pulley : 4ea(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)
bearing : 8ea
spacer : 2ea(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TEFLON BUSH : 2/9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제작완료</t>
        </r>
      </text>
    </comment>
    <comment ref="J122" authorId="0" shapeId="0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2" authorId="0" shapeId="0">
      <text>
        <r>
          <rPr>
            <b/>
            <sz val="9"/>
            <color indexed="81"/>
            <rFont val="돋움"/>
            <family val="3"/>
            <charset val="129"/>
          </rPr>
          <t>박주성</t>
        </r>
        <r>
          <rPr>
            <b/>
            <sz val="9"/>
            <color indexed="81"/>
            <rFont val="Tahoma"/>
            <family val="2"/>
          </rPr>
          <t xml:space="preserve"> 9080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0160</t>
        </r>
      </text>
    </comment>
    <comment ref="J134" authorId="0" shapeId="0">
      <text>
        <r>
          <rPr>
            <sz val="9"/>
            <color indexed="81"/>
            <rFont val="돋움"/>
            <family val="3"/>
            <charset val="129"/>
          </rPr>
          <t>최병경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이사님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sz val="9"/>
            <color indexed="81"/>
            <rFont val="돋움"/>
            <family val="3"/>
            <charset val="129"/>
          </rPr>
          <t>권용연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전무님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리프트카 사용 요청 완료
</t>
        </r>
      </text>
    </comment>
    <comment ref="H135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전광진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136" authorId="0" shapeId="0">
      <text>
        <r>
          <rPr>
            <sz val="9"/>
            <color indexed="81"/>
            <rFont val="돋움"/>
            <family val="3"/>
            <charset val="129"/>
          </rPr>
          <t>최병경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이사님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sz val="9"/>
            <color indexed="81"/>
            <rFont val="돋움"/>
            <family val="3"/>
            <charset val="129"/>
          </rPr>
          <t>권용연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전무님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9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한상준
</t>
        </r>
      </text>
    </comment>
    <comment ref="J140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H141" authorId="0" shapeId="0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42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한상준
</t>
        </r>
      </text>
    </comment>
    <comment ref="J143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9" authorId="0" shapeId="0">
      <text>
        <r>
          <rPr>
            <b/>
            <sz val="9"/>
            <color indexed="81"/>
            <rFont val="Tahoma"/>
            <family val="2"/>
          </rPr>
          <t>P169</t>
        </r>
        <r>
          <rPr>
            <b/>
            <sz val="9"/>
            <color indexed="81"/>
            <rFont val="돋움"/>
            <family val="3"/>
            <charset val="129"/>
          </rPr>
          <t>호선은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 14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월초까지</t>
        </r>
        <r>
          <rPr>
            <b/>
            <sz val="9"/>
            <color indexed="81"/>
            <rFont val="Tahoma"/>
            <family val="2"/>
          </rPr>
          <t xml:space="preserve"> J-4Q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정박공사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
24(</t>
        </r>
        <r>
          <rPr>
            <b/>
            <sz val="9"/>
            <color indexed="81"/>
            <rFont val="돋움"/>
            <family val="3"/>
            <charset val="129"/>
          </rPr>
          <t>화</t>
        </r>
        <r>
          <rPr>
            <b/>
            <sz val="9"/>
            <color indexed="81"/>
            <rFont val="Tahoma"/>
            <family val="2"/>
          </rPr>
          <t xml:space="preserve">)~ </t>
        </r>
        <r>
          <rPr>
            <b/>
            <sz val="9"/>
            <color indexed="81"/>
            <rFont val="돋움"/>
            <family val="3"/>
            <charset val="129"/>
          </rPr>
          <t>가능하신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인입식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패드아이</t>
        </r>
        <r>
          <rPr>
            <b/>
            <sz val="9"/>
            <color indexed="81"/>
            <rFont val="Tahoma"/>
            <family val="2"/>
          </rPr>
          <t xml:space="preserve"> STW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빌지센서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잡아주시면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</text>
    </comment>
    <comment ref="E162" authorId="0" shapeId="0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2" authorId="0" shapeId="0">
      <text>
        <r>
          <rPr>
            <b/>
            <sz val="9"/>
            <color indexed="81"/>
            <rFont val="돋움"/>
            <family val="3"/>
            <charset val="129"/>
          </rPr>
          <t>가야에서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항해사님께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알려준다고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유압유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예열기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꺼짐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켜짐</t>
        </r>
        <r>
          <rPr>
            <b/>
            <sz val="9"/>
            <color indexed="81"/>
            <rFont val="Tahoma"/>
            <family val="2"/>
          </rPr>
          <t xml:space="preserve">) : </t>
        </r>
        <r>
          <rPr>
            <b/>
            <sz val="9"/>
            <color indexed="81"/>
            <rFont val="돋움"/>
            <family val="3"/>
            <charset val="129"/>
          </rPr>
          <t>처리완료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항해사님과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통화함</t>
        </r>
        <r>
          <rPr>
            <b/>
            <sz val="9"/>
            <color indexed="81"/>
            <rFont val="Tahoma"/>
            <family val="2"/>
          </rPr>
          <t>12/17)</t>
        </r>
      </text>
    </comment>
    <comment ref="H169" authorId="0" shapeId="0">
      <text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레일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레일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가능한상태인지도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>)
FAT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받았는지</t>
        </r>
        <r>
          <rPr>
            <b/>
            <sz val="9"/>
            <color indexed="81"/>
            <rFont val="Tahoma"/>
            <family val="2"/>
          </rPr>
          <t>?</t>
        </r>
        <r>
          <rPr>
            <b/>
            <sz val="9"/>
            <color indexed="81"/>
            <rFont val="돋움"/>
            <family val="3"/>
            <charset val="129"/>
          </rPr>
          <t>일정도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J169" authorId="0" shapeId="0">
      <text>
        <r>
          <rPr>
            <sz val="9"/>
            <color indexed="81"/>
            <rFont val="돋움"/>
            <family val="3"/>
            <charset val="129"/>
          </rPr>
          <t>김현우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9" authorId="0" shapeId="0">
      <text>
        <r>
          <rPr>
            <b/>
            <sz val="9"/>
            <color indexed="81"/>
            <rFont val="Tahoma"/>
            <family val="2"/>
          </rPr>
          <t xml:space="preserve">P178 </t>
        </r>
        <r>
          <rPr>
            <b/>
            <sz val="9"/>
            <color indexed="81"/>
            <rFont val="돋움"/>
            <family val="3"/>
            <charset val="129"/>
          </rPr>
          <t>미니리프트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상태입니다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가능하실때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일정잡으셔서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설치하시면됩니다
</t>
        </r>
        <r>
          <rPr>
            <b/>
            <sz val="9"/>
            <color indexed="81"/>
            <rFont val="Tahoma"/>
            <family val="2"/>
          </rPr>
          <t xml:space="preserve">STW 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가능합니다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I1001" authorId="0" shapeId="0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결선해체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파운데이션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볼트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크레인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</text>
    </comment>
    <comment ref="G1021" authorId="0" shapeId="0">
      <text>
        <r>
          <rPr>
            <b/>
            <sz val="9"/>
            <color indexed="81"/>
            <rFont val="Tahoma"/>
            <family val="2"/>
          </rPr>
          <t>HGS-1810-MR-SP1</t>
        </r>
      </text>
    </comment>
    <comment ref="K1042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</text>
    </comment>
    <comment ref="I1044" authorId="0" shapeId="0">
      <text>
        <r>
          <rPr>
            <b/>
            <sz val="9"/>
            <color indexed="81"/>
            <rFont val="돋움"/>
            <family val="3"/>
            <charset val="129"/>
          </rPr>
          <t>구매요구서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박부장님이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K104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년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-3</t>
        </r>
        <r>
          <rPr>
            <b/>
            <sz val="9"/>
            <color indexed="81"/>
            <rFont val="돋움"/>
            <family val="3"/>
            <charset val="129"/>
          </rPr>
          <t xml:space="preserve">일
</t>
        </r>
      </text>
    </comment>
    <comment ref="K1046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년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-3</t>
        </r>
        <r>
          <rPr>
            <b/>
            <sz val="9"/>
            <color indexed="81"/>
            <rFont val="돋움"/>
            <family val="3"/>
            <charset val="129"/>
          </rPr>
          <t xml:space="preserve">일
</t>
        </r>
      </text>
    </comment>
    <comment ref="K104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장재민
</t>
        </r>
      </text>
    </comment>
    <comment ref="K1054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K105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</text>
    </comment>
    <comment ref="I1056" authorId="0" shapeId="0">
      <text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(11/12)
</t>
        </r>
      </text>
    </comment>
    <comment ref="K1056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I1058" authorId="0" shapeId="0">
      <text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(11/12)
</t>
        </r>
      </text>
    </comment>
    <comment ref="K1058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K1059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천상욱 : 차량신청하기
</t>
        </r>
      </text>
    </comment>
    <comment ref="K106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K1062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주신다고함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출입신청하기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셀렉트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(8604)</t>
        </r>
      </text>
    </comment>
    <comment ref="K1063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주신다고함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출입신청하기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셀렉트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(8604)</t>
        </r>
      </text>
    </comment>
    <comment ref="K1064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천상욱반장님
강석중,신상훈,고태용(8604)</t>
        </r>
      </text>
    </comment>
    <comment ref="K1065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천상욱반장님
강석중,신상훈,고태용(8604)</t>
        </r>
      </text>
    </comment>
    <comment ref="K1066" authorId="0" shapeId="0">
      <text>
        <r>
          <rPr>
            <b/>
            <sz val="9"/>
            <color indexed="81"/>
            <rFont val="돋움"/>
            <family val="3"/>
            <charset val="129"/>
          </rPr>
          <t>동아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K1067" authorId="0" shapeId="0">
      <text>
        <r>
          <rPr>
            <b/>
            <sz val="9"/>
            <color indexed="81"/>
            <rFont val="돋움"/>
            <family val="3"/>
            <charset val="129"/>
          </rPr>
          <t>동아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K1068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</text>
    </comment>
    <comment ref="K107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HIO-오태호반장님
출입신청하기
동아-최재호씨(2461):출입신청하기
</t>
        </r>
      </text>
    </comment>
    <comment ref="K1071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HIO-오태호반장님
출입신청하기
동아-최재호씨(2461):출입신청하기
</t>
        </r>
      </text>
    </comment>
    <comment ref="K1075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김민호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김진수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출입신청함
동아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김용훈차장님
</t>
        </r>
      </text>
    </comment>
    <comment ref="K1076" authorId="0" shapeId="0">
      <text>
        <r>
          <rPr>
            <b/>
            <sz val="9"/>
            <color indexed="81"/>
            <rFont val="돋움"/>
            <family val="3"/>
            <charset val="129"/>
          </rPr>
          <t>정주석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</t>
        </r>
      </text>
    </comment>
    <comment ref="K1079" authorId="0" shapeId="0">
      <text>
        <r>
          <rPr>
            <b/>
            <sz val="9"/>
            <color indexed="81"/>
            <rFont val="돋움"/>
            <family val="3"/>
            <charset val="129"/>
          </rPr>
          <t>정주석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</t>
        </r>
      </text>
    </comment>
    <comment ref="K1083" authorId="0" shapeId="0">
      <text>
        <r>
          <rPr>
            <b/>
            <sz val="9"/>
            <color indexed="81"/>
            <rFont val="돋움"/>
            <family val="3"/>
            <charset val="129"/>
          </rPr>
          <t>신종욱</t>
        </r>
      </text>
    </comment>
    <comment ref="K1085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K1086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</text>
    </comment>
    <comment ref="K1087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</text>
    </comment>
    <comment ref="K1088" authorId="0" shapeId="0">
      <text>
        <r>
          <rPr>
            <b/>
            <sz val="9"/>
            <color indexed="81"/>
            <rFont val="돋움"/>
            <family val="3"/>
            <charset val="129"/>
          </rPr>
          <t>담당자들에게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공지하기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K1089" authorId="0" shapeId="0">
      <text>
        <r>
          <rPr>
            <b/>
            <sz val="9"/>
            <color indexed="81"/>
            <rFont val="돋움"/>
            <family val="3"/>
            <charset val="129"/>
          </rPr>
          <t>담당자들에게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공지하기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K110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K1106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</text>
    </comment>
    <comment ref="K1109" authorId="0" shapeId="0">
      <text>
        <r>
          <rPr>
            <b/>
            <sz val="9"/>
            <color indexed="81"/>
            <rFont val="돋움"/>
            <family val="3"/>
            <charset val="129"/>
          </rPr>
          <t>신종욱</t>
        </r>
      </text>
    </comment>
    <comment ref="K111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</text>
    </comment>
    <comment ref="K1120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
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
최재호</t>
        </r>
        <r>
          <rPr>
            <b/>
            <sz val="9"/>
            <color indexed="81"/>
            <rFont val="Tahoma"/>
            <family val="2"/>
          </rPr>
          <t xml:space="preserve"> , </t>
        </r>
        <r>
          <rPr>
            <b/>
            <sz val="9"/>
            <color indexed="81"/>
            <rFont val="돋움"/>
            <family val="3"/>
            <charset val="129"/>
          </rPr>
          <t xml:space="preserve">이재원
</t>
        </r>
        <r>
          <rPr>
            <b/>
            <sz val="9"/>
            <color indexed="81"/>
            <rFont val="Tahoma"/>
            <family val="2"/>
          </rPr>
          <t>87</t>
        </r>
        <r>
          <rPr>
            <b/>
            <sz val="9"/>
            <color indexed="81"/>
            <rFont val="돋움"/>
            <family val="3"/>
            <charset val="129"/>
          </rPr>
          <t>거</t>
        </r>
        <r>
          <rPr>
            <b/>
            <sz val="9"/>
            <color indexed="81"/>
            <rFont val="Tahoma"/>
            <family val="2"/>
          </rPr>
          <t>6556</t>
        </r>
      </text>
    </comment>
    <comment ref="K1123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남학봉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 86</t>
        </r>
        <r>
          <rPr>
            <b/>
            <sz val="9"/>
            <color indexed="81"/>
            <rFont val="돋움"/>
            <family val="3"/>
            <charset val="129"/>
          </rPr>
          <t>모</t>
        </r>
        <r>
          <rPr>
            <b/>
            <sz val="9"/>
            <color indexed="81"/>
            <rFont val="Tahoma"/>
            <family val="2"/>
          </rPr>
          <t xml:space="preserve">8604
1969.10.09
010-2484-4616
</t>
        </r>
        <r>
          <rPr>
            <b/>
            <sz val="9"/>
            <color indexed="81"/>
            <rFont val="돋움"/>
            <family val="3"/>
            <charset val="129"/>
          </rPr>
          <t>부산시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새벽시장로</t>
        </r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14</t>
        </r>
      </text>
    </comment>
    <comment ref="K1127" authorId="0" shapeId="0">
      <text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김민호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김진수
(신분증,안전밸트 챙겨서 본관3층 안전교육 9:00)</t>
        </r>
      </text>
    </comment>
    <comment ref="K112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권용연 전무님
</t>
        </r>
      </text>
    </comment>
    <comment ref="K1129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  <r>
          <rPr>
            <b/>
            <sz val="9"/>
            <color indexed="81"/>
            <rFont val="Tahoma"/>
            <family val="2"/>
          </rPr>
          <t>2461</t>
        </r>
      </text>
    </comment>
    <comment ref="K113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권용연 전무님
</t>
        </r>
      </text>
    </comment>
    <comment ref="K114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이준호
</t>
        </r>
      </text>
    </comment>
    <comment ref="K1141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K114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</text>
    </comment>
    <comment ref="K1146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이재원
30서8378
</t>
        </r>
      </text>
    </comment>
    <comment ref="F1148" authorId="0" shapeId="0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49" authorId="0" shapeId="0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57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최재호,이재원,김유신</t>
        </r>
      </text>
    </comment>
    <comment ref="K116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  <r>
          <rPr>
            <b/>
            <sz val="9"/>
            <color indexed="81"/>
            <rFont val="Tahoma"/>
            <family val="2"/>
          </rPr>
          <t>2461</t>
        </r>
      </text>
    </comment>
    <comment ref="K1161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김유신,김현우(무상)</t>
        </r>
      </text>
    </comment>
    <comment ref="K116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I1165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222003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K116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  <r>
          <rPr>
            <b/>
            <sz val="9"/>
            <color indexed="81"/>
            <rFont val="Tahoma"/>
            <family val="2"/>
          </rPr>
          <t xml:space="preserve">6556
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8585</t>
        </r>
      </text>
    </comment>
    <comment ref="I1166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222003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K1166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  <r>
          <rPr>
            <b/>
            <sz val="9"/>
            <color indexed="81"/>
            <rFont val="Tahoma"/>
            <family val="2"/>
          </rPr>
          <t xml:space="preserve">6556
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8585</t>
        </r>
      </text>
    </comment>
    <comment ref="K1176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K1177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J1178" authorId="0" shapeId="0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17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I1179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K1179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I1180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K1180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K1181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
6556</t>
        </r>
      </text>
    </comment>
    <comment ref="K118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8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K1184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K118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</t>
        </r>
      </text>
    </comment>
    <comment ref="I1186" authorId="0" shapeId="0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K1186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87" authorId="0" shapeId="0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K1187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J33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34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36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38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42" authorId="0" shapeId="0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J11" authorId="0" shapeId="0">
      <text>
        <r>
          <rPr>
            <b/>
            <sz val="9"/>
            <color indexed="81"/>
            <rFont val="돋움"/>
            <family val="3"/>
            <charset val="129"/>
          </rPr>
          <t>박용웅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15" authorId="0" shapeId="0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" authorId="0" shapeId="0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33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34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36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38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42" authorId="0" shapeId="0">
      <text>
        <r>
          <rPr>
            <b/>
            <sz val="9"/>
            <color indexed="81"/>
            <rFont val="돋움"/>
            <family val="3"/>
            <charset val="129"/>
          </rPr>
          <t>토잉붐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후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박세원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확인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현대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정용진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조율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진진쪽에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5.</t>
        </r>
        <r>
          <rPr>
            <b/>
            <sz val="9"/>
            <color indexed="81"/>
            <rFont val="돋움"/>
            <family val="3"/>
            <charset val="129"/>
          </rPr>
          <t>서영진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차장님께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공유
</t>
        </r>
        <r>
          <rPr>
            <b/>
            <sz val="9"/>
            <color indexed="81"/>
            <rFont val="Tahoma"/>
            <family val="2"/>
          </rPr>
          <t>6.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하기
</t>
        </r>
        <r>
          <rPr>
            <b/>
            <sz val="9"/>
            <color indexed="81"/>
            <rFont val="Tahoma"/>
            <family val="2"/>
          </rPr>
          <t xml:space="preserve">(REST/POST SEAT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토클핀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)02/03 </t>
        </r>
        <r>
          <rPr>
            <b/>
            <sz val="9"/>
            <color indexed="81"/>
            <rFont val="돋움"/>
            <family val="3"/>
            <charset val="129"/>
          </rPr>
          <t>납품완료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J11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2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J14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J15" authorId="0" shapeId="0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J16" authorId="0" shapeId="0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J3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35" authorId="0" shapeId="0">
      <text>
        <r>
          <rPr>
            <b/>
            <sz val="9"/>
            <color indexed="81"/>
            <rFont val="Tahoma"/>
            <family val="2"/>
          </rPr>
          <t>86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>0160</t>
        </r>
      </text>
    </comment>
    <comment ref="J36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37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39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J40" authorId="0" shapeId="0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</commentList>
</comments>
</file>

<file path=xl/comments6.xml><?xml version="1.0" encoding="utf-8"?>
<comments xmlns="http://schemas.openxmlformats.org/spreadsheetml/2006/main">
  <authors>
    <author>user</author>
  </authors>
  <commentList>
    <comment ref="H11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1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E14" authorId="0" shapeId="0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14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5" authorId="0" shapeId="0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H18" authorId="0" shapeId="0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18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E35" authorId="0" shapeId="0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35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J37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38" authorId="0" shapeId="0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H44" authorId="0" shapeId="0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44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</commentList>
</comments>
</file>

<file path=xl/comments7.xml><?xml version="1.0" encoding="utf-8"?>
<comments xmlns="http://schemas.openxmlformats.org/spreadsheetml/2006/main">
  <authors>
    <author>user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1/16 </t>
        </r>
        <r>
          <rPr>
            <b/>
            <sz val="9"/>
            <color indexed="81"/>
            <rFont val="돋움"/>
            <family val="3"/>
            <charset val="129"/>
          </rPr>
          <t xml:space="preserve">작업분
</t>
        </r>
      </text>
    </comment>
    <comment ref="H5" authorId="0" shapeId="0">
      <text>
        <r>
          <rPr>
            <b/>
            <sz val="11"/>
            <color indexed="81"/>
            <rFont val="Tahoma"/>
            <family val="2"/>
          </rPr>
          <t xml:space="preserve">0294 FDC JIB </t>
        </r>
        <r>
          <rPr>
            <b/>
            <sz val="11"/>
            <color indexed="81"/>
            <rFont val="돋움"/>
            <family val="3"/>
            <charset val="129"/>
          </rPr>
          <t>및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용접작업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대체</t>
        </r>
        <r>
          <rPr>
            <b/>
            <sz val="11"/>
            <color indexed="81"/>
            <rFont val="Tahoma"/>
            <family val="2"/>
          </rPr>
          <t xml:space="preserve"> 1DAY-2</t>
        </r>
        <r>
          <rPr>
            <b/>
            <sz val="11"/>
            <color indexed="81"/>
            <rFont val="돋움"/>
            <family val="3"/>
            <charset val="129"/>
          </rPr>
          <t>인
구매쪽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최병문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차장님께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자료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전달</t>
        </r>
      </text>
    </comment>
    <comment ref="N5" authorId="0" shapeId="0">
      <text>
        <r>
          <rPr>
            <b/>
            <sz val="10"/>
            <color indexed="81"/>
            <rFont val="Tahoma"/>
            <family val="2"/>
          </rPr>
          <t xml:space="preserve">0294 FDC JIB </t>
        </r>
        <r>
          <rPr>
            <b/>
            <sz val="10"/>
            <color indexed="81"/>
            <rFont val="돋움"/>
            <family val="3"/>
            <charset val="129"/>
          </rPr>
          <t>및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용접작업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대체</t>
        </r>
        <r>
          <rPr>
            <b/>
            <sz val="10"/>
            <color indexed="81"/>
            <rFont val="Tahoma"/>
            <family val="2"/>
          </rPr>
          <t xml:space="preserve"> 1DAY-2</t>
        </r>
        <r>
          <rPr>
            <b/>
            <sz val="10"/>
            <color indexed="81"/>
            <rFont val="돋움"/>
            <family val="3"/>
            <charset val="129"/>
          </rPr>
          <t>인
구매쪽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최병문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차장님께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전달
생산에서는</t>
        </r>
        <r>
          <rPr>
            <b/>
            <sz val="10"/>
            <color indexed="81"/>
            <rFont val="Tahoma"/>
            <family val="2"/>
          </rPr>
          <t xml:space="preserve"> W304 </t>
        </r>
        <r>
          <rPr>
            <b/>
            <sz val="10"/>
            <color indexed="81"/>
            <rFont val="돋움"/>
            <family val="3"/>
            <charset val="129"/>
          </rPr>
          <t>컨테이너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상차로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올려달라고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15" authorId="0" shapeId="0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15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8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9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H20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20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40" authorId="0" shapeId="0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40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44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4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J16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J21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22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24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46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48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J51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</commentList>
</comments>
</file>

<file path=xl/comments9.xml><?xml version="1.0" encoding="utf-8"?>
<comments xmlns="http://schemas.openxmlformats.org/spreadsheetml/2006/main">
  <authors>
    <author>user</author>
  </authors>
  <commentList>
    <comment ref="J11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J12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13" authorId="0" shapeId="0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17" authorId="0" shapeId="0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  <comment ref="J36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37" authorId="0" shapeId="0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37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H42" authorId="0" shapeId="0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H43" authorId="0" shapeId="0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</commentList>
</comments>
</file>

<file path=xl/comments10.xml><?xml version="1.0" encoding="utf-8"?>
<comments xmlns="http://schemas.openxmlformats.org/spreadsheetml/2006/main">
  <authors>
    <author>user</author>
  </authors>
  <commentList>
    <comment ref="J12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H15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J15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H16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J16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17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
6556</t>
        </r>
      </text>
    </comment>
    <comment ref="J1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J20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J21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</t>
        </r>
      </text>
    </comment>
    <comment ref="H22" authorId="0" shapeId="0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J22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J23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1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42" authorId="0" shapeId="0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J43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
</t>
        </r>
        <r>
          <rPr>
            <b/>
            <sz val="9"/>
            <color indexed="81"/>
            <rFont val="Tahoma"/>
            <family val="2"/>
          </rPr>
          <t>6556</t>
        </r>
        <r>
          <rPr>
            <b/>
            <sz val="9"/>
            <color indexed="81"/>
            <rFont val="돋움"/>
            <family val="3"/>
            <charset val="129"/>
          </rPr>
          <t xml:space="preserve">
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
권용연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최병경</t>
        </r>
      </text>
    </comment>
    <comment ref="H45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J45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46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
6556
권용연,최병경
81오0676</t>
        </r>
      </text>
    </comment>
    <comment ref="J4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8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53" authorId="0" shapeId="0">
      <text>
        <r>
          <rPr>
            <b/>
            <sz val="9"/>
            <color indexed="81"/>
            <rFont val="돋움"/>
            <family val="3"/>
            <charset val="129"/>
          </rPr>
          <t>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입고언제</t>
        </r>
        <r>
          <rPr>
            <b/>
            <sz val="9"/>
            <color indexed="81"/>
            <rFont val="Tahoma"/>
            <family val="2"/>
          </rPr>
          <t>?
PIPE,</t>
        </r>
        <r>
          <rPr>
            <b/>
            <sz val="9"/>
            <color indexed="81"/>
            <rFont val="돋움"/>
            <family val="3"/>
            <charset val="129"/>
          </rPr>
          <t>마그네틱드릴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엔코더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전달드리기</t>
        </r>
      </text>
    </comment>
    <comment ref="J5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</commentList>
</comments>
</file>

<file path=xl/sharedStrings.xml><?xml version="1.0" encoding="utf-8"?>
<sst xmlns="http://schemas.openxmlformats.org/spreadsheetml/2006/main" count="19169" uniqueCount="5380">
  <si>
    <t>주</t>
    <phoneticPr fontId="2" type="noConversion"/>
  </si>
  <si>
    <t>일자</t>
  </si>
  <si>
    <t>구분</t>
  </si>
  <si>
    <t>인도일</t>
  </si>
  <si>
    <t>조선소
장소</t>
  </si>
  <si>
    <t>호 선</t>
  </si>
  <si>
    <t>장비</t>
  </si>
  <si>
    <t>검사종류 / 고객요청사항</t>
  </si>
  <si>
    <t>담당자</t>
    <phoneticPr fontId="2" type="noConversion"/>
  </si>
  <si>
    <t>외주</t>
  </si>
  <si>
    <t>유/무상</t>
    <phoneticPr fontId="2" type="noConversion"/>
  </si>
  <si>
    <t>차량</t>
    <phoneticPr fontId="2" type="noConversion"/>
  </si>
  <si>
    <t>출장인원</t>
    <phoneticPr fontId="2" type="noConversion"/>
  </si>
  <si>
    <t>직영연차</t>
    <phoneticPr fontId="2" type="noConversion"/>
  </si>
  <si>
    <t>인도전</t>
    <phoneticPr fontId="2" type="noConversion"/>
  </si>
  <si>
    <t>무상</t>
    <phoneticPr fontId="2" type="noConversion"/>
  </si>
  <si>
    <t>담당자</t>
    <phoneticPr fontId="2" type="noConversion"/>
  </si>
  <si>
    <t>인도후</t>
    <phoneticPr fontId="2" type="noConversion"/>
  </si>
  <si>
    <t>PV</t>
    <phoneticPr fontId="2" type="noConversion"/>
  </si>
  <si>
    <t>사내작업</t>
    <phoneticPr fontId="2" type="noConversion"/>
  </si>
  <si>
    <t>김해공장</t>
    <phoneticPr fontId="2" type="noConversion"/>
  </si>
  <si>
    <t>A/S</t>
    <phoneticPr fontId="2" type="noConversion"/>
  </si>
  <si>
    <t>DSME</t>
    <phoneticPr fontId="2" type="noConversion"/>
  </si>
  <si>
    <t>RB</t>
    <phoneticPr fontId="2" type="noConversion"/>
  </si>
  <si>
    <t>A/S</t>
    <phoneticPr fontId="2" type="noConversion"/>
  </si>
  <si>
    <t>납품전</t>
    <phoneticPr fontId="2" type="noConversion"/>
  </si>
  <si>
    <t>DSME</t>
    <phoneticPr fontId="2" type="noConversion"/>
  </si>
  <si>
    <t>목포해군</t>
    <phoneticPr fontId="2" type="noConversion"/>
  </si>
  <si>
    <t>FC</t>
    <phoneticPr fontId="2" type="noConversion"/>
  </si>
  <si>
    <t>외주정비</t>
    <phoneticPr fontId="2" type="noConversion"/>
  </si>
  <si>
    <t>인도전</t>
    <phoneticPr fontId="2" type="noConversion"/>
  </si>
  <si>
    <t>인도후</t>
    <phoneticPr fontId="2" type="noConversion"/>
  </si>
  <si>
    <t>무상</t>
    <phoneticPr fontId="2" type="noConversion"/>
  </si>
  <si>
    <t>0160</t>
    <phoneticPr fontId="2" type="noConversion"/>
  </si>
  <si>
    <t>CS</t>
    <phoneticPr fontId="2" type="noConversion"/>
  </si>
  <si>
    <t>WD</t>
    <phoneticPr fontId="2" type="noConversion"/>
  </si>
  <si>
    <t>ROV</t>
    <phoneticPr fontId="2" type="noConversion"/>
  </si>
  <si>
    <t>TC</t>
    <phoneticPr fontId="2" type="noConversion"/>
  </si>
  <si>
    <t>0272</t>
    <phoneticPr fontId="2" type="noConversion"/>
  </si>
  <si>
    <t>리미트 세팅, 와이어 재 리깅</t>
    <phoneticPr fontId="2" type="noConversion"/>
  </si>
  <si>
    <t>RB</t>
    <phoneticPr fontId="2" type="noConversion"/>
  </si>
  <si>
    <t>진진(1)</t>
    <phoneticPr fontId="2" type="noConversion"/>
  </si>
  <si>
    <t>유상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</si>
  <si>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</si>
  <si>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</si>
  <si>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</si>
  <si>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</si>
  <si>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</si>
  <si>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</si>
  <si>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사내작업</t>
    <phoneticPr fontId="2" type="noConversion"/>
  </si>
  <si>
    <t>사전품의 완료</t>
    <phoneticPr fontId="2" type="noConversion"/>
  </si>
  <si>
    <t>완료</t>
    <phoneticPr fontId="2" type="noConversion"/>
  </si>
  <si>
    <t>사전품의 완료</t>
    <phoneticPr fontId="2" type="noConversion"/>
  </si>
  <si>
    <t>합계</t>
    <phoneticPr fontId="2" type="noConversion"/>
  </si>
  <si>
    <t>조선소</t>
  </si>
  <si>
    <t>담당자</t>
  </si>
  <si>
    <t>유/무상</t>
  </si>
  <si>
    <t>금액</t>
  </si>
  <si>
    <t>내용</t>
  </si>
  <si>
    <t>장소</t>
  </si>
  <si>
    <t>디에스티(1)</t>
    <phoneticPr fontId="2" type="noConversion"/>
  </si>
  <si>
    <t>보증수리 (무상)</t>
    <phoneticPr fontId="2" type="noConversion"/>
  </si>
  <si>
    <t>합계</t>
  </si>
  <si>
    <t>비고</t>
    <phoneticPr fontId="2" type="noConversion"/>
  </si>
  <si>
    <t>A/S</t>
    <phoneticPr fontId="2" type="noConversion"/>
  </si>
  <si>
    <t>도장 보수</t>
    <phoneticPr fontId="2" type="noConversion"/>
  </si>
  <si>
    <t>무상</t>
    <phoneticPr fontId="2" type="noConversion"/>
  </si>
  <si>
    <t>HD</t>
    <phoneticPr fontId="2" type="noConversion"/>
  </si>
  <si>
    <t>동아(1)</t>
    <phoneticPr fontId="2" type="noConversion"/>
  </si>
  <si>
    <t>무상</t>
    <phoneticPr fontId="2" type="noConversion"/>
  </si>
  <si>
    <t>인도전</t>
    <phoneticPr fontId="2" type="noConversion"/>
  </si>
  <si>
    <t>ROV</t>
    <phoneticPr fontId="2" type="noConversion"/>
  </si>
  <si>
    <t>자체 시운전</t>
    <phoneticPr fontId="2" type="noConversion"/>
  </si>
  <si>
    <t>장유승</t>
    <phoneticPr fontId="2" type="noConversion"/>
  </si>
  <si>
    <t>가야, 디에스티</t>
    <phoneticPr fontId="2" type="noConversion"/>
  </si>
  <si>
    <t>A/S</t>
    <phoneticPr fontId="2" type="noConversion"/>
  </si>
  <si>
    <t>박성용, 김동현</t>
    <phoneticPr fontId="2" type="noConversion"/>
  </si>
  <si>
    <t>인도후</t>
    <phoneticPr fontId="2" type="noConversion"/>
  </si>
  <si>
    <t>진해해군</t>
    <phoneticPr fontId="2" type="noConversion"/>
  </si>
  <si>
    <t>0271</t>
    <phoneticPr fontId="2" type="noConversion"/>
  </si>
  <si>
    <t>FC</t>
    <phoneticPr fontId="2" type="noConversion"/>
  </si>
  <si>
    <t>거한(1)</t>
    <phoneticPr fontId="2" type="noConversion"/>
  </si>
  <si>
    <t>P157</t>
    <phoneticPr fontId="2" type="noConversion"/>
  </si>
  <si>
    <t>BR</t>
    <phoneticPr fontId="2" type="noConversion"/>
  </si>
  <si>
    <t>무상</t>
    <phoneticPr fontId="2" type="noConversion"/>
  </si>
  <si>
    <t>안상민</t>
    <phoneticPr fontId="2" type="noConversion"/>
  </si>
  <si>
    <t>PTC</t>
    <phoneticPr fontId="2" type="noConversion"/>
  </si>
  <si>
    <t>박성용, 안상민</t>
    <phoneticPr fontId="2" type="noConversion"/>
  </si>
  <si>
    <t>차영석</t>
    <phoneticPr fontId="2" type="noConversion"/>
  </si>
  <si>
    <t>오일 누유 조치</t>
    <phoneticPr fontId="2" type="noConversion"/>
  </si>
  <si>
    <t>박성용</t>
    <phoneticPr fontId="2" type="noConversion"/>
  </si>
  <si>
    <t>개인차</t>
    <phoneticPr fontId="2" type="noConversion"/>
  </si>
  <si>
    <t>전기 판넬 수리</t>
    <phoneticPr fontId="2" type="noConversion"/>
  </si>
  <si>
    <t>오전 자체 / 오후 검사 입회</t>
    <phoneticPr fontId="2" type="noConversion"/>
  </si>
  <si>
    <t>경보등 시트, 전로 설치 현장 확인, 일부 조치 / 부대 교육</t>
    <phoneticPr fontId="2" type="noConversion"/>
  </si>
  <si>
    <t>강지원</t>
    <phoneticPr fontId="2" type="noConversion"/>
  </si>
  <si>
    <t>이성희</t>
    <phoneticPr fontId="2" type="noConversion"/>
  </si>
  <si>
    <t>A/S</t>
    <phoneticPr fontId="2" type="noConversion"/>
  </si>
  <si>
    <t>계약사항 (무상)</t>
    <phoneticPr fontId="2" type="noConversion"/>
  </si>
  <si>
    <t>박성용, 안상민, 차영석</t>
    <phoneticPr fontId="2" type="noConversion"/>
  </si>
  <si>
    <t>인도후</t>
    <phoneticPr fontId="2" type="noConversion"/>
  </si>
  <si>
    <t>진해해군</t>
    <phoneticPr fontId="2" type="noConversion"/>
  </si>
  <si>
    <t>MSH05</t>
    <phoneticPr fontId="2" type="noConversion"/>
  </si>
  <si>
    <t>KT</t>
    <phoneticPr fontId="2" type="noConversion"/>
  </si>
  <si>
    <t>조이스틱 작동 불량</t>
    <phoneticPr fontId="2" type="noConversion"/>
  </si>
  <si>
    <t>동아(1)</t>
    <phoneticPr fontId="2" type="noConversion"/>
  </si>
  <si>
    <t>무상</t>
    <phoneticPr fontId="2" type="noConversion"/>
  </si>
  <si>
    <t>RB</t>
    <phoneticPr fontId="2" type="noConversion"/>
  </si>
  <si>
    <t>HHI</t>
    <phoneticPr fontId="2" type="noConversion"/>
  </si>
  <si>
    <t>P167</t>
    <phoneticPr fontId="2" type="noConversion"/>
  </si>
  <si>
    <t>OHC</t>
    <phoneticPr fontId="2" type="noConversion"/>
  </si>
  <si>
    <t>자체테스트 &amp; 검사준비</t>
    <phoneticPr fontId="2" type="noConversion"/>
  </si>
  <si>
    <t>아이앤지(1)</t>
    <phoneticPr fontId="2" type="noConversion"/>
  </si>
  <si>
    <t>WD</t>
    <phoneticPr fontId="2" type="noConversion"/>
  </si>
  <si>
    <t>A/S</t>
    <phoneticPr fontId="2" type="noConversion"/>
  </si>
  <si>
    <t>MSH05</t>
    <phoneticPr fontId="2" type="noConversion"/>
  </si>
  <si>
    <t>KT</t>
    <phoneticPr fontId="2" type="noConversion"/>
  </si>
  <si>
    <t>박성용, 차영석</t>
    <phoneticPr fontId="2" type="noConversion"/>
  </si>
  <si>
    <t>박성용, 차영석</t>
    <phoneticPr fontId="2" type="noConversion"/>
  </si>
  <si>
    <t>아이앤지(2)</t>
    <phoneticPr fontId="2" type="noConversion"/>
  </si>
  <si>
    <t>아이앤지(2)</t>
    <phoneticPr fontId="2" type="noConversion"/>
  </si>
  <si>
    <t>박성용</t>
    <phoneticPr fontId="2" type="noConversion"/>
  </si>
  <si>
    <t>조립반 지원</t>
    <phoneticPr fontId="2" type="noConversion"/>
  </si>
  <si>
    <t>자체 시운전 (8시 통선 승선)</t>
    <phoneticPr fontId="2" type="noConversion"/>
  </si>
  <si>
    <t>김해공장</t>
    <phoneticPr fontId="2" type="noConversion"/>
  </si>
  <si>
    <t>사내작업</t>
    <phoneticPr fontId="2" type="noConversion"/>
  </si>
  <si>
    <t>PV</t>
    <phoneticPr fontId="2" type="noConversion"/>
  </si>
  <si>
    <t>박해식</t>
    <phoneticPr fontId="2" type="noConversion"/>
  </si>
  <si>
    <t>보증수리</t>
    <phoneticPr fontId="2" type="noConversion"/>
  </si>
  <si>
    <t>계약사항</t>
    <phoneticPr fontId="2" type="noConversion"/>
  </si>
  <si>
    <t>보증수리</t>
    <phoneticPr fontId="2" type="noConversion"/>
  </si>
  <si>
    <t>덴소 / 도장 / 포장</t>
    <phoneticPr fontId="2" type="noConversion"/>
  </si>
  <si>
    <t>생산담당 인력부족</t>
    <phoneticPr fontId="2" type="noConversion"/>
  </si>
  <si>
    <t>1/12~13일</t>
    <phoneticPr fontId="2" type="noConversion"/>
  </si>
  <si>
    <t>외주(2)</t>
    <phoneticPr fontId="2" type="noConversion"/>
  </si>
  <si>
    <t>1/13 ~ 14일</t>
    <phoneticPr fontId="2" type="noConversion"/>
  </si>
  <si>
    <t>외주(4)</t>
    <phoneticPr fontId="2" type="noConversion"/>
  </si>
  <si>
    <t>조립 / 시운전 / 해체</t>
    <phoneticPr fontId="2" type="noConversion"/>
  </si>
  <si>
    <t>디에스티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</si>
  <si>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</si>
  <si>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</si>
  <si>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</si>
  <si>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</si>
  <si>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HHD</t>
    <phoneticPr fontId="2" type="noConversion"/>
  </si>
  <si>
    <t>ML</t>
    <phoneticPr fontId="2" type="noConversion"/>
  </si>
  <si>
    <t>P166</t>
    <phoneticPr fontId="2" type="noConversion"/>
  </si>
  <si>
    <t>HT</t>
    <phoneticPr fontId="2" type="noConversion"/>
  </si>
  <si>
    <t>초기 작동</t>
    <phoneticPr fontId="2" type="noConversion"/>
  </si>
  <si>
    <t>디에스티, 동아</t>
    <phoneticPr fontId="2" type="noConversion"/>
  </si>
  <si>
    <t>DC</t>
    <phoneticPr fontId="2" type="noConversion"/>
  </si>
  <si>
    <t>SWN</t>
    <phoneticPr fontId="2" type="noConversion"/>
  </si>
  <si>
    <t>RB</t>
    <phoneticPr fontId="2" type="noConversion"/>
  </si>
  <si>
    <t>납품전</t>
    <phoneticPr fontId="2" type="noConversion"/>
  </si>
  <si>
    <t>시운전 코멘트 조치 (밸브보호조치/스네치블럭추가공급/샤클및엑셀바적용/용접수정)</t>
    <phoneticPr fontId="2" type="noConversion"/>
  </si>
  <si>
    <t>진진(1)</t>
    <phoneticPr fontId="2" type="noConversion"/>
  </si>
  <si>
    <t>CS</t>
    <phoneticPr fontId="2" type="noConversion"/>
  </si>
  <si>
    <t>박성용</t>
    <phoneticPr fontId="2" type="noConversion"/>
  </si>
  <si>
    <t>HJ중공업</t>
    <phoneticPr fontId="2" type="noConversion"/>
  </si>
  <si>
    <t>인도후</t>
    <phoneticPr fontId="2" type="noConversion"/>
  </si>
  <si>
    <t>KN</t>
    <phoneticPr fontId="2" type="noConversion"/>
  </si>
  <si>
    <t>KT(2.5)</t>
    <phoneticPr fontId="2" type="noConversion"/>
  </si>
  <si>
    <t>조이스틱 교체</t>
    <phoneticPr fontId="2" type="noConversion"/>
  </si>
  <si>
    <t>주차</t>
    <phoneticPr fontId="2" type="noConversion"/>
  </si>
  <si>
    <t>구분</t>
    <phoneticPr fontId="2" type="noConversion"/>
  </si>
  <si>
    <t>A/S</t>
    <phoneticPr fontId="2" type="noConversion"/>
  </si>
  <si>
    <t>조이스틱 교체 / 시운전</t>
    <phoneticPr fontId="2" type="noConversion"/>
  </si>
  <si>
    <t>보증수리 (무상)</t>
    <phoneticPr fontId="2" type="noConversion"/>
  </si>
  <si>
    <t>PV P/D</t>
    <phoneticPr fontId="2" type="noConversion"/>
  </si>
  <si>
    <t>외주(2)</t>
    <phoneticPr fontId="2" type="noConversion"/>
  </si>
  <si>
    <t>이광형</t>
    <phoneticPr fontId="2" type="noConversion"/>
  </si>
  <si>
    <t>DSME</t>
    <phoneticPr fontId="2" type="noConversion"/>
  </si>
  <si>
    <t>ML</t>
    <phoneticPr fontId="2" type="noConversion"/>
  </si>
  <si>
    <t>ROV</t>
    <phoneticPr fontId="2" type="noConversion"/>
  </si>
  <si>
    <t>장유승</t>
    <phoneticPr fontId="2" type="noConversion"/>
  </si>
  <si>
    <t>가야, 디에스티</t>
    <phoneticPr fontId="2" type="noConversion"/>
  </si>
  <si>
    <t>조립반 지원</t>
    <phoneticPr fontId="2" type="noConversion"/>
  </si>
  <si>
    <t>김해공장</t>
    <phoneticPr fontId="2" type="noConversion"/>
  </si>
  <si>
    <t>자체테스트 &amp; 검사준비 (헬기모형)</t>
    <phoneticPr fontId="2" type="noConversion"/>
  </si>
  <si>
    <t>인도후</t>
    <phoneticPr fontId="2" type="noConversion"/>
  </si>
  <si>
    <t>0271</t>
    <phoneticPr fontId="2" type="noConversion"/>
  </si>
  <si>
    <t>진해해군</t>
    <phoneticPr fontId="2" type="noConversion"/>
  </si>
  <si>
    <t>FC</t>
    <phoneticPr fontId="2" type="noConversion"/>
  </si>
  <si>
    <t>무상</t>
    <phoneticPr fontId="2" type="noConversion"/>
  </si>
  <si>
    <t>거한(1), 디에스티(1)</t>
    <phoneticPr fontId="2" type="noConversion"/>
  </si>
  <si>
    <t>안상민</t>
    <phoneticPr fontId="2" type="noConversion"/>
  </si>
  <si>
    <t>동아(1)</t>
    <phoneticPr fontId="2" type="noConversion"/>
  </si>
  <si>
    <t>무상</t>
    <phoneticPr fontId="2" type="noConversion"/>
  </si>
  <si>
    <t>CLAIM</t>
    <phoneticPr fontId="2" type="noConversion"/>
  </si>
  <si>
    <t>P165</t>
    <phoneticPr fontId="2" type="noConversion"/>
  </si>
  <si>
    <t>RB</t>
    <phoneticPr fontId="2" type="noConversion"/>
  </si>
  <si>
    <t>시운전 코멘트 조치 (모터 오일 드레인 밸브 하부 코밍 연장 &amp; 오렌지색으로 도색 외 4가지)</t>
    <phoneticPr fontId="2" type="noConversion"/>
  </si>
  <si>
    <t>SWN0280</t>
    <phoneticPr fontId="2" type="noConversion"/>
  </si>
  <si>
    <t>외주(6)</t>
    <phoneticPr fontId="2" type="noConversion"/>
  </si>
  <si>
    <t>2023-01-26 ~28일(3일)</t>
    <phoneticPr fontId="2" type="noConversion"/>
  </si>
  <si>
    <t>모니터 디스플레이 작동 오류, 오일 누유 조치</t>
    <phoneticPr fontId="2" type="noConversion"/>
  </si>
  <si>
    <t>선주코멘트 (무상)</t>
    <phoneticPr fontId="2" type="noConversion"/>
  </si>
  <si>
    <t>보증수리 (무상)</t>
    <phoneticPr fontId="2" type="noConversion"/>
  </si>
  <si>
    <t>단기 부하</t>
    <phoneticPr fontId="2" type="noConversion"/>
  </si>
  <si>
    <t>순천공장</t>
    <phoneticPr fontId="2" type="noConversion"/>
  </si>
  <si>
    <t>순천공장</t>
    <phoneticPr fontId="2" type="noConversion"/>
  </si>
  <si>
    <t>H2515</t>
    <phoneticPr fontId="2" type="noConversion"/>
  </si>
  <si>
    <t>DC</t>
    <phoneticPr fontId="2" type="noConversion"/>
  </si>
  <si>
    <t>납품준비</t>
    <phoneticPr fontId="2" type="noConversion"/>
  </si>
  <si>
    <t>박주성</t>
    <phoneticPr fontId="2" type="noConversion"/>
  </si>
  <si>
    <t>2023-01-25 ~27일(3일)</t>
    <phoneticPr fontId="2" type="noConversion"/>
  </si>
  <si>
    <t>외주(3)</t>
    <phoneticPr fontId="2" type="noConversion"/>
  </si>
  <si>
    <t>RCS</t>
    <phoneticPr fontId="2" type="noConversion"/>
  </si>
  <si>
    <t>S161</t>
    <phoneticPr fontId="2" type="noConversion"/>
  </si>
  <si>
    <t>BR</t>
    <phoneticPr fontId="2" type="noConversion"/>
  </si>
  <si>
    <t>조립반 지원</t>
    <phoneticPr fontId="2" type="noConversion"/>
  </si>
  <si>
    <t>-</t>
    <phoneticPr fontId="2" type="noConversion"/>
  </si>
  <si>
    <t>-</t>
    <phoneticPr fontId="2" type="noConversion"/>
  </si>
  <si>
    <t>SHI</t>
    <phoneticPr fontId="2" type="noConversion"/>
  </si>
  <si>
    <t>ROV</t>
    <phoneticPr fontId="2" type="noConversion"/>
  </si>
  <si>
    <t>승조원 교육</t>
    <phoneticPr fontId="2" type="noConversion"/>
  </si>
  <si>
    <t>계약사항 (무상)</t>
    <phoneticPr fontId="2" type="noConversion"/>
  </si>
  <si>
    <t>장유승</t>
    <phoneticPr fontId="2" type="noConversion"/>
  </si>
  <si>
    <t>코멘트 조치</t>
    <phoneticPr fontId="2" type="noConversion"/>
  </si>
  <si>
    <t>케이블 포설, 터치바 설치, 망설치, 그리스라인(유상_서명필수)설치, STW</t>
    <phoneticPr fontId="2" type="noConversion"/>
  </si>
  <si>
    <t>더베스트솔루션</t>
    <phoneticPr fontId="2" type="noConversion"/>
  </si>
  <si>
    <t>사내작업</t>
    <phoneticPr fontId="2" type="noConversion"/>
  </si>
  <si>
    <t>이광형</t>
    <phoneticPr fontId="2" type="noConversion"/>
  </si>
  <si>
    <t>진진(1)</t>
    <phoneticPr fontId="2" type="noConversion"/>
  </si>
  <si>
    <t>디에스티, 동아(강석일)</t>
    <phoneticPr fontId="2" type="noConversion"/>
  </si>
  <si>
    <t>신명엔지니어링</t>
    <phoneticPr fontId="2" type="noConversion"/>
  </si>
  <si>
    <t>인도전</t>
    <phoneticPr fontId="2" type="noConversion"/>
  </si>
  <si>
    <t>SHI</t>
    <phoneticPr fontId="2" type="noConversion"/>
  </si>
  <si>
    <t>김은영</t>
    <phoneticPr fontId="2" type="noConversion"/>
  </si>
  <si>
    <t>PV</t>
    <phoneticPr fontId="2" type="noConversion"/>
  </si>
  <si>
    <t>진진산업</t>
    <phoneticPr fontId="2" type="noConversion"/>
  </si>
  <si>
    <t>아이앤지</t>
    <phoneticPr fontId="2" type="noConversion"/>
  </si>
  <si>
    <t>자체테스트</t>
    <phoneticPr fontId="2" type="noConversion"/>
  </si>
  <si>
    <t>실린더 반출</t>
    <phoneticPr fontId="2" type="noConversion"/>
  </si>
  <si>
    <t>CLAIM</t>
    <phoneticPr fontId="2" type="noConversion"/>
  </si>
  <si>
    <t>무상</t>
    <phoneticPr fontId="2" type="noConversion"/>
  </si>
  <si>
    <t>차영석</t>
    <phoneticPr fontId="2" type="noConversion"/>
  </si>
  <si>
    <t>안상민</t>
    <phoneticPr fontId="2" type="noConversion"/>
  </si>
  <si>
    <t>진진(1)</t>
    <phoneticPr fontId="2" type="noConversion"/>
  </si>
  <si>
    <t>진진(1), 씨앤엠(1)</t>
    <phoneticPr fontId="2" type="noConversion"/>
  </si>
  <si>
    <t>ROCKING TEST</t>
    <phoneticPr fontId="2" type="noConversion"/>
  </si>
  <si>
    <t>무상</t>
    <phoneticPr fontId="2" type="noConversion"/>
  </si>
  <si>
    <t>김해공장</t>
    <phoneticPr fontId="2" type="noConversion"/>
  </si>
  <si>
    <t>2023-02/06 ~ 02/07</t>
    <phoneticPr fontId="2" type="noConversion"/>
  </si>
  <si>
    <t>납품전</t>
    <phoneticPr fontId="2" type="noConversion"/>
  </si>
  <si>
    <t>SWN</t>
    <phoneticPr fontId="2" type="noConversion"/>
  </si>
  <si>
    <t>0280</t>
    <phoneticPr fontId="2" type="noConversion"/>
  </si>
  <si>
    <t>덴소 / 포장 지원</t>
    <phoneticPr fontId="2" type="noConversion"/>
  </si>
  <si>
    <t>외주(4)</t>
    <phoneticPr fontId="2" type="noConversion"/>
  </si>
  <si>
    <t>포장반 지원</t>
    <phoneticPr fontId="2" type="noConversion"/>
  </si>
  <si>
    <t>계약사항 (무상)</t>
    <phoneticPr fontId="2" type="noConversion"/>
  </si>
  <si>
    <t>보증수리 (무상)</t>
    <phoneticPr fontId="2" type="noConversion"/>
  </si>
  <si>
    <t>FF135A1</t>
    <phoneticPr fontId="2" type="noConversion"/>
  </si>
  <si>
    <t>김해공장</t>
    <phoneticPr fontId="2" type="noConversion"/>
  </si>
  <si>
    <t>이광형</t>
    <phoneticPr fontId="2" type="noConversion"/>
  </si>
  <si>
    <t>A/S</t>
    <phoneticPr fontId="2" type="noConversion"/>
  </si>
  <si>
    <t>진진(1)</t>
    <phoneticPr fontId="2" type="noConversion"/>
  </si>
  <si>
    <t>씨앤엠(1)</t>
    <phoneticPr fontId="2" type="noConversion"/>
  </si>
  <si>
    <t>진진(1), 디에스티(1)</t>
    <phoneticPr fontId="2" type="noConversion"/>
  </si>
  <si>
    <t>2023-02/13 ~ 02/17</t>
    <phoneticPr fontId="2" type="noConversion"/>
  </si>
  <si>
    <t>MSI</t>
    <phoneticPr fontId="2" type="noConversion"/>
  </si>
  <si>
    <t>포장 지원</t>
    <phoneticPr fontId="2" type="noConversion"/>
  </si>
  <si>
    <t>HTS / TC</t>
    <phoneticPr fontId="2" type="noConversion"/>
  </si>
  <si>
    <t>외주(8)</t>
    <phoneticPr fontId="2" type="noConversion"/>
  </si>
  <si>
    <t>승조원 교육 (실기)</t>
    <phoneticPr fontId="2" type="noConversion"/>
  </si>
  <si>
    <t>KT</t>
    <phoneticPr fontId="2" type="noConversion"/>
  </si>
  <si>
    <t>HH</t>
    <phoneticPr fontId="2" type="noConversion"/>
  </si>
  <si>
    <t>덴소 / 도장 / 포장 지원</t>
    <phoneticPr fontId="2" type="noConversion"/>
  </si>
  <si>
    <t>외주(10)</t>
    <phoneticPr fontId="2" type="noConversion"/>
  </si>
  <si>
    <t>2023-02/18, 2023/02/20 ~ 02/22</t>
    <phoneticPr fontId="2" type="noConversion"/>
  </si>
  <si>
    <t>외주(9)</t>
    <phoneticPr fontId="2" type="noConversion"/>
  </si>
  <si>
    <t>무상</t>
    <phoneticPr fontId="2" type="noConversion"/>
  </si>
  <si>
    <t>P168</t>
    <phoneticPr fontId="2" type="noConversion"/>
  </si>
  <si>
    <t>설치</t>
    <phoneticPr fontId="2" type="noConversion"/>
  </si>
  <si>
    <t>동아(김용훈)</t>
    <phoneticPr fontId="2" type="noConversion"/>
  </si>
  <si>
    <t>MRS106</t>
    <phoneticPr fontId="2" type="noConversion"/>
  </si>
  <si>
    <t>RB, RCS</t>
    <phoneticPr fontId="2" type="noConversion"/>
  </si>
  <si>
    <t>차영석</t>
    <phoneticPr fontId="2" type="noConversion"/>
  </si>
  <si>
    <t>인도전</t>
    <phoneticPr fontId="2" type="noConversion"/>
  </si>
  <si>
    <t>HMD</t>
    <phoneticPr fontId="2" type="noConversion"/>
  </si>
  <si>
    <t>H8300</t>
    <phoneticPr fontId="2" type="noConversion"/>
  </si>
  <si>
    <t>HH</t>
    <phoneticPr fontId="2" type="noConversion"/>
  </si>
  <si>
    <t>무상</t>
    <phoneticPr fontId="2" type="noConversion"/>
  </si>
  <si>
    <t>박성용</t>
    <phoneticPr fontId="2" type="noConversion"/>
  </si>
  <si>
    <t>선주COMMENT 진동 보강 / 도장(시운전건물4층)</t>
    <phoneticPr fontId="2" type="noConversion"/>
  </si>
  <si>
    <t>승조원 교육 9시</t>
    <phoneticPr fontId="2" type="noConversion"/>
  </si>
  <si>
    <t>박성용</t>
    <phoneticPr fontId="2" type="noConversion"/>
  </si>
  <si>
    <t>검사 준비</t>
    <phoneticPr fontId="2" type="noConversion"/>
  </si>
  <si>
    <t>아이앤지(1)</t>
    <phoneticPr fontId="2" type="noConversion"/>
  </si>
  <si>
    <t>안상민</t>
    <phoneticPr fontId="2" type="noConversion"/>
  </si>
  <si>
    <t>진진(1)</t>
    <phoneticPr fontId="2" type="noConversion"/>
  </si>
  <si>
    <t>계약사항 (무상)</t>
    <phoneticPr fontId="2" type="noConversion"/>
  </si>
  <si>
    <t>선주코멘트 (무상) _설계변경</t>
    <phoneticPr fontId="2" type="noConversion"/>
  </si>
  <si>
    <t>A/S</t>
    <phoneticPr fontId="2" type="noConversion"/>
  </si>
  <si>
    <t>강지원</t>
    <phoneticPr fontId="2" type="noConversion"/>
  </si>
  <si>
    <t>1-진진</t>
    <phoneticPr fontId="2" type="noConversion"/>
  </si>
  <si>
    <t>26명</t>
    <phoneticPr fontId="2" type="noConversion"/>
  </si>
  <si>
    <t>진진</t>
    <phoneticPr fontId="2" type="noConversion"/>
  </si>
  <si>
    <t>마감</t>
    <phoneticPr fontId="2" type="noConversion"/>
  </si>
  <si>
    <t>베솔(34)</t>
    <phoneticPr fontId="2" type="noConversion"/>
  </si>
  <si>
    <t>납품전</t>
    <phoneticPr fontId="2" type="noConversion"/>
  </si>
  <si>
    <t>납품전</t>
    <phoneticPr fontId="2" type="noConversion"/>
  </si>
  <si>
    <t>FF135A1</t>
    <phoneticPr fontId="2" type="noConversion"/>
  </si>
  <si>
    <t>모터 반출</t>
    <phoneticPr fontId="2" type="noConversion"/>
  </si>
  <si>
    <t>승조원교육</t>
    <phoneticPr fontId="2" type="noConversion"/>
  </si>
  <si>
    <t>검사 입회</t>
    <phoneticPr fontId="2" type="noConversion"/>
  </si>
  <si>
    <t>PV,CMR,HH</t>
    <phoneticPr fontId="2" type="noConversion"/>
  </si>
  <si>
    <t>클리닝 / 덴소 / 도장 / 포장</t>
    <phoneticPr fontId="2" type="noConversion"/>
  </si>
  <si>
    <t>사내작업</t>
  </si>
  <si>
    <t>김해공장</t>
  </si>
  <si>
    <t>차영석</t>
  </si>
  <si>
    <t>무상</t>
  </si>
  <si>
    <t>설치</t>
  </si>
  <si>
    <t>A/S</t>
  </si>
  <si>
    <t>인도후</t>
    <phoneticPr fontId="2" type="noConversion"/>
  </si>
  <si>
    <t>진해해군</t>
    <phoneticPr fontId="2" type="noConversion"/>
  </si>
  <si>
    <t>MSH04</t>
    <phoneticPr fontId="2" type="noConversion"/>
  </si>
  <si>
    <t>KT</t>
    <phoneticPr fontId="2" type="noConversion"/>
  </si>
  <si>
    <t>진진(1)</t>
    <phoneticPr fontId="2" type="noConversion"/>
  </si>
  <si>
    <t>무상</t>
    <phoneticPr fontId="2" type="noConversion"/>
  </si>
  <si>
    <t>ROCKING TEST</t>
    <phoneticPr fontId="2" type="noConversion"/>
  </si>
  <si>
    <t>A/S</t>
    <phoneticPr fontId="2" type="noConversion"/>
  </si>
  <si>
    <t>인도전</t>
  </si>
  <si>
    <t>인도전</t>
    <phoneticPr fontId="2" type="noConversion"/>
  </si>
  <si>
    <t>납품전</t>
  </si>
  <si>
    <t>신명(2)</t>
    <phoneticPr fontId="2" type="noConversion"/>
  </si>
  <si>
    <t>-</t>
  </si>
  <si>
    <t>무상</t>
    <phoneticPr fontId="2" type="noConversion"/>
  </si>
  <si>
    <t>안상민</t>
    <phoneticPr fontId="2" type="noConversion"/>
  </si>
  <si>
    <t>RB, HT, RCS</t>
    <phoneticPr fontId="2" type="noConversion"/>
  </si>
  <si>
    <t>아이앤지(2)</t>
  </si>
  <si>
    <t>HT</t>
  </si>
  <si>
    <t>조립반 지원</t>
    <phoneticPr fontId="2" type="noConversion"/>
  </si>
  <si>
    <t>HH</t>
    <phoneticPr fontId="2" type="noConversion"/>
  </si>
  <si>
    <t>포장 지원</t>
  </si>
  <si>
    <t>P166</t>
  </si>
  <si>
    <t>P166</t>
    <phoneticPr fontId="2" type="noConversion"/>
  </si>
  <si>
    <t>ROV&amp;ROV LARS CT,OT평가/ ROV LARS 운영자 교육 (일 ~ 금)</t>
    <phoneticPr fontId="2" type="noConversion"/>
  </si>
  <si>
    <t>박성용, 차영석</t>
    <phoneticPr fontId="2" type="noConversion"/>
  </si>
  <si>
    <t>HHI</t>
  </si>
  <si>
    <t>1.5톤 실린더 반출 (9:30해군의집)</t>
    <phoneticPr fontId="2" type="noConversion"/>
  </si>
  <si>
    <t>보증수리 (무상)</t>
    <phoneticPr fontId="2" type="noConversion"/>
  </si>
  <si>
    <t>계약사항 (무상)</t>
  </si>
  <si>
    <t>검사 코멘트 조치, 보트시트 측정</t>
    <phoneticPr fontId="2" type="noConversion"/>
  </si>
  <si>
    <t>선주코멘트 (무상)</t>
    <phoneticPr fontId="2" type="noConversion"/>
  </si>
  <si>
    <t>3/16 ~ 3/18</t>
    <phoneticPr fontId="2" type="noConversion"/>
  </si>
  <si>
    <t>HH</t>
    <phoneticPr fontId="2" type="noConversion"/>
  </si>
  <si>
    <t>외주정비</t>
    <phoneticPr fontId="2" type="noConversion"/>
  </si>
  <si>
    <t>기중기정</t>
    <phoneticPr fontId="2" type="noConversion"/>
  </si>
  <si>
    <t>3/8 ~ 3/11</t>
  </si>
  <si>
    <t>RB</t>
  </si>
  <si>
    <t>클리닝 / 덴소 / 도장 / 포장</t>
  </si>
  <si>
    <t>강지원</t>
  </si>
  <si>
    <t>외주(8)</t>
  </si>
  <si>
    <t>    2,000,000</t>
  </si>
  <si>
    <t>3/7(화)</t>
  </si>
  <si>
    <t>P168</t>
  </si>
  <si>
    <t>ML</t>
  </si>
  <si>
    <t>      360,000</t>
  </si>
  <si>
    <t>3/8(수)</t>
  </si>
  <si>
    <t>승조원교육</t>
  </si>
  <si>
    <t>박성용, 하충호</t>
  </si>
  <si>
    <t>      300,000</t>
  </si>
  <si>
    <t>3/9(목)</t>
  </si>
  <si>
    <t>CMR</t>
    <phoneticPr fontId="2" type="noConversion"/>
  </si>
  <si>
    <t>S192</t>
    <phoneticPr fontId="2" type="noConversion"/>
  </si>
  <si>
    <t>2023-03-27 ~ 04/01일</t>
    <phoneticPr fontId="2" type="noConversion"/>
  </si>
  <si>
    <t>0281</t>
    <phoneticPr fontId="2" type="noConversion"/>
  </si>
  <si>
    <t>RB</t>
    <phoneticPr fontId="2" type="noConversion"/>
  </si>
  <si>
    <t>외주(4)</t>
    <phoneticPr fontId="2" type="noConversion"/>
  </si>
  <si>
    <t>CMR</t>
  </si>
  <si>
    <t>외주(6)</t>
  </si>
  <si>
    <t>2023-03-20 ~ 25일</t>
  </si>
  <si>
    <t>DSME</t>
  </si>
  <si>
    <t>ROV</t>
  </si>
  <si>
    <t>ROV&amp;ROV LARS CT,OT평가/ ROV LARS 운영자 교육</t>
  </si>
  <si>
    <t>박성용, 차영석</t>
  </si>
  <si>
    <t>가야, 디에스티</t>
  </si>
  <si>
    <t>3/20 ~ 3/25</t>
    <phoneticPr fontId="2" type="noConversion"/>
  </si>
  <si>
    <t>PE</t>
    <phoneticPr fontId="2" type="noConversion"/>
  </si>
  <si>
    <t>박성용</t>
    <phoneticPr fontId="2" type="noConversion"/>
  </si>
  <si>
    <t>조립</t>
    <phoneticPr fontId="2" type="noConversion"/>
  </si>
  <si>
    <t>김해공장</t>
    <phoneticPr fontId="2" type="noConversion"/>
  </si>
  <si>
    <t>2023-04-03/06/07(3일)</t>
    <phoneticPr fontId="2" type="noConversion"/>
  </si>
  <si>
    <t>SHI</t>
    <phoneticPr fontId="2" type="noConversion"/>
  </si>
  <si>
    <t>PV</t>
    <phoneticPr fontId="2" type="noConversion"/>
  </si>
  <si>
    <t>포장/수정작업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</si>
  <si>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</si>
  <si>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</si>
  <si>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</si>
  <si>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HMD</t>
    <phoneticPr fontId="2" type="noConversion"/>
  </si>
  <si>
    <t>H8299</t>
    <phoneticPr fontId="2" type="noConversion"/>
  </si>
  <si>
    <t>drain valve connection 부위에 리크 발생, Fwd crane 상부 Supp't 볼팅부 갭 발생 수정, Fwd Jib rest 구간에 Luffing down 시 Gap 없이 놓여짐. 조정 필요, Pedestal M/H N/plate설치</t>
    <phoneticPr fontId="2" type="noConversion"/>
  </si>
  <si>
    <t>벤드브레이크 Support 누락 / 핸들 나사산 Pitch 조정 / 시운전</t>
    <phoneticPr fontId="2" type="noConversion"/>
  </si>
  <si>
    <t>2023-04-11~ 4-12(2일)</t>
    <phoneticPr fontId="2" type="noConversion"/>
  </si>
  <si>
    <t>A/S</t>
    <phoneticPr fontId="2" type="noConversion"/>
  </si>
  <si>
    <t>선주코멘트</t>
    <phoneticPr fontId="2" type="noConversion"/>
  </si>
  <si>
    <t>도면 개정</t>
    <phoneticPr fontId="2" type="noConversion"/>
  </si>
  <si>
    <t>도면 개정</t>
    <phoneticPr fontId="2" type="noConversion"/>
  </si>
  <si>
    <t>검사</t>
    <phoneticPr fontId="2" type="noConversion"/>
  </si>
  <si>
    <t>강지원</t>
    <phoneticPr fontId="2" type="noConversion"/>
  </si>
  <si>
    <t xml:space="preserve">PV </t>
    <phoneticPr fontId="2" type="noConversion"/>
  </si>
  <si>
    <t>검사입회</t>
    <phoneticPr fontId="2" type="noConversion"/>
  </si>
  <si>
    <t>SN2461</t>
    <phoneticPr fontId="2" type="noConversion"/>
  </si>
  <si>
    <t>인도전</t>
    <phoneticPr fontId="2" type="noConversion"/>
  </si>
  <si>
    <t>P168</t>
    <phoneticPr fontId="2" type="noConversion"/>
  </si>
  <si>
    <t>S192</t>
  </si>
  <si>
    <t>S192</t>
    <phoneticPr fontId="2" type="noConversion"/>
  </si>
  <si>
    <t>DC</t>
  </si>
  <si>
    <t>DC</t>
    <phoneticPr fontId="2" type="noConversion"/>
  </si>
  <si>
    <t>A/S</t>
    <phoneticPr fontId="2" type="noConversion"/>
  </si>
  <si>
    <t>인도전</t>
    <phoneticPr fontId="2" type="noConversion"/>
  </si>
  <si>
    <t>HJ중공업</t>
  </si>
  <si>
    <t>디에스티(1)</t>
    <phoneticPr fontId="2" type="noConversion"/>
  </si>
  <si>
    <t>무상</t>
    <phoneticPr fontId="2" type="noConversion"/>
  </si>
  <si>
    <t>아이앤지(2)</t>
    <phoneticPr fontId="2" type="noConversion"/>
  </si>
  <si>
    <t>아이앤지(3)</t>
  </si>
  <si>
    <t>이성희, 차영석</t>
  </si>
  <si>
    <t>4/29 ~ 5/2</t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</si>
  <si>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</si>
  <si>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</si>
  <si>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</si>
  <si>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DC</t>
    <phoneticPr fontId="2" type="noConversion"/>
  </si>
  <si>
    <t>포장, 덴소, 도장</t>
  </si>
  <si>
    <t>-</t>
    <phoneticPr fontId="2" type="noConversion"/>
  </si>
  <si>
    <t>탑재 (슬립링, 모터, U/P설치)</t>
  </si>
  <si>
    <t>탑재(JIB, K/JIB 조립)</t>
  </si>
  <si>
    <t>탑재 (JIB 설치)</t>
  </si>
  <si>
    <t>포장반 지원</t>
  </si>
  <si>
    <t>납품/설치</t>
  </si>
  <si>
    <t>HHI</t>
    <phoneticPr fontId="2" type="noConversion"/>
  </si>
  <si>
    <t>밴드 브레이크 수정</t>
    <phoneticPr fontId="2" type="noConversion"/>
  </si>
  <si>
    <t>CLAIM</t>
    <phoneticPr fontId="2" type="noConversion"/>
  </si>
  <si>
    <t>SHI</t>
    <phoneticPr fontId="2" type="noConversion"/>
  </si>
  <si>
    <t>PV</t>
    <phoneticPr fontId="2" type="noConversion"/>
  </si>
  <si>
    <t>HH</t>
    <phoneticPr fontId="2" type="noConversion"/>
  </si>
  <si>
    <t>와이어 로프 교체</t>
    <phoneticPr fontId="2" type="noConversion"/>
  </si>
  <si>
    <t>유니버셜조인트, 조인트 커버 설치</t>
    <phoneticPr fontId="2" type="noConversion"/>
  </si>
  <si>
    <t>신명(3)</t>
    <phoneticPr fontId="2" type="noConversion"/>
  </si>
  <si>
    <t>무상</t>
    <phoneticPr fontId="2" type="noConversion"/>
  </si>
  <si>
    <t>이광형</t>
    <phoneticPr fontId="2" type="noConversion"/>
  </si>
  <si>
    <t>5/9 ~ 5/10</t>
    <phoneticPr fontId="2" type="noConversion"/>
  </si>
  <si>
    <t>LWN</t>
    <phoneticPr fontId="2" type="noConversion"/>
  </si>
  <si>
    <t>진진(4)</t>
    <phoneticPr fontId="2" type="noConversion"/>
  </si>
  <si>
    <t>TEST PEDESTAL 용접</t>
    <phoneticPr fontId="2" type="noConversion"/>
  </si>
  <si>
    <t>크레인 탑재</t>
    <phoneticPr fontId="2" type="noConversion"/>
  </si>
  <si>
    <t>이광형</t>
    <phoneticPr fontId="2" type="noConversion"/>
  </si>
  <si>
    <t>탑재 작업 추가 요구</t>
    <phoneticPr fontId="2" type="noConversion"/>
  </si>
  <si>
    <t>제작불량 (무상) _ 제작사(유성기공) 구상권 청구 함</t>
    <phoneticPr fontId="2" type="noConversion"/>
  </si>
  <si>
    <t>와이어 정렬 불량 (무상)</t>
    <phoneticPr fontId="2" type="noConversion"/>
  </si>
  <si>
    <t>A/S</t>
    <phoneticPr fontId="2" type="noConversion"/>
  </si>
  <si>
    <t>인도전</t>
    <phoneticPr fontId="2" type="noConversion"/>
  </si>
  <si>
    <t>DSME</t>
    <phoneticPr fontId="2" type="noConversion"/>
  </si>
  <si>
    <t>ROV</t>
    <phoneticPr fontId="2" type="noConversion"/>
  </si>
  <si>
    <t>정비창 교육</t>
    <phoneticPr fontId="2" type="noConversion"/>
  </si>
  <si>
    <t>디에스티(1)</t>
    <phoneticPr fontId="2" type="noConversion"/>
  </si>
  <si>
    <t>계약사항 (무상)</t>
    <phoneticPr fontId="2" type="noConversion"/>
  </si>
  <si>
    <t>순천공장 매각에 따른 추가 작업</t>
    <phoneticPr fontId="2" type="noConversion"/>
  </si>
  <si>
    <t>5/3(수)</t>
  </si>
  <si>
    <t>      750,000</t>
  </si>
  <si>
    <t>5/4(목)</t>
  </si>
  <si>
    <t>      500,000</t>
  </si>
  <si>
    <t>5/5(금)</t>
  </si>
  <si>
    <t>더베스트솔루션</t>
    <phoneticPr fontId="2" type="noConversion"/>
  </si>
  <si>
    <t>CMR</t>
    <phoneticPr fontId="2" type="noConversion"/>
  </si>
  <si>
    <t>해상시운전 (통선 16시) 1박2일</t>
    <phoneticPr fontId="2" type="noConversion"/>
  </si>
  <si>
    <t>디에스티, 동아(1)</t>
    <phoneticPr fontId="2" type="noConversion"/>
  </si>
  <si>
    <t>진해항</t>
    <phoneticPr fontId="2" type="noConversion"/>
  </si>
  <si>
    <t>와이어 정렬 불량 (파고듦) 수정</t>
    <phoneticPr fontId="2" type="noConversion"/>
  </si>
  <si>
    <t>유압 호스 실측 및 설치</t>
    <phoneticPr fontId="2" type="noConversion"/>
  </si>
  <si>
    <t>도면 불량 (무상)</t>
    <phoneticPr fontId="2" type="noConversion"/>
  </si>
  <si>
    <t>강지원</t>
    <phoneticPr fontId="2" type="noConversion"/>
  </si>
  <si>
    <t>납품전</t>
    <phoneticPr fontId="2" type="noConversion"/>
  </si>
  <si>
    <t>김해공장</t>
    <phoneticPr fontId="2" type="noConversion"/>
  </si>
  <si>
    <t>PV</t>
    <phoneticPr fontId="2" type="noConversion"/>
  </si>
  <si>
    <t>포장/덴소/도장보수</t>
    <phoneticPr fontId="2" type="noConversion"/>
  </si>
  <si>
    <t>강지원</t>
    <phoneticPr fontId="2" type="noConversion"/>
  </si>
  <si>
    <t>외주(2)</t>
    <phoneticPr fontId="2" type="noConversion"/>
  </si>
  <si>
    <t>-</t>
    <phoneticPr fontId="2" type="noConversion"/>
  </si>
  <si>
    <t>DV</t>
    <phoneticPr fontId="2" type="noConversion"/>
  </si>
  <si>
    <t>P/D 포장/도장보수</t>
    <phoneticPr fontId="2" type="noConversion"/>
  </si>
  <si>
    <t>MRS108</t>
    <phoneticPr fontId="2" type="noConversion"/>
  </si>
  <si>
    <t>KT</t>
    <phoneticPr fontId="2" type="noConversion"/>
  </si>
  <si>
    <t>ML.,HT,RB,RCS</t>
    <phoneticPr fontId="2" type="noConversion"/>
  </si>
  <si>
    <t>코멘트 조치</t>
    <phoneticPr fontId="2" type="noConversion"/>
  </si>
  <si>
    <t>ER</t>
    <phoneticPr fontId="2" type="noConversion"/>
  </si>
  <si>
    <t>업체</t>
    <phoneticPr fontId="2" type="noConversion"/>
  </si>
  <si>
    <t>보증수리 조치 (RCS라이너, ML기어반출 외)</t>
    <phoneticPr fontId="2" type="noConversion"/>
  </si>
  <si>
    <t>P157</t>
    <phoneticPr fontId="2" type="noConversion"/>
  </si>
  <si>
    <t>가이드 롤러 교체, 레일 수정</t>
    <phoneticPr fontId="2" type="noConversion"/>
  </si>
  <si>
    <t>진진(2)</t>
    <phoneticPr fontId="2" type="noConversion"/>
  </si>
  <si>
    <t>진동 보강 (용접 후 도장, 인도6/2일)</t>
    <phoneticPr fontId="2" type="noConversion"/>
  </si>
  <si>
    <t>해수 누수, 오일 누유</t>
    <phoneticPr fontId="2" type="noConversion"/>
  </si>
  <si>
    <t>315함</t>
    <phoneticPr fontId="2" type="noConversion"/>
  </si>
  <si>
    <t>RB</t>
    <phoneticPr fontId="2" type="noConversion"/>
  </si>
  <si>
    <t>운용 점검/조치 (1박2일)</t>
    <phoneticPr fontId="2" type="noConversion"/>
  </si>
  <si>
    <t>박주성</t>
    <phoneticPr fontId="2" type="noConversion"/>
  </si>
  <si>
    <t>안상민</t>
    <phoneticPr fontId="2" type="noConversion"/>
  </si>
  <si>
    <t>박주성</t>
    <phoneticPr fontId="2" type="noConversion"/>
  </si>
  <si>
    <t>보증수리</t>
    <phoneticPr fontId="2" type="noConversion"/>
  </si>
  <si>
    <t>개선사항 (설계변경)</t>
    <phoneticPr fontId="2" type="noConversion"/>
  </si>
  <si>
    <t>선주코멘트 (설계변경)</t>
    <phoneticPr fontId="2" type="noConversion"/>
  </si>
  <si>
    <t>무상</t>
    <phoneticPr fontId="2" type="noConversion"/>
  </si>
  <si>
    <t>아이앤지(2)</t>
    <phoneticPr fontId="2" type="noConversion"/>
  </si>
  <si>
    <t>박성용</t>
    <phoneticPr fontId="2" type="noConversion"/>
  </si>
  <si>
    <t>SWN0271</t>
    <phoneticPr fontId="2" type="noConversion"/>
  </si>
  <si>
    <t>진진(1)</t>
    <phoneticPr fontId="2" type="noConversion"/>
  </si>
  <si>
    <t>무상</t>
    <phoneticPr fontId="2" type="noConversion"/>
  </si>
  <si>
    <t>안상민</t>
    <phoneticPr fontId="2" type="noConversion"/>
  </si>
  <si>
    <t>진진(3)</t>
    <phoneticPr fontId="2" type="noConversion"/>
  </si>
  <si>
    <t>DSME</t>
    <phoneticPr fontId="2" type="noConversion"/>
  </si>
  <si>
    <t>박성용</t>
    <phoneticPr fontId="2" type="noConversion"/>
  </si>
  <si>
    <t>DC</t>
    <phoneticPr fontId="2" type="noConversion"/>
  </si>
  <si>
    <t>PV</t>
    <phoneticPr fontId="2" type="noConversion"/>
  </si>
  <si>
    <t>MRS108</t>
    <phoneticPr fontId="2" type="noConversion"/>
  </si>
  <si>
    <t>KT</t>
    <phoneticPr fontId="2" type="noConversion"/>
  </si>
  <si>
    <t>DB6601</t>
    <phoneticPr fontId="2" type="noConversion"/>
  </si>
  <si>
    <t>ER</t>
    <phoneticPr fontId="2" type="noConversion"/>
  </si>
  <si>
    <t>A/S</t>
    <phoneticPr fontId="2" type="noConversion"/>
  </si>
  <si>
    <t>무상</t>
    <phoneticPr fontId="2" type="noConversion"/>
  </si>
  <si>
    <t>신명(1)</t>
    <phoneticPr fontId="2" type="noConversion"/>
  </si>
  <si>
    <t>CMR</t>
    <phoneticPr fontId="2" type="noConversion"/>
  </si>
  <si>
    <t>조인트커버 수정/설치</t>
    <phoneticPr fontId="2" type="noConversion"/>
  </si>
  <si>
    <t>인도전</t>
    <phoneticPr fontId="2" type="noConversion"/>
  </si>
  <si>
    <t>SHI</t>
    <phoneticPr fontId="2" type="noConversion"/>
  </si>
  <si>
    <t>진해해군</t>
    <phoneticPr fontId="2" type="noConversion"/>
  </si>
  <si>
    <t>인도전</t>
    <phoneticPr fontId="2" type="noConversion"/>
  </si>
  <si>
    <t>ML, RCS</t>
    <phoneticPr fontId="2" type="noConversion"/>
  </si>
  <si>
    <t>박성용, 안상민</t>
    <phoneticPr fontId="2" type="noConversion"/>
  </si>
  <si>
    <t>기어 설치, 센서 작동 유무 확인 / 보증수리 마무리, 완료 서명</t>
    <phoneticPr fontId="2" type="noConversion"/>
  </si>
  <si>
    <t>CLAIM</t>
    <phoneticPr fontId="2" type="noConversion"/>
  </si>
  <si>
    <t>A/S</t>
    <phoneticPr fontId="2" type="noConversion"/>
  </si>
  <si>
    <t>도면불량 (무상)</t>
    <phoneticPr fontId="2" type="noConversion"/>
  </si>
  <si>
    <t>아이앤지(2)</t>
    <phoneticPr fontId="2" type="noConversion"/>
  </si>
  <si>
    <t>보증수리 (무상)</t>
    <phoneticPr fontId="2" type="noConversion"/>
  </si>
  <si>
    <t>납품전</t>
    <phoneticPr fontId="2" type="noConversion"/>
  </si>
  <si>
    <t>PV</t>
    <phoneticPr fontId="2" type="noConversion"/>
  </si>
  <si>
    <t>김해공장</t>
    <phoneticPr fontId="2" type="noConversion"/>
  </si>
  <si>
    <t>진진(1)</t>
    <phoneticPr fontId="2" type="noConversion"/>
  </si>
  <si>
    <t>무상</t>
    <phoneticPr fontId="2" type="noConversion"/>
  </si>
  <si>
    <t>진동보강</t>
    <phoneticPr fontId="2" type="noConversion"/>
  </si>
  <si>
    <t>핸들 축 개선, 그리스 제거</t>
    <phoneticPr fontId="2" type="noConversion"/>
  </si>
  <si>
    <t>군산해경전용부두</t>
    <phoneticPr fontId="2" type="noConversion"/>
  </si>
  <si>
    <t>박성용</t>
    <phoneticPr fontId="2" type="noConversion"/>
  </si>
  <si>
    <t>진진(1)</t>
    <phoneticPr fontId="2" type="noConversion"/>
  </si>
  <si>
    <t>무상</t>
    <phoneticPr fontId="2" type="noConversion"/>
  </si>
  <si>
    <t>인도전</t>
    <phoneticPr fontId="2" type="noConversion"/>
  </si>
  <si>
    <t>SHI</t>
    <phoneticPr fontId="2" type="noConversion"/>
  </si>
  <si>
    <t>PV</t>
    <phoneticPr fontId="2" type="noConversion"/>
  </si>
  <si>
    <t>HHI</t>
    <phoneticPr fontId="2" type="noConversion"/>
  </si>
  <si>
    <t>2459/60/61</t>
    <phoneticPr fontId="2" type="noConversion"/>
  </si>
  <si>
    <t>신명(3)</t>
    <phoneticPr fontId="2" type="noConversion"/>
  </si>
  <si>
    <t>그리스 라인 오작 수정 (좌/우현)</t>
    <phoneticPr fontId="2" type="noConversion"/>
  </si>
  <si>
    <t>인도후</t>
    <phoneticPr fontId="2" type="noConversion"/>
  </si>
  <si>
    <t>CLAIM</t>
    <phoneticPr fontId="2" type="noConversion"/>
  </si>
  <si>
    <t>P157</t>
    <phoneticPr fontId="2" type="noConversion"/>
  </si>
  <si>
    <t>HD</t>
    <phoneticPr fontId="2" type="noConversion"/>
  </si>
  <si>
    <t>가이드 롤러 및 레일 수정</t>
    <phoneticPr fontId="2" type="noConversion"/>
  </si>
  <si>
    <t>박주성</t>
    <phoneticPr fontId="2" type="noConversion"/>
  </si>
  <si>
    <t>진진(3)</t>
    <phoneticPr fontId="2" type="noConversion"/>
  </si>
  <si>
    <t>유상</t>
    <phoneticPr fontId="2" type="noConversion"/>
  </si>
  <si>
    <t>유상수리</t>
    <phoneticPr fontId="2" type="noConversion"/>
  </si>
  <si>
    <t>도면불량 / 도면개정 적용</t>
    <phoneticPr fontId="2" type="noConversion"/>
  </si>
  <si>
    <t>개선사항</t>
    <phoneticPr fontId="2" type="noConversion"/>
  </si>
  <si>
    <t>도면불량 / 도면개정 적용</t>
    <phoneticPr fontId="2" type="noConversion"/>
  </si>
  <si>
    <t>선주코멘트/ 도면개정 적용</t>
    <phoneticPr fontId="2" type="noConversion"/>
  </si>
  <si>
    <t>P159</t>
    <phoneticPr fontId="2" type="noConversion"/>
  </si>
  <si>
    <t>인도후</t>
    <phoneticPr fontId="2" type="noConversion"/>
  </si>
  <si>
    <t>RB</t>
    <phoneticPr fontId="2" type="noConversion"/>
  </si>
  <si>
    <t>유상</t>
    <phoneticPr fontId="2" type="noConversion"/>
  </si>
  <si>
    <t>TC</t>
    <phoneticPr fontId="2" type="noConversion"/>
  </si>
  <si>
    <t>2460/61</t>
    <phoneticPr fontId="2" type="noConversion"/>
  </si>
  <si>
    <t>HH</t>
    <phoneticPr fontId="2" type="noConversion"/>
  </si>
  <si>
    <t>파이프 -&gt; 호스 변경</t>
    <phoneticPr fontId="2" type="noConversion"/>
  </si>
  <si>
    <t>디에스티(1)</t>
    <phoneticPr fontId="2" type="noConversion"/>
  </si>
  <si>
    <t>인도후</t>
    <phoneticPr fontId="2" type="noConversion"/>
  </si>
  <si>
    <t>포항</t>
    <phoneticPr fontId="2" type="noConversion"/>
  </si>
  <si>
    <t>P142</t>
    <phoneticPr fontId="2" type="noConversion"/>
  </si>
  <si>
    <t>HC</t>
    <phoneticPr fontId="2" type="noConversion"/>
  </si>
  <si>
    <t>부해치 고정장치 작동 불량</t>
    <phoneticPr fontId="2" type="noConversion"/>
  </si>
  <si>
    <t>씨앤엠(2)</t>
    <phoneticPr fontId="2" type="noConversion"/>
  </si>
  <si>
    <t>진진(1)</t>
    <phoneticPr fontId="2" type="noConversion"/>
  </si>
  <si>
    <t>와이어 절단 후 윈치 반출 (좌/우현)</t>
    <phoneticPr fontId="2" type="noConversion"/>
  </si>
  <si>
    <t>시운전 코멘트 조치 (도장보수, 와이어재설치, 킵 체인교체 용접, 도장)</t>
    <phoneticPr fontId="2" type="noConversion"/>
  </si>
  <si>
    <t>유상수리</t>
    <phoneticPr fontId="2" type="noConversion"/>
  </si>
  <si>
    <t>보증수리</t>
    <phoneticPr fontId="2" type="noConversion"/>
  </si>
  <si>
    <t>선주코멘트</t>
    <phoneticPr fontId="2" type="noConversion"/>
  </si>
  <si>
    <t>김해공장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</si>
  <si>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</si>
  <si>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</si>
  <si>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</si>
  <si>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N6157</t>
    <phoneticPr fontId="2" type="noConversion"/>
  </si>
  <si>
    <t>HT</t>
    <phoneticPr fontId="2" type="noConversion"/>
  </si>
  <si>
    <t>덴소/도장/포장</t>
    <phoneticPr fontId="2" type="noConversion"/>
  </si>
  <si>
    <t>강지원</t>
    <phoneticPr fontId="2" type="noConversion"/>
  </si>
  <si>
    <t>포장지원</t>
    <phoneticPr fontId="2" type="noConversion"/>
  </si>
  <si>
    <t>외주(4)</t>
    <phoneticPr fontId="2" type="noConversion"/>
  </si>
  <si>
    <t>인도전</t>
    <phoneticPr fontId="2" type="noConversion"/>
  </si>
  <si>
    <t>디에스티(2)</t>
    <phoneticPr fontId="2" type="noConversion"/>
  </si>
  <si>
    <t>A/S</t>
    <phoneticPr fontId="2" type="noConversion"/>
  </si>
  <si>
    <t>DSME</t>
    <phoneticPr fontId="2" type="noConversion"/>
  </si>
  <si>
    <t>TC</t>
    <phoneticPr fontId="2" type="noConversion"/>
  </si>
  <si>
    <t>코멘트 조치 (와이어 정렬 외)</t>
    <phoneticPr fontId="2" type="noConversion"/>
  </si>
  <si>
    <t>박성용</t>
    <phoneticPr fontId="2" type="noConversion"/>
  </si>
  <si>
    <t>아이앤지(2)</t>
    <phoneticPr fontId="2" type="noConversion"/>
  </si>
  <si>
    <t>무상</t>
    <phoneticPr fontId="2" type="noConversion"/>
  </si>
  <si>
    <t>설계 오작 수정 작업</t>
    <phoneticPr fontId="2" type="noConversion"/>
  </si>
  <si>
    <t>GNN0014</t>
    <phoneticPr fontId="2" type="noConversion"/>
  </si>
  <si>
    <t>KT</t>
    <phoneticPr fontId="2" type="noConversion"/>
  </si>
  <si>
    <t>PV</t>
    <phoneticPr fontId="2" type="noConversion"/>
  </si>
  <si>
    <t>덴소/도장보수/포장</t>
    <phoneticPr fontId="2" type="noConversion"/>
  </si>
  <si>
    <t>강지원</t>
    <phoneticPr fontId="2" type="noConversion"/>
  </si>
  <si>
    <t>조립/설치 지원</t>
    <phoneticPr fontId="2" type="noConversion"/>
  </si>
  <si>
    <t>포장 지원</t>
    <phoneticPr fontId="2" type="noConversion"/>
  </si>
  <si>
    <t>선주코멘트</t>
    <phoneticPr fontId="2" type="noConversion"/>
  </si>
  <si>
    <t>선주코멘트</t>
    <phoneticPr fontId="2" type="noConversion"/>
  </si>
  <si>
    <t>아이앤지(3)</t>
    <phoneticPr fontId="2" type="noConversion"/>
  </si>
  <si>
    <t>설치 지원</t>
    <phoneticPr fontId="2" type="noConversion"/>
  </si>
  <si>
    <t>SN2459/60/61</t>
    <phoneticPr fontId="2" type="noConversion"/>
  </si>
  <si>
    <t>그리스라인 절단 및 재설치, 도장 보수</t>
    <phoneticPr fontId="2" type="noConversion"/>
  </si>
  <si>
    <t>도면오작, 사전품의완료</t>
    <phoneticPr fontId="2" type="noConversion"/>
  </si>
  <si>
    <t>김해공장</t>
    <phoneticPr fontId="2" type="noConversion"/>
  </si>
  <si>
    <t>SB648</t>
    <phoneticPr fontId="2" type="noConversion"/>
  </si>
  <si>
    <t>조립/설치</t>
    <phoneticPr fontId="2" type="noConversion"/>
  </si>
  <si>
    <t>사내작업</t>
    <phoneticPr fontId="2" type="noConversion"/>
  </si>
  <si>
    <t>DSS</t>
    <phoneticPr fontId="2" type="noConversion"/>
  </si>
  <si>
    <t>미래중공업</t>
    <phoneticPr fontId="2" type="noConversion"/>
  </si>
  <si>
    <t>납품전</t>
    <phoneticPr fontId="2" type="noConversion"/>
  </si>
  <si>
    <t>김해공장</t>
    <phoneticPr fontId="2" type="noConversion"/>
  </si>
  <si>
    <t>박주성</t>
    <phoneticPr fontId="2" type="noConversion"/>
  </si>
  <si>
    <t>GNN0014</t>
    <phoneticPr fontId="2" type="noConversion"/>
  </si>
  <si>
    <t>K/T</t>
    <phoneticPr fontId="2" type="noConversion"/>
  </si>
  <si>
    <t>설계 오작 수정 작업</t>
    <phoneticPr fontId="2" type="noConversion"/>
  </si>
  <si>
    <t>다음달 2517</t>
    <phoneticPr fontId="2" type="noConversion"/>
  </si>
  <si>
    <t>사전품의 완료</t>
    <phoneticPr fontId="2" type="noConversion"/>
  </si>
  <si>
    <t>아이앤지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</si>
  <si>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</si>
  <si>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</si>
  <si>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</si>
  <si>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</si>
  <si>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ML</t>
    <phoneticPr fontId="2" type="noConversion"/>
  </si>
  <si>
    <t>박성용</t>
  </si>
  <si>
    <t>박성용</t>
    <phoneticPr fontId="2" type="noConversion"/>
  </si>
  <si>
    <t>PV</t>
  </si>
  <si>
    <t>우신(2)</t>
    <phoneticPr fontId="2" type="noConversion"/>
  </si>
  <si>
    <t>코멘트 조치 (롤러이탈수정, 사이드롤러설치 후 도장, 토글핀 적용, 리미트스위치2개 공급)</t>
    <phoneticPr fontId="2" type="noConversion"/>
  </si>
  <si>
    <t>SHI</t>
    <phoneticPr fontId="2" type="noConversion"/>
  </si>
  <si>
    <t>2023-07-10 ~ 2023-07-14</t>
    <phoneticPr fontId="2" type="noConversion"/>
  </si>
  <si>
    <t>외주(5)</t>
    <phoneticPr fontId="2" type="noConversion"/>
  </si>
  <si>
    <t>2023-07-13 ~ 2023-07-14</t>
    <phoneticPr fontId="2" type="noConversion"/>
  </si>
  <si>
    <t>우신(4)</t>
    <phoneticPr fontId="2" type="noConversion"/>
  </si>
  <si>
    <t>선주코멘트, 설계변경 적용 (무상)</t>
    <phoneticPr fontId="2" type="noConversion"/>
  </si>
  <si>
    <t>ROV</t>
    <phoneticPr fontId="2" type="noConversion"/>
  </si>
  <si>
    <t>납품전</t>
    <phoneticPr fontId="2" type="noConversion"/>
  </si>
  <si>
    <t>HMD</t>
  </si>
  <si>
    <t>HMD</t>
    <phoneticPr fontId="2" type="noConversion"/>
  </si>
  <si>
    <t>포장/ 덴소/ 도장</t>
    <phoneticPr fontId="2" type="noConversion"/>
  </si>
  <si>
    <t>강지원</t>
    <phoneticPr fontId="2" type="noConversion"/>
  </si>
  <si>
    <t>외주(2)</t>
  </si>
  <si>
    <t>외주(2)</t>
    <phoneticPr fontId="2" type="noConversion"/>
  </si>
  <si>
    <t>포장반 지원</t>
    <phoneticPr fontId="2" type="noConversion"/>
  </si>
  <si>
    <t>공장</t>
  </si>
  <si>
    <t>7/3(월)</t>
  </si>
  <si>
    <t>DSS</t>
  </si>
  <si>
    <t>SB648</t>
  </si>
  <si>
    <t>KT</t>
  </si>
  <si>
    <t>조립/설치</t>
  </si>
  <si>
    <t>이광형</t>
  </si>
  <si>
    <t>조립반 지원</t>
  </si>
  <si>
    <t>HJI</t>
  </si>
  <si>
    <t>DB6601</t>
  </si>
  <si>
    <t>덴소/ 포장</t>
  </si>
  <si>
    <t>7/4(화)</t>
  </si>
  <si>
    <t>자체테스트</t>
  </si>
  <si>
    <t>외주(1)</t>
  </si>
  <si>
    <t>      250,000</t>
  </si>
  <si>
    <t>7/5(수)</t>
  </si>
  <si>
    <t>검사입회</t>
  </si>
  <si>
    <t>인도후</t>
  </si>
  <si>
    <t>포항해군</t>
  </si>
  <si>
    <t>P142</t>
  </si>
  <si>
    <t>HC</t>
  </si>
  <si>
    <t>작동 불량 점검/조치</t>
  </si>
  <si>
    <t>씨앤엠(1)</t>
  </si>
  <si>
    <t>      450,000</t>
  </si>
  <si>
    <t>보증수리 (무상)</t>
  </si>
  <si>
    <t>SWN0272</t>
    <phoneticPr fontId="2" type="noConversion"/>
  </si>
  <si>
    <t>우신(2)</t>
    <phoneticPr fontId="2" type="noConversion"/>
  </si>
  <si>
    <t>진진(2)</t>
    <phoneticPr fontId="2" type="noConversion"/>
  </si>
  <si>
    <t>우신(1)</t>
    <phoneticPr fontId="2" type="noConversion"/>
  </si>
  <si>
    <t>플랜지 데미지 수정 (화기) - 3시 입항</t>
  </si>
  <si>
    <t>러핑 리미트 작동 불량, 로드 모멘트 모니터 정상 작동 여부 점검, 나무패드 손상 점검/확인</t>
  </si>
  <si>
    <t>GNN0014</t>
  </si>
  <si>
    <t>SKMT</t>
  </si>
  <si>
    <t>해체</t>
  </si>
  <si>
    <t>우신(2)</t>
  </si>
  <si>
    <t>인도전</t>
    <phoneticPr fontId="2" type="noConversion"/>
  </si>
  <si>
    <t>MRS106</t>
    <phoneticPr fontId="2" type="noConversion"/>
  </si>
  <si>
    <t>KT</t>
    <phoneticPr fontId="2" type="noConversion"/>
  </si>
  <si>
    <t>검사 준비</t>
  </si>
  <si>
    <t>검사 입회</t>
  </si>
  <si>
    <t>진진(1)</t>
  </si>
  <si>
    <t>보증수리 (웨이트 밸런스 정렬 외)</t>
    <phoneticPr fontId="2" type="noConversion"/>
  </si>
  <si>
    <t>CLAIM</t>
  </si>
  <si>
    <t>HD</t>
  </si>
  <si>
    <t>박주성</t>
  </si>
  <si>
    <t>2023-07-17 ~ 2023-07-21</t>
  </si>
  <si>
    <t>TEST P/D 용접</t>
  </si>
  <si>
    <t>진진(2)</t>
  </si>
  <si>
    <t>TEST PEDESTAL 용접</t>
  </si>
  <si>
    <t>외주(5)</t>
  </si>
  <si>
    <t>    1,250,000</t>
  </si>
  <si>
    <t>SHI</t>
  </si>
  <si>
    <t>포장/ 덴소/ 도장</t>
  </si>
  <si>
    <t>7/17(월)</t>
  </si>
  <si>
    <t>DOG 수정 자재 교체, 검사 준비</t>
  </si>
  <si>
    <t>우신(1)</t>
  </si>
  <si>
    <t>슬립링 간섭으로 인한 펌프시트 수정</t>
  </si>
  <si>
    <t>도면 변경 반영</t>
  </si>
  <si>
    <t>7/18(화)</t>
  </si>
  <si>
    <t>WD</t>
  </si>
  <si>
    <t>7/19(수)</t>
  </si>
  <si>
    <t>플랜지 데미지 보강</t>
  </si>
  <si>
    <t>진해해군</t>
  </si>
  <si>
    <t>P165</t>
  </si>
  <si>
    <t>보증수리 (아크릴판교체, 명판 교체, 박스 반출)</t>
  </si>
  <si>
    <t>보증수리</t>
  </si>
  <si>
    <t>7/20(목)</t>
  </si>
  <si>
    <t>보트 시트 교체</t>
  </si>
  <si>
    <t>선주코멘트</t>
  </si>
  <si>
    <t>7/21(금)</t>
  </si>
  <si>
    <t>목포해군</t>
  </si>
  <si>
    <t>SWN0272</t>
  </si>
  <si>
    <t>FC</t>
  </si>
  <si>
    <t>동아(1)</t>
  </si>
  <si>
    <t>도장보수 / 덴소 / 포장</t>
    <phoneticPr fontId="2" type="noConversion"/>
  </si>
  <si>
    <t>조립 / 설치</t>
    <phoneticPr fontId="2" type="noConversion"/>
  </si>
  <si>
    <t>2023-07-24 ~ 2023-07-28</t>
    <phoneticPr fontId="2" type="noConversion"/>
  </si>
  <si>
    <t>설치 문제점</t>
    <phoneticPr fontId="2" type="noConversion"/>
  </si>
  <si>
    <t>모터 설치</t>
    <phoneticPr fontId="2" type="noConversion"/>
  </si>
  <si>
    <t>이광형</t>
    <phoneticPr fontId="2" type="noConversion"/>
  </si>
  <si>
    <t>아이앤지</t>
    <phoneticPr fontId="2" type="noConversion"/>
  </si>
  <si>
    <t>우신테크</t>
    <phoneticPr fontId="2" type="noConversion"/>
  </si>
  <si>
    <t>리미트 교체</t>
    <phoneticPr fontId="2" type="noConversion"/>
  </si>
  <si>
    <r>
      <rPr>
        <sz val="10"/>
        <color rgb="FF000000"/>
        <rFont val="돋움"/>
        <family val="3"/>
        <charset val="129"/>
      </rPr>
      <t>실린더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분리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돋움"/>
        <family val="3"/>
        <charset val="129"/>
      </rPr>
      <t>간섭부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절단</t>
    </r>
    <phoneticPr fontId="2" type="noConversion"/>
  </si>
  <si>
    <r>
      <rPr>
        <sz val="10"/>
        <color rgb="FF000000"/>
        <rFont val="돋움"/>
        <family val="3"/>
        <charset val="129"/>
      </rPr>
      <t>플레이트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phoneticPr fontId="2" type="noConversion"/>
  </si>
  <si>
    <r>
      <rPr>
        <sz val="10"/>
        <color rgb="FF000000"/>
        <rFont val="돋움"/>
        <family val="3"/>
        <charset val="129"/>
      </rPr>
      <t>실린더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재조립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레스트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phoneticPr fontId="2" type="noConversion"/>
  </si>
  <si>
    <t>박주성</t>
    <phoneticPr fontId="2" type="noConversion"/>
  </si>
  <si>
    <t>SB648</t>
    <phoneticPr fontId="2" type="noConversion"/>
  </si>
  <si>
    <t>KT</t>
    <phoneticPr fontId="2" type="noConversion"/>
  </si>
  <si>
    <t>김해공장</t>
    <phoneticPr fontId="2" type="noConversion"/>
  </si>
  <si>
    <t>납품전</t>
    <phoneticPr fontId="2" type="noConversion"/>
  </si>
  <si>
    <t>사내작업</t>
    <phoneticPr fontId="2" type="noConversion"/>
  </si>
  <si>
    <t>GNN0014</t>
    <phoneticPr fontId="2" type="noConversion"/>
  </si>
  <si>
    <t>수정작업</t>
    <phoneticPr fontId="2" type="noConversion"/>
  </si>
  <si>
    <t>씨앤엠(1)</t>
    <phoneticPr fontId="2" type="noConversion"/>
  </si>
  <si>
    <t>2023-07-31 ~ 2023-08-01</t>
    <phoneticPr fontId="2" type="noConversion"/>
  </si>
  <si>
    <t>보트 시트 교체 (6도크)</t>
    <phoneticPr fontId="2" type="noConversion"/>
  </si>
  <si>
    <t>선주코멘트 조치</t>
    <phoneticPr fontId="2" type="noConversion"/>
  </si>
  <si>
    <t>SB648
GNN0014</t>
    <phoneticPr fontId="2" type="noConversion"/>
  </si>
  <si>
    <t>외주(2)</t>
    <phoneticPr fontId="2" type="noConversion"/>
  </si>
  <si>
    <t>CLAIM</t>
    <phoneticPr fontId="2" type="noConversion"/>
  </si>
  <si>
    <t>인도전</t>
    <phoneticPr fontId="2" type="noConversion"/>
  </si>
  <si>
    <t>SHI</t>
    <phoneticPr fontId="2" type="noConversion"/>
  </si>
  <si>
    <t>2460/61</t>
    <phoneticPr fontId="2" type="noConversion"/>
  </si>
  <si>
    <t>PV</t>
    <phoneticPr fontId="2" type="noConversion"/>
  </si>
  <si>
    <t>좌우현 리미트 블록 간섭으로 세팅 불가, 리미트 터치바 연장 수정</t>
    <phoneticPr fontId="2" type="noConversion"/>
  </si>
  <si>
    <t>신명(3)</t>
    <phoneticPr fontId="2" type="noConversion"/>
  </si>
  <si>
    <t>도면불량 조치</t>
    <phoneticPr fontId="2" type="noConversion"/>
  </si>
  <si>
    <t>박주성</t>
    <phoneticPr fontId="2" type="noConversion"/>
  </si>
  <si>
    <t>박주성</t>
    <phoneticPr fontId="2" type="noConversion"/>
  </si>
  <si>
    <t>강지원, 송영국</t>
    <phoneticPr fontId="2" type="noConversion"/>
  </si>
  <si>
    <t>우신(4)</t>
    <phoneticPr fontId="2" type="noConversion"/>
  </si>
  <si>
    <t>SB648
GNN0014
4209
2579</t>
    <phoneticPr fontId="2" type="noConversion"/>
  </si>
  <si>
    <t>KT
KT
PV
HH</t>
    <phoneticPr fontId="2" type="noConversion"/>
  </si>
  <si>
    <t>우신(10)</t>
    <phoneticPr fontId="2" type="noConversion"/>
  </si>
  <si>
    <t>아아앤지(5)</t>
    <phoneticPr fontId="2" type="noConversion"/>
  </si>
  <si>
    <t>DB6602
P170</t>
    <phoneticPr fontId="2" type="noConversion"/>
  </si>
  <si>
    <t>ER
HT</t>
    <phoneticPr fontId="2" type="noConversion"/>
  </si>
  <si>
    <t xml:space="preserve">녹제거  </t>
    <phoneticPr fontId="2" type="noConversion"/>
  </si>
  <si>
    <t>우신(1)</t>
    <phoneticPr fontId="2" type="noConversion"/>
  </si>
  <si>
    <t>LCP</t>
    <phoneticPr fontId="2" type="noConversion"/>
  </si>
  <si>
    <t>TR 교체</t>
    <phoneticPr fontId="2" type="noConversion"/>
  </si>
  <si>
    <t>아이앤지(2), 동아(1)</t>
    <phoneticPr fontId="2" type="noConversion"/>
  </si>
  <si>
    <t>박주성, 박성용</t>
    <phoneticPr fontId="2" type="noConversion"/>
  </si>
  <si>
    <t>2023-08-16 ~ 2023-08-18</t>
    <phoneticPr fontId="2" type="noConversion"/>
  </si>
  <si>
    <t>우신(6)</t>
    <phoneticPr fontId="2" type="noConversion"/>
  </si>
  <si>
    <t>SB648
2584
4209
2579</t>
    <phoneticPr fontId="2" type="noConversion"/>
  </si>
  <si>
    <t>KT
PV
PV
HH</t>
    <phoneticPr fontId="2" type="noConversion"/>
  </si>
  <si>
    <t>DB6602
P170
부산항만</t>
    <phoneticPr fontId="2" type="noConversion"/>
  </si>
  <si>
    <t>ER
HT
AMP</t>
    <phoneticPr fontId="2" type="noConversion"/>
  </si>
  <si>
    <t>플랫폼 핸드레일 용접부 파손</t>
    <phoneticPr fontId="2" type="noConversion"/>
  </si>
  <si>
    <t xml:space="preserve">아이앤지(2) </t>
    <phoneticPr fontId="2" type="noConversion"/>
  </si>
  <si>
    <t>원인점검 후 용접불량 시 제작업체 구상권청구</t>
    <phoneticPr fontId="2" type="noConversion"/>
  </si>
  <si>
    <t>아아앤지(4)</t>
    <phoneticPr fontId="2" type="noConversion"/>
  </si>
  <si>
    <t>진동 보강</t>
    <phoneticPr fontId="2" type="noConversion"/>
  </si>
  <si>
    <t>박성용</t>
    <phoneticPr fontId="2" type="noConversion"/>
  </si>
  <si>
    <t>우신(2)</t>
    <phoneticPr fontId="2" type="noConversion"/>
  </si>
  <si>
    <t>무상</t>
    <phoneticPr fontId="2" type="noConversion"/>
  </si>
  <si>
    <t>A/S</t>
    <phoneticPr fontId="2" type="noConversion"/>
  </si>
  <si>
    <t>인도전</t>
    <phoneticPr fontId="2" type="noConversion"/>
  </si>
  <si>
    <t>ROV</t>
    <phoneticPr fontId="2" type="noConversion"/>
  </si>
  <si>
    <t>도킹 패드 교체</t>
    <phoneticPr fontId="2" type="noConversion"/>
  </si>
  <si>
    <t>HMD</t>
    <phoneticPr fontId="2" type="noConversion"/>
  </si>
  <si>
    <t>PV</t>
    <phoneticPr fontId="2" type="noConversion"/>
  </si>
  <si>
    <t>SN2579</t>
    <phoneticPr fontId="2" type="noConversion"/>
  </si>
  <si>
    <t>HH</t>
    <phoneticPr fontId="2" type="noConversion"/>
  </si>
  <si>
    <t>외주(2)</t>
    <phoneticPr fontId="2" type="noConversion"/>
  </si>
  <si>
    <t>-</t>
    <phoneticPr fontId="2" type="noConversion"/>
  </si>
  <si>
    <t>보증수리</t>
    <phoneticPr fontId="2" type="noConversion"/>
  </si>
  <si>
    <t>계약사항</t>
    <phoneticPr fontId="2" type="noConversion"/>
  </si>
  <si>
    <t>선주코멘트</t>
    <phoneticPr fontId="2" type="noConversion"/>
  </si>
  <si>
    <t>계약사항</t>
    <phoneticPr fontId="2" type="noConversion"/>
  </si>
  <si>
    <t>동아(1)</t>
    <phoneticPr fontId="2" type="noConversion"/>
  </si>
  <si>
    <t>OAC</t>
    <phoneticPr fontId="2" type="noConversion"/>
  </si>
  <si>
    <t>박해식</t>
    <phoneticPr fontId="2" type="noConversion"/>
  </si>
  <si>
    <t>아이앤지(5)</t>
    <phoneticPr fontId="2" type="noConversion"/>
  </si>
  <si>
    <t>진진(1)</t>
    <phoneticPr fontId="2" type="noConversion"/>
  </si>
  <si>
    <t>인도후</t>
    <phoneticPr fontId="2" type="noConversion"/>
  </si>
  <si>
    <t>KN</t>
    <phoneticPr fontId="2" type="noConversion"/>
  </si>
  <si>
    <t>MSH05</t>
    <phoneticPr fontId="2" type="noConversion"/>
  </si>
  <si>
    <t>KT, HPU</t>
    <phoneticPr fontId="2" type="noConversion"/>
  </si>
  <si>
    <t>박성용</t>
    <phoneticPr fontId="2" type="noConversion"/>
  </si>
  <si>
    <t>외주(3)</t>
    <phoneticPr fontId="2" type="noConversion"/>
  </si>
  <si>
    <t>외주(1)</t>
    <phoneticPr fontId="2" type="noConversion"/>
  </si>
  <si>
    <t>외주(1)</t>
    <phoneticPr fontId="2" type="noConversion"/>
  </si>
  <si>
    <t>CMR</t>
    <phoneticPr fontId="2" type="noConversion"/>
  </si>
  <si>
    <t>조립반 지원</t>
    <phoneticPr fontId="2" type="noConversion"/>
  </si>
  <si>
    <t>포장반 지원</t>
    <phoneticPr fontId="2" type="noConversion"/>
  </si>
  <si>
    <t>외주(1)</t>
    <phoneticPr fontId="2" type="noConversion"/>
  </si>
  <si>
    <t>조립/ HOLE 시공 작업</t>
    <phoneticPr fontId="2" type="noConversion"/>
  </si>
  <si>
    <t>아이앤지(2)</t>
    <phoneticPr fontId="2" type="noConversion"/>
  </si>
  <si>
    <t>A/S</t>
    <phoneticPr fontId="2" type="noConversion"/>
  </si>
  <si>
    <t>SN2460</t>
    <phoneticPr fontId="2" type="noConversion"/>
  </si>
  <si>
    <t>PV</t>
    <phoneticPr fontId="2" type="noConversion"/>
  </si>
  <si>
    <t>무상</t>
    <phoneticPr fontId="2" type="noConversion"/>
  </si>
  <si>
    <t>포장지원</t>
    <phoneticPr fontId="2" type="noConversion"/>
  </si>
  <si>
    <t>인도후</t>
    <phoneticPr fontId="2" type="noConversion"/>
  </si>
  <si>
    <t>진해해군</t>
    <phoneticPr fontId="2" type="noConversion"/>
  </si>
  <si>
    <t>SW</t>
    <phoneticPr fontId="2" type="noConversion"/>
  </si>
  <si>
    <t>SWN0271</t>
    <phoneticPr fontId="2" type="noConversion"/>
  </si>
  <si>
    <t>박성용</t>
    <phoneticPr fontId="2" type="noConversion"/>
  </si>
  <si>
    <t>보증수리 항목 점검/협의/조치 (오후 미팅)</t>
    <phoneticPr fontId="2" type="noConversion"/>
  </si>
  <si>
    <t>진진(1)</t>
    <phoneticPr fontId="2" type="noConversion"/>
  </si>
  <si>
    <t>검사 입회 (검사 오전10시)</t>
    <phoneticPr fontId="2" type="noConversion"/>
  </si>
  <si>
    <t>P166</t>
    <phoneticPr fontId="2" type="noConversion"/>
  </si>
  <si>
    <t>RCS</t>
    <phoneticPr fontId="2" type="noConversion"/>
  </si>
  <si>
    <t>박성용</t>
    <phoneticPr fontId="2" type="noConversion"/>
  </si>
  <si>
    <t>우신(3)</t>
    <phoneticPr fontId="2" type="noConversion"/>
  </si>
  <si>
    <t>보증수리</t>
    <phoneticPr fontId="2" type="noConversion"/>
  </si>
  <si>
    <t>선주코멘트(설계변경)</t>
    <phoneticPr fontId="2" type="noConversion"/>
  </si>
  <si>
    <t>선주코멘트</t>
    <phoneticPr fontId="2" type="noConversion"/>
  </si>
  <si>
    <t>김해공장</t>
    <phoneticPr fontId="2" type="noConversion"/>
  </si>
  <si>
    <t>PV</t>
    <phoneticPr fontId="2" type="noConversion"/>
  </si>
  <si>
    <t>GNN0015</t>
    <phoneticPr fontId="2" type="noConversion"/>
  </si>
  <si>
    <t>KT</t>
    <phoneticPr fontId="2" type="noConversion"/>
  </si>
  <si>
    <t>DB6602</t>
    <phoneticPr fontId="2" type="noConversion"/>
  </si>
  <si>
    <t>PV</t>
    <phoneticPr fontId="2" type="noConversion"/>
  </si>
  <si>
    <t>조립 / 설치 지원</t>
    <phoneticPr fontId="2" type="noConversion"/>
  </si>
  <si>
    <t>아이앤지(2)</t>
    <phoneticPr fontId="2" type="noConversion"/>
  </si>
  <si>
    <t>아이앤지(1)</t>
    <phoneticPr fontId="2" type="noConversion"/>
  </si>
  <si>
    <t>아이앤지(2)</t>
    <phoneticPr fontId="2" type="noConversion"/>
  </si>
  <si>
    <t>조립반 지원</t>
    <phoneticPr fontId="2" type="noConversion"/>
  </si>
  <si>
    <t>ER</t>
    <phoneticPr fontId="2" type="noConversion"/>
  </si>
  <si>
    <t>덴소 / 포장 / 도장</t>
    <phoneticPr fontId="2" type="noConversion"/>
  </si>
  <si>
    <t>외주(2)</t>
    <phoneticPr fontId="2" type="noConversion"/>
  </si>
  <si>
    <t>포장반 지원</t>
    <phoneticPr fontId="2" type="noConversion"/>
  </si>
  <si>
    <t>더베솔9</t>
    <phoneticPr fontId="2" type="noConversion"/>
  </si>
  <si>
    <t>HHI</t>
    <phoneticPr fontId="2" type="noConversion"/>
  </si>
  <si>
    <t>RB</t>
    <phoneticPr fontId="2" type="noConversion"/>
  </si>
  <si>
    <t>S049</t>
    <phoneticPr fontId="2" type="noConversion"/>
  </si>
  <si>
    <r>
      <rPr>
        <sz val="10"/>
        <rFont val="돋움"/>
        <family val="3"/>
        <charset val="129"/>
      </rPr>
      <t>동아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이정문</t>
    </r>
    <r>
      <rPr>
        <sz val="10"/>
        <rFont val="Arial"/>
        <family val="2"/>
      </rPr>
      <t>)</t>
    </r>
    <phoneticPr fontId="2" type="noConversion"/>
  </si>
  <si>
    <t>2023-08-07 ~ 2023-08-11</t>
    <phoneticPr fontId="2" type="noConversion"/>
  </si>
  <si>
    <t>8/21 ~ 8/25</t>
    <phoneticPr fontId="2" type="noConversion"/>
  </si>
  <si>
    <t>8/28 ~ 9/01</t>
    <phoneticPr fontId="2" type="noConversion"/>
  </si>
  <si>
    <t>08/07 ~ 08/11</t>
    <phoneticPr fontId="2" type="noConversion"/>
  </si>
  <si>
    <t>08/16 ~ 08/18</t>
    <phoneticPr fontId="2" type="noConversion"/>
  </si>
  <si>
    <t>8/21 ~ 
8/25</t>
    <phoneticPr fontId="2" type="noConversion"/>
  </si>
  <si>
    <t>8/28 ~ 
9/01</t>
    <phoneticPr fontId="2" type="noConversion"/>
  </si>
  <si>
    <t>보트 시트 수정 및 코멘트 조치</t>
    <phoneticPr fontId="2" type="noConversion"/>
  </si>
  <si>
    <t>인도전</t>
    <phoneticPr fontId="2" type="noConversion"/>
  </si>
  <si>
    <t>진해해군</t>
    <phoneticPr fontId="2" type="noConversion"/>
  </si>
  <si>
    <t>MSH06</t>
    <phoneticPr fontId="2" type="noConversion"/>
  </si>
  <si>
    <t xml:space="preserve">HPU </t>
    <phoneticPr fontId="2" type="noConversion"/>
  </si>
  <si>
    <t>CLAIM</t>
    <phoneticPr fontId="2" type="noConversion"/>
  </si>
  <si>
    <r>
      <rPr>
        <sz val="10"/>
        <color rgb="FF000000"/>
        <rFont val="돋움"/>
        <family val="3"/>
        <charset val="129"/>
      </rPr>
      <t>플랫폼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핸드레일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용접불량</t>
    </r>
    <phoneticPr fontId="2" type="noConversion"/>
  </si>
  <si>
    <t>인도후</t>
    <phoneticPr fontId="2" type="noConversion"/>
  </si>
  <si>
    <t>P157</t>
    <phoneticPr fontId="2" type="noConversion"/>
  </si>
  <si>
    <t>LCP</t>
    <phoneticPr fontId="2" type="noConversion"/>
  </si>
  <si>
    <r>
      <rPr>
        <sz val="10"/>
        <color rgb="FF000000"/>
        <rFont val="돋움"/>
        <family val="3"/>
        <charset val="129"/>
      </rPr>
      <t>판넬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불량으로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교체</t>
    </r>
    <phoneticPr fontId="2" type="noConversion"/>
  </si>
  <si>
    <t>박주성</t>
    <phoneticPr fontId="2" type="noConversion"/>
  </si>
  <si>
    <r>
      <rPr>
        <sz val="10"/>
        <color rgb="FF000000"/>
        <rFont val="돋움"/>
        <family val="3"/>
        <charset val="129"/>
      </rPr>
      <t>진동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도장</t>
    </r>
    <phoneticPr fontId="2" type="noConversion"/>
  </si>
  <si>
    <t>SB648</t>
    <phoneticPr fontId="2" type="noConversion"/>
  </si>
  <si>
    <t>덴소 / 도장 / 크리닝 / 포장</t>
    <phoneticPr fontId="2" type="noConversion"/>
  </si>
  <si>
    <t>강지원</t>
    <phoneticPr fontId="2" type="noConversion"/>
  </si>
  <si>
    <t>GNN0014</t>
    <phoneticPr fontId="2" type="noConversion"/>
  </si>
  <si>
    <t>KT</t>
    <phoneticPr fontId="2" type="noConversion"/>
  </si>
  <si>
    <t>HH</t>
    <phoneticPr fontId="2" type="noConversion"/>
  </si>
  <si>
    <t>LOP(92도) 와 탱크(58도) 온도지시값 상이 (9시까지 해군의집)</t>
    <phoneticPr fontId="2" type="noConversion"/>
  </si>
  <si>
    <t>와이퍼 교체, 와이어 벌어짐 점검, 누유 조치 (오후)</t>
    <phoneticPr fontId="2" type="noConversion"/>
  </si>
  <si>
    <t>우신(2)</t>
    <phoneticPr fontId="2" type="noConversion"/>
  </si>
  <si>
    <t>강남조선</t>
    <phoneticPr fontId="2" type="noConversion"/>
  </si>
  <si>
    <t>HHI</t>
    <phoneticPr fontId="2" type="noConversion"/>
  </si>
  <si>
    <t>승조원 교육</t>
    <phoneticPr fontId="2" type="noConversion"/>
  </si>
  <si>
    <t>씨앤엠(1)</t>
    <phoneticPr fontId="2" type="noConversion"/>
  </si>
  <si>
    <t>강지원</t>
    <phoneticPr fontId="2" type="noConversion"/>
  </si>
  <si>
    <t>9/4 ~ 9/8</t>
    <phoneticPr fontId="2" type="noConversion"/>
  </si>
  <si>
    <t>도장 / 덴소/ 포장 지원</t>
    <phoneticPr fontId="2" type="noConversion"/>
  </si>
  <si>
    <t>강지원</t>
    <phoneticPr fontId="2" type="noConversion"/>
  </si>
  <si>
    <t>더베솔(2)</t>
    <phoneticPr fontId="2" type="noConversion"/>
  </si>
  <si>
    <t>포장반지원</t>
    <phoneticPr fontId="2" type="noConversion"/>
  </si>
  <si>
    <t>OAC</t>
    <phoneticPr fontId="2" type="noConversion"/>
  </si>
  <si>
    <t>아이앤지(3)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</si>
  <si>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</si>
  <si>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</si>
  <si>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</si>
  <si>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인도전</t>
    <phoneticPr fontId="2" type="noConversion"/>
  </si>
  <si>
    <t>HMD</t>
    <phoneticPr fontId="2" type="noConversion"/>
  </si>
  <si>
    <t>LADDER 조립 불가</t>
    <phoneticPr fontId="2" type="noConversion"/>
  </si>
  <si>
    <t>아이앤지(2)</t>
    <phoneticPr fontId="2" type="noConversion"/>
  </si>
  <si>
    <t>수정 작업 시 원인 분석 예정</t>
    <phoneticPr fontId="2" type="noConversion"/>
  </si>
  <si>
    <t>선주코멘트</t>
    <phoneticPr fontId="2" type="noConversion"/>
  </si>
  <si>
    <t>삼원중공업</t>
    <phoneticPr fontId="2" type="noConversion"/>
  </si>
  <si>
    <t>키 플레이트 탈락/ 수정</t>
    <phoneticPr fontId="2" type="noConversion"/>
  </si>
  <si>
    <t>PV, HH</t>
    <phoneticPr fontId="2" type="noConversion"/>
  </si>
  <si>
    <t>PUNCH 조치 (HHC, PV 좌/우현)</t>
    <phoneticPr fontId="2" type="noConversion"/>
  </si>
  <si>
    <t>한화오션</t>
  </si>
  <si>
    <t>9/11 ~ 9/15</t>
    <phoneticPr fontId="2" type="noConversion"/>
  </si>
  <si>
    <t>녹제거 및 코멘트 조치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</si>
  <si>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</si>
  <si>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</si>
  <si>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</si>
  <si>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PE</t>
    <phoneticPr fontId="2" type="noConversion"/>
  </si>
  <si>
    <t>검사 준비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</si>
  <si>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</si>
  <si>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</si>
  <si>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</si>
  <si>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박성용</t>
    <phoneticPr fontId="2" type="noConversion"/>
  </si>
  <si>
    <t>진진(2)</t>
    <phoneticPr fontId="2" type="noConversion"/>
  </si>
  <si>
    <t>사전 점검 (보트 시트 용접 외 초기 작동, 검사준비)</t>
    <phoneticPr fontId="2" type="noConversion"/>
  </si>
  <si>
    <t>9/18 ~ 9/22</t>
    <phoneticPr fontId="2" type="noConversion"/>
  </si>
  <si>
    <t>아이앤지(3)</t>
    <phoneticPr fontId="2" type="noConversion"/>
  </si>
  <si>
    <t>김해공장</t>
    <phoneticPr fontId="2" type="noConversion"/>
  </si>
  <si>
    <t>계약사항 (무상)</t>
    <phoneticPr fontId="2" type="noConversion"/>
  </si>
  <si>
    <t>선주코멘트(무상)</t>
    <phoneticPr fontId="2" type="noConversion"/>
  </si>
  <si>
    <t>GNN0015</t>
    <phoneticPr fontId="2" type="noConversion"/>
  </si>
  <si>
    <t>KT</t>
    <phoneticPr fontId="2" type="noConversion"/>
  </si>
  <si>
    <t>포장반 지원</t>
    <phoneticPr fontId="2" type="noConversion"/>
  </si>
  <si>
    <t>우신(1)</t>
    <phoneticPr fontId="2" type="noConversion"/>
  </si>
  <si>
    <t>와이어꼬임 (좌/우현)</t>
    <phoneticPr fontId="2" type="noConversion"/>
  </si>
  <si>
    <t>정박 시운전</t>
    <phoneticPr fontId="2" type="noConversion"/>
  </si>
  <si>
    <t>boom 끝단 sheave 고정용 plate 설치</t>
    <phoneticPr fontId="2" type="noConversion"/>
  </si>
  <si>
    <t>9/25~ 9/27</t>
    <phoneticPr fontId="2" type="noConversion"/>
  </si>
  <si>
    <t>9/25 ~ 9/26</t>
    <phoneticPr fontId="2" type="noConversion"/>
  </si>
  <si>
    <t>더베솔(4)</t>
    <phoneticPr fontId="2" type="noConversion"/>
  </si>
  <si>
    <t>설계변경 (무상)</t>
    <phoneticPr fontId="2" type="noConversion"/>
  </si>
  <si>
    <t>한화오션</t>
    <phoneticPr fontId="2" type="noConversion"/>
  </si>
  <si>
    <t>아이앤지</t>
    <phoneticPr fontId="2" type="noConversion"/>
  </si>
  <si>
    <t>진진산업</t>
    <phoneticPr fontId="2" type="noConversion"/>
  </si>
  <si>
    <t>더베스트솔루션</t>
    <phoneticPr fontId="2" type="noConversion"/>
  </si>
  <si>
    <t>PV, CMR, HH</t>
    <phoneticPr fontId="2" type="noConversion"/>
  </si>
  <si>
    <t>한화오션</t>
    <phoneticPr fontId="2" type="noConversion"/>
  </si>
  <si>
    <t>우신(1)</t>
    <phoneticPr fontId="2" type="noConversion"/>
  </si>
  <si>
    <t>디에스티(1)</t>
    <phoneticPr fontId="2" type="noConversion"/>
  </si>
  <si>
    <t>P170</t>
    <phoneticPr fontId="2" type="noConversion"/>
  </si>
  <si>
    <t>좌/우현 유압 호스 설치 불량으로 리미트 세팅 불가, LADDER HOLE 제관 불량 수정, 맨홀 볼트 1개 누락 (0B안벽)</t>
    <phoneticPr fontId="2" type="noConversion"/>
  </si>
  <si>
    <t>무궁화32호</t>
    <phoneticPr fontId="2" type="noConversion"/>
  </si>
  <si>
    <t>RB</t>
    <phoneticPr fontId="2" type="noConversion"/>
  </si>
  <si>
    <t>10/10 ~ 10/13</t>
    <phoneticPr fontId="2" type="noConversion"/>
  </si>
  <si>
    <t>HH</t>
    <phoneticPr fontId="2" type="noConversion"/>
  </si>
  <si>
    <t>계약사항 (무상)</t>
    <phoneticPr fontId="2" type="noConversion"/>
  </si>
  <si>
    <t>선주코멘트 및 제관불량
- 업체(유성기공) 구상권 청구예정</t>
    <phoneticPr fontId="2" type="noConversion"/>
  </si>
  <si>
    <t>무상</t>
    <phoneticPr fontId="2" type="noConversion"/>
  </si>
  <si>
    <t>우신(1)</t>
    <phoneticPr fontId="2" type="noConversion"/>
  </si>
  <si>
    <t xml:space="preserve"> 검사 (10시) 및 승조원 교육</t>
    <phoneticPr fontId="2" type="noConversion"/>
  </si>
  <si>
    <t>정박 시운전 및 검사 준비</t>
    <phoneticPr fontId="2" type="noConversion"/>
  </si>
  <si>
    <t>박성용</t>
    <phoneticPr fontId="2" type="noConversion"/>
  </si>
  <si>
    <t>P170</t>
    <phoneticPr fontId="2" type="noConversion"/>
  </si>
  <si>
    <t>HT</t>
    <phoneticPr fontId="2" type="noConversion"/>
  </si>
  <si>
    <t>2023-10-16 ~ 10-20</t>
    <phoneticPr fontId="2" type="noConversion"/>
  </si>
  <si>
    <t>아이앤지(5)</t>
    <phoneticPr fontId="2" type="noConversion"/>
  </si>
  <si>
    <t>계약 사항</t>
    <phoneticPr fontId="2" type="noConversion"/>
  </si>
  <si>
    <t>김해공장</t>
    <phoneticPr fontId="2" type="noConversion"/>
  </si>
  <si>
    <t>2023-10-23 ~ 10-27</t>
    <phoneticPr fontId="2" type="noConversion"/>
  </si>
  <si>
    <t>플랫폼 진동 보강 (좌/우현)</t>
    <phoneticPr fontId="2" type="noConversion"/>
  </si>
  <si>
    <t>선주코멘트(설계변경 적용)</t>
    <phoneticPr fontId="2" type="noConversion"/>
  </si>
  <si>
    <t>A/S</t>
    <phoneticPr fontId="2" type="noConversion"/>
  </si>
  <si>
    <t>검사</t>
    <phoneticPr fontId="2" type="noConversion"/>
  </si>
  <si>
    <t>동아(1), 디에스티(1), 진진(1)</t>
    <phoneticPr fontId="2" type="noConversion"/>
  </si>
  <si>
    <t>부산항만</t>
    <phoneticPr fontId="2" type="noConversion"/>
  </si>
  <si>
    <t>AMP</t>
    <phoneticPr fontId="2" type="noConversion"/>
  </si>
  <si>
    <t>박성용</t>
    <phoneticPr fontId="2" type="noConversion"/>
  </si>
  <si>
    <t>박성용</t>
    <phoneticPr fontId="2" type="noConversion"/>
  </si>
  <si>
    <t>CLAIM</t>
    <phoneticPr fontId="2" type="noConversion"/>
  </si>
  <si>
    <t>인도전</t>
    <phoneticPr fontId="2" type="noConversion"/>
  </si>
  <si>
    <t>미래중공업</t>
    <phoneticPr fontId="2" type="noConversion"/>
  </si>
  <si>
    <t>MRS106</t>
    <phoneticPr fontId="2" type="noConversion"/>
  </si>
  <si>
    <t>KT</t>
    <phoneticPr fontId="2" type="noConversion"/>
  </si>
  <si>
    <t>진진(1)</t>
    <phoneticPr fontId="2" type="noConversion"/>
  </si>
  <si>
    <t>2023-10-30 ~ 11-03</t>
    <phoneticPr fontId="2" type="noConversion"/>
  </si>
  <si>
    <t>도면불량 (설계방안검토중)</t>
    <phoneticPr fontId="2" type="noConversion"/>
  </si>
  <si>
    <t xml:space="preserve">SHEAVE BLOCK 문제 임시 조치 </t>
    <phoneticPr fontId="2" type="noConversion"/>
  </si>
  <si>
    <t>범양(1)</t>
    <phoneticPr fontId="2" type="noConversion"/>
  </si>
  <si>
    <t>SHI</t>
    <phoneticPr fontId="2" type="noConversion"/>
  </si>
  <si>
    <t>SN2461</t>
    <phoneticPr fontId="2" type="noConversion"/>
  </si>
  <si>
    <t>PV, CMR</t>
    <phoneticPr fontId="2" type="noConversion"/>
  </si>
  <si>
    <t>아이앤지</t>
    <phoneticPr fontId="2" type="noConversion"/>
  </si>
  <si>
    <t>우신</t>
    <phoneticPr fontId="2" type="noConversion"/>
  </si>
  <si>
    <t>아이앤지</t>
    <phoneticPr fontId="2" type="noConversion"/>
  </si>
  <si>
    <t>완료</t>
    <phoneticPr fontId="2" type="noConversion"/>
  </si>
  <si>
    <t>우신테크</t>
    <phoneticPr fontId="2" type="noConversion"/>
  </si>
  <si>
    <t>실행 예산에 부합함</t>
    <phoneticPr fontId="2" type="noConversion"/>
  </si>
  <si>
    <t>인도전</t>
    <phoneticPr fontId="2" type="noConversion"/>
  </si>
  <si>
    <t>한화오션</t>
    <phoneticPr fontId="2" type="noConversion"/>
  </si>
  <si>
    <t>ROV</t>
    <phoneticPr fontId="2" type="noConversion"/>
  </si>
  <si>
    <t>2023-11-06 ~ 11-10</t>
    <phoneticPr fontId="2" type="noConversion"/>
  </si>
  <si>
    <t>2023-11-6 ~ 11-10</t>
    <phoneticPr fontId="2" type="noConversion"/>
  </si>
  <si>
    <t>HPU 온도 상승 점검/조치, 시운전, 해상시운전 입회</t>
    <phoneticPr fontId="2" type="noConversion"/>
  </si>
  <si>
    <t>가야(4)
디에스티(4)</t>
    <phoneticPr fontId="2" type="noConversion"/>
  </si>
  <si>
    <t>더베솔(2)</t>
    <phoneticPr fontId="2" type="noConversion"/>
  </si>
  <si>
    <t>더베솔(2)</t>
    <phoneticPr fontId="2" type="noConversion"/>
  </si>
  <si>
    <t>해치 도어 어레인지가 안맞음, 후크, LADDER 안쪽쏠림</t>
    <phoneticPr fontId="2" type="noConversion"/>
  </si>
  <si>
    <t>OAC</t>
    <phoneticPr fontId="2" type="noConversion"/>
  </si>
  <si>
    <t>우신(1)</t>
    <phoneticPr fontId="2" type="noConversion"/>
  </si>
  <si>
    <t>2023-11-15 ~ 11-17</t>
    <phoneticPr fontId="2" type="noConversion"/>
  </si>
  <si>
    <t>우신(1)</t>
    <phoneticPr fontId="2" type="noConversion"/>
  </si>
  <si>
    <t>시운전 지원</t>
    <phoneticPr fontId="2" type="noConversion"/>
  </si>
  <si>
    <t>시운전 / 검사 지원</t>
    <phoneticPr fontId="2" type="noConversion"/>
  </si>
  <si>
    <t>선주코멘트 (무상)</t>
    <phoneticPr fontId="2" type="noConversion"/>
  </si>
  <si>
    <t>SWN0281</t>
    <phoneticPr fontId="2" type="noConversion"/>
  </si>
  <si>
    <t>포장반 지원</t>
    <phoneticPr fontId="2" type="noConversion"/>
  </si>
  <si>
    <t>SN2584</t>
    <phoneticPr fontId="2" type="noConversion"/>
  </si>
  <si>
    <t>시운전코멘트 (무상)</t>
    <phoneticPr fontId="2" type="noConversion"/>
  </si>
  <si>
    <t>언로딩 시스템 적용부 시트 설치 및 케이블 정리 외</t>
    <phoneticPr fontId="2" type="noConversion"/>
  </si>
  <si>
    <t>F/D오작으로 인한 조립 불가</t>
    <phoneticPr fontId="2" type="noConversion"/>
  </si>
  <si>
    <t>2023-11-20 ~ 11-24</t>
    <phoneticPr fontId="2" type="noConversion"/>
  </si>
  <si>
    <t>25톤 조립 / 설치 지원</t>
    <phoneticPr fontId="2" type="noConversion"/>
  </si>
  <si>
    <t>A/S</t>
    <phoneticPr fontId="2" type="noConversion"/>
  </si>
  <si>
    <t>인도후</t>
    <phoneticPr fontId="2" type="noConversion"/>
  </si>
  <si>
    <t>목포해군</t>
    <phoneticPr fontId="2" type="noConversion"/>
  </si>
  <si>
    <t>SWN0272</t>
    <phoneticPr fontId="2" type="noConversion"/>
  </si>
  <si>
    <t>D/C</t>
    <phoneticPr fontId="2" type="noConversion"/>
  </si>
  <si>
    <t>리미트 해제 불가, 작동불가 수정</t>
    <phoneticPr fontId="2" type="noConversion"/>
  </si>
  <si>
    <t>박성용</t>
    <phoneticPr fontId="2" type="noConversion"/>
  </si>
  <si>
    <t>무상</t>
    <phoneticPr fontId="2" type="noConversion"/>
  </si>
  <si>
    <t>박성용</t>
    <phoneticPr fontId="2" type="noConversion"/>
  </si>
  <si>
    <t>우신(1)</t>
    <phoneticPr fontId="2" type="noConversion"/>
  </si>
  <si>
    <t>시트 용접</t>
    <phoneticPr fontId="2" type="noConversion"/>
  </si>
  <si>
    <t>우신(1)</t>
    <phoneticPr fontId="2" type="noConversion"/>
  </si>
  <si>
    <t>CMR</t>
    <phoneticPr fontId="2" type="noConversion"/>
  </si>
  <si>
    <t>HH</t>
  </si>
  <si>
    <t>HH</t>
    <phoneticPr fontId="2" type="noConversion"/>
  </si>
  <si>
    <t xml:space="preserve">P/D 포장 </t>
    <phoneticPr fontId="2" type="noConversion"/>
  </si>
  <si>
    <t>2023-11-27 ~ 12-01</t>
    <phoneticPr fontId="2" type="noConversion"/>
  </si>
  <si>
    <t>2023-11-27 ~ 11-28</t>
    <phoneticPr fontId="2" type="noConversion"/>
  </si>
  <si>
    <t>박성용</t>
    <phoneticPr fontId="2" type="noConversion"/>
  </si>
  <si>
    <t xml:space="preserve">설치 작업 </t>
    <phoneticPr fontId="2" type="noConversion"/>
  </si>
  <si>
    <t>우신(4)</t>
  </si>
  <si>
    <t>우신(4)</t>
    <phoneticPr fontId="2" type="noConversion"/>
  </si>
  <si>
    <t xml:space="preserve">강지원 </t>
    <phoneticPr fontId="2" type="noConversion"/>
  </si>
  <si>
    <t>FAT</t>
  </si>
  <si>
    <t>해치 도어 어레인지가 안맞음</t>
    <phoneticPr fontId="2" type="noConversion"/>
  </si>
  <si>
    <t>HMD</t>
    <phoneticPr fontId="2" type="noConversion"/>
  </si>
  <si>
    <t>PV</t>
    <phoneticPr fontId="2" type="noConversion"/>
  </si>
  <si>
    <t>더베스트솔루션</t>
  </si>
  <si>
    <t>GNN0016</t>
    <phoneticPr fontId="2" type="noConversion"/>
  </si>
  <si>
    <t>OAC</t>
    <phoneticPr fontId="2" type="noConversion"/>
  </si>
  <si>
    <t>HH</t>
    <phoneticPr fontId="2" type="noConversion"/>
  </si>
  <si>
    <t>PV</t>
    <phoneticPr fontId="2" type="noConversion"/>
  </si>
  <si>
    <t>CMR</t>
    <phoneticPr fontId="2" type="noConversion"/>
  </si>
  <si>
    <t>KT</t>
    <phoneticPr fontId="2" type="noConversion"/>
  </si>
  <si>
    <t>창성</t>
    <phoneticPr fontId="2" type="noConversion"/>
  </si>
  <si>
    <t>진성</t>
    <phoneticPr fontId="2" type="noConversion"/>
  </si>
  <si>
    <t>진성</t>
    <phoneticPr fontId="2" type="noConversion"/>
  </si>
  <si>
    <t>진성</t>
    <phoneticPr fontId="2" type="noConversion"/>
  </si>
  <si>
    <t>사외작업</t>
    <phoneticPr fontId="2" type="noConversion"/>
  </si>
  <si>
    <t>쇼트 검사</t>
    <phoneticPr fontId="2" type="noConversion"/>
  </si>
  <si>
    <t>최용욱</t>
    <phoneticPr fontId="2" type="noConversion"/>
  </si>
  <si>
    <t>문덕민</t>
    <phoneticPr fontId="2" type="noConversion"/>
  </si>
  <si>
    <t>오승만</t>
    <phoneticPr fontId="2" type="noConversion"/>
  </si>
  <si>
    <t>오승만</t>
    <phoneticPr fontId="2" type="noConversion"/>
  </si>
  <si>
    <t>오승만</t>
    <phoneticPr fontId="2" type="noConversion"/>
  </si>
  <si>
    <t>오승만</t>
    <phoneticPr fontId="2" type="noConversion"/>
  </si>
  <si>
    <t>HMD</t>
    <phoneticPr fontId="2" type="noConversion"/>
  </si>
  <si>
    <t>플랫폼 진동 보강 작업</t>
    <phoneticPr fontId="2" type="noConversion"/>
  </si>
  <si>
    <t>선주코멘트 (무상)
사전품의 완료 (우신-&gt;아이앤지)</t>
    <phoneticPr fontId="2" type="noConversion"/>
  </si>
  <si>
    <t>박성용</t>
    <phoneticPr fontId="2" type="noConversion"/>
  </si>
  <si>
    <t>Cont. Box 하부 고무패드 부착 요청(부착위치 김도훈기사 확인)/ 대각선 LADDER SUPPORT 설치 불가 HOLE수정필요 (P&amp;S)</t>
    <phoneticPr fontId="2" type="noConversion"/>
  </si>
  <si>
    <t>2023-12-5 ~ 12-07</t>
  </si>
  <si>
    <t>2023-12-4 ~ 12-8</t>
    <phoneticPr fontId="2" type="noConversion"/>
  </si>
  <si>
    <t>천지함</t>
  </si>
  <si>
    <t>천지함</t>
    <phoneticPr fontId="2" type="noConversion"/>
  </si>
  <si>
    <t>RB</t>
    <phoneticPr fontId="2" type="noConversion"/>
  </si>
  <si>
    <t>우신(2)</t>
    <phoneticPr fontId="2" type="noConversion"/>
  </si>
  <si>
    <t>선주코멘트</t>
    <phoneticPr fontId="2" type="noConversion"/>
  </si>
  <si>
    <t>우신(1)</t>
    <phoneticPr fontId="2" type="noConversion"/>
  </si>
  <si>
    <t xml:space="preserve">사전품의완료 </t>
    <phoneticPr fontId="2" type="noConversion"/>
  </si>
  <si>
    <t>진진산업</t>
    <phoneticPr fontId="2" type="noConversion"/>
  </si>
  <si>
    <t>2023-12-5 ~ 12-8</t>
  </si>
  <si>
    <t>조립</t>
  </si>
  <si>
    <t>조립반 지원 (장유승 기장 부친상)</t>
  </si>
  <si>
    <t>자체테스트 / FAT</t>
  </si>
  <si>
    <t>자체테스트 / FAT</t>
    <phoneticPr fontId="2" type="noConversion"/>
  </si>
  <si>
    <t>범양(2)</t>
  </si>
  <si>
    <t>범양(2)</t>
    <phoneticPr fontId="2" type="noConversion"/>
  </si>
  <si>
    <t>범양(1)</t>
  </si>
  <si>
    <t>시운전 지원 (이성희직장 퇴사)</t>
  </si>
  <si>
    <t>시운전 지원 (이성희직장 퇴사)</t>
    <phoneticPr fontId="2" type="noConversion"/>
  </si>
  <si>
    <t>포장</t>
    <phoneticPr fontId="2" type="noConversion"/>
  </si>
  <si>
    <t>시운전 및 FAT</t>
    <phoneticPr fontId="2" type="noConversion"/>
  </si>
  <si>
    <t>SWN0282</t>
    <phoneticPr fontId="2" type="noConversion"/>
  </si>
  <si>
    <t>조립반 지원</t>
    <phoneticPr fontId="2" type="noConversion"/>
  </si>
  <si>
    <t>2023-12-5,</t>
  </si>
  <si>
    <t>12-07 ~ 12-08</t>
  </si>
  <si>
    <t>박해식</t>
  </si>
  <si>
    <t>    1,000,000</t>
  </si>
  <si>
    <t>진진(1), 우신(2)</t>
    <phoneticPr fontId="2" type="noConversion"/>
  </si>
  <si>
    <r>
      <rPr>
        <sz val="10"/>
        <color rgb="FF0070C0"/>
        <rFont val="맑은 고딕"/>
        <family val="3"/>
        <charset val="129"/>
      </rPr>
      <t>우신(2),</t>
    </r>
    <r>
      <rPr>
        <sz val="10"/>
        <rFont val="맑은 고딕"/>
        <family val="3"/>
        <charset val="129"/>
      </rPr>
      <t xml:space="preserve"> </t>
    </r>
    <r>
      <rPr>
        <sz val="10"/>
        <color rgb="FFFF0000"/>
        <rFont val="맑은 고딕"/>
        <family val="3"/>
        <charset val="129"/>
      </rPr>
      <t>아이앤지(5)</t>
    </r>
    <phoneticPr fontId="2" type="noConversion"/>
  </si>
  <si>
    <t>범양엔지니어링</t>
    <phoneticPr fontId="2" type="noConversion"/>
  </si>
  <si>
    <r>
      <rPr>
        <sz val="10"/>
        <color rgb="FF7030A0"/>
        <rFont val="맑은 고딕"/>
        <family val="3"/>
        <charset val="129"/>
      </rPr>
      <t xml:space="preserve">외주(2) </t>
    </r>
    <r>
      <rPr>
        <sz val="10"/>
        <rFont val="맑은 고딕"/>
        <family val="3"/>
        <charset val="129"/>
      </rPr>
      <t>베1</t>
    </r>
    <r>
      <rPr>
        <sz val="10"/>
        <color rgb="FF0070C0"/>
        <rFont val="맑은 고딕"/>
        <family val="3"/>
        <charset val="129"/>
      </rPr>
      <t>우1</t>
    </r>
    <phoneticPr fontId="2" type="noConversion"/>
  </si>
  <si>
    <t>도장보수 / 덴소 / 포장</t>
    <phoneticPr fontId="2" type="noConversion"/>
  </si>
  <si>
    <t>아119호정</t>
    <phoneticPr fontId="2" type="noConversion"/>
  </si>
  <si>
    <t>압이 걸렸다 안걸렸다 함. 작동 불량 점검/조치</t>
    <phoneticPr fontId="2" type="noConversion"/>
  </si>
  <si>
    <t>2023-12-11 ~ 12-15</t>
    <phoneticPr fontId="2" type="noConversion"/>
  </si>
  <si>
    <t>2023-12-11 ~ 12-15</t>
    <phoneticPr fontId="2" type="noConversion"/>
  </si>
  <si>
    <t>조립지원</t>
    <phoneticPr fontId="2" type="noConversion"/>
  </si>
  <si>
    <t>MRS107</t>
    <phoneticPr fontId="2" type="noConversion"/>
  </si>
  <si>
    <t>검사 (오전)</t>
    <phoneticPr fontId="2" type="noConversion"/>
  </si>
  <si>
    <t>오션플랜트</t>
    <phoneticPr fontId="2" type="noConversion"/>
  </si>
  <si>
    <t>우신(1), 범양(1), 디에스티(1)</t>
    <phoneticPr fontId="2" type="noConversion"/>
  </si>
  <si>
    <t>안전교육 오전8시 / 초기 작동 및 LIMIT SETTING</t>
    <phoneticPr fontId="2" type="noConversion"/>
  </si>
  <si>
    <t>센서 및 리미트 교체</t>
    <phoneticPr fontId="2" type="noConversion"/>
  </si>
  <si>
    <t>범양(1), 진진(1)</t>
    <phoneticPr fontId="2" type="noConversion"/>
  </si>
  <si>
    <t>1.5T HOOK 걸이 절단/용접, 유압계통점검/조치, 누유부 수정 조치</t>
    <phoneticPr fontId="2" type="noConversion"/>
  </si>
  <si>
    <t>HH, CMR, PV</t>
    <phoneticPr fontId="2" type="noConversion"/>
  </si>
  <si>
    <t>SHI</t>
    <phoneticPr fontId="2" type="noConversion"/>
  </si>
  <si>
    <t>신명(2)</t>
    <phoneticPr fontId="2" type="noConversion"/>
  </si>
  <si>
    <t>2023-12-26 ~ 12-29</t>
    <phoneticPr fontId="2" type="noConversion"/>
  </si>
  <si>
    <t>아이앤지(4)</t>
    <phoneticPr fontId="2" type="noConversion"/>
  </si>
  <si>
    <t>A/S 소계</t>
    <phoneticPr fontId="2" type="noConversion"/>
  </si>
  <si>
    <t>김해공장 지원 소계</t>
    <phoneticPr fontId="2" type="noConversion"/>
  </si>
  <si>
    <t>계약사항 (무상)</t>
    <phoneticPr fontId="2" type="noConversion"/>
  </si>
  <si>
    <t>보증수리 (무상)</t>
    <phoneticPr fontId="2" type="noConversion"/>
  </si>
  <si>
    <t>1.5T HOOK 걸이 절단/용접, 유압계통점검/조치, 누유부 수정 조치</t>
    <phoneticPr fontId="2" type="noConversion"/>
  </si>
  <si>
    <t>우신 AMP 3명</t>
    <phoneticPr fontId="2" type="noConversion"/>
  </si>
  <si>
    <t>범양 AMP 1명</t>
    <phoneticPr fontId="2" type="noConversion"/>
  </si>
  <si>
    <t>12/18~22</t>
    <phoneticPr fontId="2" type="noConversion"/>
  </si>
  <si>
    <t>&gt; '0016 51주차로 정산 (1MD 남음)</t>
    <phoneticPr fontId="2" type="noConversion"/>
  </si>
  <si>
    <t>**2023-12-22</t>
    <phoneticPr fontId="2" type="noConversion"/>
  </si>
  <si>
    <t>PA31진진 13명</t>
    <phoneticPr fontId="2" type="noConversion"/>
  </si>
  <si>
    <t>ㄴ4MD 차주추가 예정</t>
    <phoneticPr fontId="2" type="noConversion"/>
  </si>
  <si>
    <t>PV</t>
    <phoneticPr fontId="2" type="noConversion"/>
  </si>
  <si>
    <t>20톤 그리스 전체 도포</t>
    <phoneticPr fontId="2" type="noConversion"/>
  </si>
  <si>
    <t>외주(3)</t>
    <phoneticPr fontId="2" type="noConversion"/>
  </si>
  <si>
    <t>조립/포장반 지원</t>
    <phoneticPr fontId="2" type="noConversion"/>
  </si>
  <si>
    <t>&gt; 실행예산에서</t>
    <phoneticPr fontId="2" type="noConversion"/>
  </si>
  <si>
    <t>&gt; 실행예산 잔여소진 + 200만원 실행예산처리(초과사유 : 설계불량) 후  A/S로 처리 (95만원)</t>
    <phoneticPr fontId="2" type="noConversion"/>
  </si>
  <si>
    <t>OAC</t>
  </si>
  <si>
    <t>조립지원</t>
  </si>
  <si>
    <t>아이앤지(5)</t>
  </si>
  <si>
    <t>포장/덴소/도장수정</t>
  </si>
  <si>
    <t>외주(4)</t>
  </si>
  <si>
    <t>GNN0016</t>
  </si>
  <si>
    <t>시운전 및 FAT</t>
  </si>
  <si>
    <t>시운전 지원</t>
  </si>
  <si>
    <t>HMD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</si>
  <si>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</si>
  <si>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</si>
  <si>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</si>
  <si>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HH</t>
    <phoneticPr fontId="2" type="noConversion"/>
  </si>
  <si>
    <t>S185</t>
    <phoneticPr fontId="2" type="noConversion"/>
  </si>
  <si>
    <t>CS</t>
    <phoneticPr fontId="2" type="noConversion"/>
  </si>
  <si>
    <t>보증수리(수 계선기 내부 부속품 마모검사 요함)</t>
    <phoneticPr fontId="2" type="noConversion"/>
  </si>
  <si>
    <t>인도후</t>
    <phoneticPr fontId="2" type="noConversion"/>
  </si>
  <si>
    <t>HJ중공업</t>
    <phoneticPr fontId="2" type="noConversion"/>
  </si>
  <si>
    <t>HHC 맨홀 가스켓 설치, 컨트롤스탠드 유압 호스 간섭부 보강 조치</t>
    <phoneticPr fontId="2" type="noConversion"/>
  </si>
  <si>
    <t>ML</t>
    <phoneticPr fontId="2" type="noConversion"/>
  </si>
  <si>
    <t>박성용</t>
    <phoneticPr fontId="2" type="noConversion"/>
  </si>
  <si>
    <t>박성용</t>
    <phoneticPr fontId="2" type="noConversion"/>
  </si>
  <si>
    <t>무상</t>
    <phoneticPr fontId="2" type="noConversion"/>
  </si>
  <si>
    <t>무상</t>
    <phoneticPr fontId="2" type="noConversion"/>
  </si>
  <si>
    <t>압이 걸렸다 안걸렸다 함. 작동 불량 점검/조치(오전9시 진해해군의집)</t>
  </si>
  <si>
    <t>우신(2)</t>
    <phoneticPr fontId="2" type="noConversion"/>
  </si>
  <si>
    <t>외주(1)</t>
    <phoneticPr fontId="2" type="noConversion"/>
  </si>
  <si>
    <t>PARKING 문제점 수정 및 자체테스트</t>
    <phoneticPr fontId="2" type="noConversion"/>
  </si>
  <si>
    <t>검사 코멘트조치</t>
    <phoneticPr fontId="2" type="noConversion"/>
  </si>
  <si>
    <t>진진(2)</t>
    <phoneticPr fontId="2" type="noConversion"/>
  </si>
  <si>
    <t>외주(1)</t>
    <phoneticPr fontId="2" type="noConversion"/>
  </si>
  <si>
    <t>2024-01-02 ~ 2024-01-05</t>
    <phoneticPr fontId="2" type="noConversion"/>
  </si>
  <si>
    <t>덴소 / 도장 / 포장</t>
  </si>
  <si>
    <t>강지원</t>
    <phoneticPr fontId="2" type="noConversion"/>
  </si>
  <si>
    <t>PA31</t>
  </si>
  <si>
    <t>진진(2)</t>
    <phoneticPr fontId="2" type="noConversion"/>
  </si>
  <si>
    <t>정기 보증수리</t>
    <phoneticPr fontId="2" type="noConversion"/>
  </si>
  <si>
    <t>선주코멘트</t>
    <phoneticPr fontId="2" type="noConversion"/>
  </si>
  <si>
    <t>보증수리</t>
    <phoneticPr fontId="2" type="noConversion"/>
  </si>
  <si>
    <t>도면불량</t>
    <phoneticPr fontId="2" type="noConversion"/>
  </si>
  <si>
    <t>선주코멘트</t>
    <phoneticPr fontId="2" type="noConversion"/>
  </si>
  <si>
    <t>포장반 지원</t>
    <phoneticPr fontId="2" type="noConversion"/>
  </si>
  <si>
    <t>TR</t>
  </si>
  <si>
    <t>2024년</t>
    <phoneticPr fontId="2" type="noConversion"/>
  </si>
  <si>
    <t>PE/ML</t>
  </si>
  <si>
    <t>RCS</t>
  </si>
  <si>
    <t>작동불량 (보증수리)</t>
  </si>
  <si>
    <t>P170</t>
  </si>
  <si>
    <t>P167</t>
  </si>
  <si>
    <t>A/S</t>
    <phoneticPr fontId="2" type="noConversion"/>
  </si>
  <si>
    <t>인도전</t>
    <phoneticPr fontId="2" type="noConversion"/>
  </si>
  <si>
    <t>검사 (안전교육이수 8시~12시 후 출입가능)</t>
  </si>
  <si>
    <t>아이앤지(5)</t>
    <phoneticPr fontId="2" type="noConversion"/>
  </si>
  <si>
    <t>계약사항</t>
  </si>
  <si>
    <t>계약사항</t>
    <phoneticPr fontId="2" type="noConversion"/>
  </si>
  <si>
    <t>납품불량</t>
  </si>
  <si>
    <t>데크윈치누유, 볼트짧음/교체 외</t>
  </si>
  <si>
    <t>검사 지적사항 조치</t>
  </si>
  <si>
    <t>선주코멘트</t>
    <phoneticPr fontId="2" type="noConversion"/>
  </si>
  <si>
    <t>HHC 맨홀 가스켓 설치 (긴급)</t>
  </si>
  <si>
    <t>인도전</t>
    <phoneticPr fontId="2" type="noConversion"/>
  </si>
  <si>
    <t>SW</t>
    <phoneticPr fontId="2" type="noConversion"/>
  </si>
  <si>
    <t>CLAIM</t>
    <phoneticPr fontId="2" type="noConversion"/>
  </si>
  <si>
    <t>SHI</t>
    <phoneticPr fontId="2" type="noConversion"/>
  </si>
  <si>
    <t>SN2579</t>
    <phoneticPr fontId="2" type="noConversion"/>
  </si>
  <si>
    <t>PAD교체</t>
    <phoneticPr fontId="2" type="noConversion"/>
  </si>
  <si>
    <t>승조원교육</t>
    <phoneticPr fontId="2" type="noConversion"/>
  </si>
  <si>
    <t>SWN0281</t>
    <phoneticPr fontId="2" type="noConversion"/>
  </si>
  <si>
    <t>RB</t>
    <phoneticPr fontId="2" type="noConversion"/>
  </si>
  <si>
    <t>SWN0282</t>
    <phoneticPr fontId="2" type="noConversion"/>
  </si>
  <si>
    <t>KT</t>
    <phoneticPr fontId="2" type="noConversion"/>
  </si>
  <si>
    <t>H548</t>
    <phoneticPr fontId="2" type="noConversion"/>
  </si>
  <si>
    <t>ER</t>
    <phoneticPr fontId="2" type="noConversion"/>
  </si>
  <si>
    <t>신명(1)</t>
    <phoneticPr fontId="2" type="noConversion"/>
  </si>
  <si>
    <t>무상</t>
    <phoneticPr fontId="2" type="noConversion"/>
  </si>
  <si>
    <t>HH, CMR</t>
    <phoneticPr fontId="2" type="noConversion"/>
  </si>
  <si>
    <t>HHC P&amp;S 그리스 니플&amp;캡 확인 및 누락부 설치 / CMR 탱크 내부 녹제거</t>
    <phoneticPr fontId="2" type="noConversion"/>
  </si>
  <si>
    <t>납품불량</t>
    <phoneticPr fontId="2" type="noConversion"/>
  </si>
  <si>
    <t>1/8(월)</t>
  </si>
  <si>
    <t>오션플랜트</t>
  </si>
  <si>
    <t> 500,000</t>
  </si>
  <si>
    <t>1/9(화)</t>
  </si>
  <si>
    <t>아119호정</t>
  </si>
  <si>
    <t>기중기정</t>
  </si>
  <si>
    <t>S049</t>
  </si>
  <si>
    <t>BR</t>
  </si>
  <si>
    <t>센서 및 리미트 교체 </t>
  </si>
  <si>
    <t>1/10(수)</t>
  </si>
  <si>
    <t>1/11(목)</t>
  </si>
  <si>
    <t>코멘트조치 </t>
  </si>
  <si>
    <r>
      <rPr>
        <sz val="10"/>
        <color rgb="FF00B050"/>
        <rFont val="맑은 고딕"/>
        <family val="2"/>
        <charset val="129"/>
      </rPr>
      <t>써야함</t>
    </r>
    <phoneticPr fontId="2" type="noConversion"/>
  </si>
  <si>
    <t>작동불량 점검/조치</t>
    <phoneticPr fontId="2" type="noConversion"/>
  </si>
  <si>
    <t>2024-01-22 ~ 2024-01-26</t>
    <phoneticPr fontId="2" type="noConversion"/>
  </si>
  <si>
    <t>YN01</t>
    <phoneticPr fontId="2" type="noConversion"/>
  </si>
  <si>
    <t>PV,ER,HH</t>
    <phoneticPr fontId="2" type="noConversion"/>
  </si>
  <si>
    <t>조립지원</t>
    <phoneticPr fontId="2" type="noConversion"/>
  </si>
  <si>
    <t>TEST PEDESTAL 용접</t>
    <phoneticPr fontId="2" type="noConversion"/>
  </si>
  <si>
    <t>ER, PV</t>
    <phoneticPr fontId="2" type="noConversion"/>
  </si>
  <si>
    <t>우신(5)</t>
    <phoneticPr fontId="2" type="noConversion"/>
  </si>
  <si>
    <t>검사</t>
    <phoneticPr fontId="2" type="noConversion"/>
  </si>
  <si>
    <t>범양(1)</t>
    <phoneticPr fontId="2" type="noConversion"/>
  </si>
  <si>
    <t>맨홀손잡이 수정, 자체(오전), 검사(오후)</t>
    <phoneticPr fontId="2" type="noConversion"/>
  </si>
  <si>
    <t>A/S</t>
    <phoneticPr fontId="2" type="noConversion"/>
  </si>
  <si>
    <t>보안 및 안전교육이수</t>
    <phoneticPr fontId="2" type="noConversion"/>
  </si>
  <si>
    <t>도면불량 수정, 검사입회</t>
    <phoneticPr fontId="2" type="noConversion"/>
  </si>
  <si>
    <t>YARD 내방을 위한 필수 교육 이수</t>
    <phoneticPr fontId="2" type="noConversion"/>
  </si>
  <si>
    <t>송영국</t>
    <phoneticPr fontId="2" type="noConversion"/>
  </si>
  <si>
    <t>더베솔</t>
    <phoneticPr fontId="2" type="noConversion"/>
  </si>
  <si>
    <t>1월</t>
    <phoneticPr fontId="2" type="noConversion"/>
  </si>
  <si>
    <t>-&gt;우신</t>
    <phoneticPr fontId="2" type="noConversion"/>
  </si>
  <si>
    <t>12/26~29</t>
    <phoneticPr fontId="2" type="noConversion"/>
  </si>
  <si>
    <t>박해식</t>
    <phoneticPr fontId="2" type="noConversion"/>
  </si>
  <si>
    <t>01/22 ~ 26</t>
    <phoneticPr fontId="2" type="noConversion"/>
  </si>
  <si>
    <t>12/20 ~ 12/22</t>
    <phoneticPr fontId="2" type="noConversion"/>
  </si>
  <si>
    <t>보트시트 설치, 초기작동 (2박3일)</t>
    <phoneticPr fontId="2" type="noConversion"/>
  </si>
  <si>
    <t>사전품의 완료 (폭설로 인한 작업 마무리 불가, 재방문)</t>
    <phoneticPr fontId="2" type="noConversion"/>
  </si>
  <si>
    <t>검사, 코멘트조치</t>
    <phoneticPr fontId="2" type="noConversion"/>
  </si>
  <si>
    <t>PV</t>
    <phoneticPr fontId="2" type="noConversion"/>
  </si>
  <si>
    <t>펌프 시트 누유</t>
    <phoneticPr fontId="2" type="noConversion"/>
  </si>
  <si>
    <t>컨트롤스탠드 유압 호스 간섭부 보강 조치</t>
    <phoneticPr fontId="2" type="noConversion"/>
  </si>
  <si>
    <t>시운전, 코멘트조치 (1박2일)</t>
    <phoneticPr fontId="2" type="noConversion"/>
  </si>
  <si>
    <t>1/15 ~ 1/16</t>
    <phoneticPr fontId="2" type="noConversion"/>
  </si>
  <si>
    <t>신명엔지니어링</t>
    <phoneticPr fontId="2" type="noConversion"/>
  </si>
  <si>
    <t xml:space="preserve">검사 </t>
    <phoneticPr fontId="2" type="noConversion"/>
  </si>
  <si>
    <t>박성용</t>
    <phoneticPr fontId="2" type="noConversion"/>
  </si>
  <si>
    <t>-</t>
    <phoneticPr fontId="2" type="noConversion"/>
  </si>
  <si>
    <t>코멘트조치</t>
    <phoneticPr fontId="2" type="noConversion"/>
  </si>
  <si>
    <t>실행 예산에 부합 함</t>
    <phoneticPr fontId="2" type="noConversion"/>
  </si>
  <si>
    <t>2023-12-18 ~ 12-22</t>
    <phoneticPr fontId="2" type="noConversion"/>
  </si>
  <si>
    <t>2024-01-08 ~ 2024-01-12</t>
    <phoneticPr fontId="2" type="noConversion"/>
  </si>
  <si>
    <t>2024-01-15 ~ 2024-01-19</t>
    <phoneticPr fontId="2" type="noConversion"/>
  </si>
  <si>
    <t>2024-01-29 ~ 2024-02-02</t>
    <phoneticPr fontId="2" type="noConversion"/>
  </si>
  <si>
    <t>YN01</t>
  </si>
  <si>
    <t>검사준비 지원</t>
  </si>
  <si>
    <t>코멘트/수정작업, 검사준비</t>
  </si>
  <si>
    <t>아이앤지(4)</t>
  </si>
  <si>
    <t>검사 준비, 자체테스트</t>
    <phoneticPr fontId="2" type="noConversion"/>
  </si>
  <si>
    <t>2024-02-13 ~ 2024-02-16</t>
    <phoneticPr fontId="2" type="noConversion"/>
  </si>
  <si>
    <t>0282</t>
    <phoneticPr fontId="2" type="noConversion"/>
  </si>
  <si>
    <t>시운전 및 승조원교육</t>
    <phoneticPr fontId="2" type="noConversion"/>
  </si>
  <si>
    <t>1/29(월)</t>
  </si>
  <si>
    <t>박성용</t>
    <phoneticPr fontId="2" type="noConversion"/>
  </si>
  <si>
    <t>인도전</t>
    <phoneticPr fontId="2" type="noConversion"/>
  </si>
  <si>
    <t>S192</t>
    <phoneticPr fontId="2" type="noConversion"/>
  </si>
  <si>
    <t>무상</t>
    <phoneticPr fontId="2" type="noConversion"/>
  </si>
  <si>
    <t>인도후</t>
    <phoneticPr fontId="2" type="noConversion"/>
  </si>
  <si>
    <t>무상</t>
    <phoneticPr fontId="2" type="noConversion"/>
  </si>
  <si>
    <t>박성용</t>
    <phoneticPr fontId="2" type="noConversion"/>
  </si>
  <si>
    <t>우신(1)</t>
    <phoneticPr fontId="2" type="noConversion"/>
  </si>
  <si>
    <t>CLAIM</t>
    <phoneticPr fontId="2" type="noConversion"/>
  </si>
  <si>
    <t>PV</t>
    <phoneticPr fontId="2" type="noConversion"/>
  </si>
  <si>
    <t>LADDER 재설치 (도면불량, 재제작품)</t>
    <phoneticPr fontId="2" type="noConversion"/>
  </si>
  <si>
    <t>HHI</t>
    <phoneticPr fontId="2" type="noConversion"/>
  </si>
  <si>
    <t>P167</t>
    <phoneticPr fontId="2" type="noConversion"/>
  </si>
  <si>
    <t>ML</t>
    <phoneticPr fontId="2" type="noConversion"/>
  </si>
  <si>
    <t>코멘트조치, 검사준비</t>
    <phoneticPr fontId="2" type="noConversion"/>
  </si>
  <si>
    <t>박성용</t>
    <phoneticPr fontId="2" type="noConversion"/>
  </si>
  <si>
    <t>우신(1)</t>
    <phoneticPr fontId="2" type="noConversion"/>
  </si>
  <si>
    <t>검사 입회</t>
    <phoneticPr fontId="2" type="noConversion"/>
  </si>
  <si>
    <t xml:space="preserve">검사준비 </t>
    <phoneticPr fontId="2" type="noConversion"/>
  </si>
  <si>
    <t>외주(4)</t>
    <phoneticPr fontId="2" type="noConversion"/>
  </si>
  <si>
    <t>도면 불량</t>
    <phoneticPr fontId="2" type="noConversion"/>
  </si>
  <si>
    <t>씨앤엠</t>
    <phoneticPr fontId="2" type="noConversion"/>
  </si>
  <si>
    <t>STW</t>
    <phoneticPr fontId="2" type="noConversion"/>
  </si>
  <si>
    <t>P168</t>
    <phoneticPr fontId="2" type="noConversion"/>
  </si>
  <si>
    <t>우신(2)</t>
    <phoneticPr fontId="2" type="noConversion"/>
  </si>
  <si>
    <t>문덕민</t>
    <phoneticPr fontId="2" type="noConversion"/>
  </si>
  <si>
    <t>코멘트 조치, 검사 입회 (13시)</t>
    <phoneticPr fontId="2" type="noConversion"/>
  </si>
  <si>
    <t>SHI</t>
    <phoneticPr fontId="2" type="noConversion"/>
  </si>
  <si>
    <t>신명(2)</t>
    <phoneticPr fontId="2" type="noConversion"/>
  </si>
  <si>
    <t>리미트 터치바 수정, 리미트 블록 연장 (2대)</t>
    <phoneticPr fontId="2" type="noConversion"/>
  </si>
  <si>
    <t>2024-02-26 ~ 2024-02-29</t>
    <phoneticPr fontId="2" type="noConversion"/>
  </si>
  <si>
    <t>S198</t>
    <phoneticPr fontId="2" type="noConversion"/>
  </si>
  <si>
    <t>S204</t>
    <phoneticPr fontId="2" type="noConversion"/>
  </si>
  <si>
    <t>AF</t>
    <phoneticPr fontId="2" type="noConversion"/>
  </si>
  <si>
    <t>외주(6)</t>
    <phoneticPr fontId="2" type="noConversion"/>
  </si>
  <si>
    <t>아이앤지(2)</t>
    <phoneticPr fontId="2" type="noConversion"/>
  </si>
  <si>
    <t>OJC</t>
    <phoneticPr fontId="2" type="noConversion"/>
  </si>
  <si>
    <t>도장 / 덴소 / 포장</t>
    <phoneticPr fontId="2" type="noConversion"/>
  </si>
  <si>
    <t>A/S</t>
    <phoneticPr fontId="2" type="noConversion"/>
  </si>
  <si>
    <t>무상</t>
    <phoneticPr fontId="2" type="noConversion"/>
  </si>
  <si>
    <t>계약 사항</t>
    <phoneticPr fontId="2" type="noConversion"/>
  </si>
  <si>
    <t>도면 불량</t>
    <phoneticPr fontId="2" type="noConversion"/>
  </si>
  <si>
    <t>0271</t>
    <phoneticPr fontId="2" type="noConversion"/>
  </si>
  <si>
    <t>FC</t>
    <phoneticPr fontId="2" type="noConversion"/>
  </si>
  <si>
    <t>인도후</t>
    <phoneticPr fontId="2" type="noConversion"/>
  </si>
  <si>
    <t>진해해군</t>
    <phoneticPr fontId="2" type="noConversion"/>
  </si>
  <si>
    <t>RCS, RB</t>
    <phoneticPr fontId="2" type="noConversion"/>
  </si>
  <si>
    <t>RCS차폐막 롤러 교체, 리미트 간섭 / RB 밴드 공급</t>
    <phoneticPr fontId="2" type="noConversion"/>
  </si>
  <si>
    <t>무상</t>
    <phoneticPr fontId="2" type="noConversion"/>
  </si>
  <si>
    <t>범양엔지니어링</t>
    <phoneticPr fontId="2" type="noConversion"/>
  </si>
  <si>
    <t>사전품의 완료</t>
    <phoneticPr fontId="2" type="noConversion"/>
  </si>
  <si>
    <t>02/01 ~ 02/02</t>
    <phoneticPr fontId="2" type="noConversion"/>
  </si>
  <si>
    <t>02/05 ~ 02/08</t>
    <phoneticPr fontId="2" type="noConversion"/>
  </si>
  <si>
    <t>02/13 ~ 02/16</t>
    <phoneticPr fontId="2" type="noConversion"/>
  </si>
  <si>
    <t>02/19 ~ 02/23</t>
    <phoneticPr fontId="2" type="noConversion"/>
  </si>
  <si>
    <t>02/26 ~ 02/29</t>
    <phoneticPr fontId="2" type="noConversion"/>
  </si>
  <si>
    <t>TC</t>
    <phoneticPr fontId="2" type="noConversion"/>
  </si>
  <si>
    <t>S204</t>
    <phoneticPr fontId="2" type="noConversion"/>
  </si>
  <si>
    <t>AF</t>
    <phoneticPr fontId="2" type="noConversion"/>
  </si>
  <si>
    <t>02/21 ~ 02/22</t>
    <phoneticPr fontId="2" type="noConversion"/>
  </si>
  <si>
    <t>우신</t>
    <phoneticPr fontId="2" type="noConversion"/>
  </si>
  <si>
    <t>무상</t>
    <phoneticPr fontId="2" type="noConversion"/>
  </si>
  <si>
    <t>송영국</t>
    <phoneticPr fontId="2" type="noConversion"/>
  </si>
  <si>
    <t>검사 입회 (오전10시)</t>
    <phoneticPr fontId="2" type="noConversion"/>
  </si>
  <si>
    <t>무상</t>
    <phoneticPr fontId="2" type="noConversion"/>
  </si>
  <si>
    <t>RB, RCS</t>
    <phoneticPr fontId="2" type="noConversion"/>
  </si>
  <si>
    <t>실린더 수정, 자체테스트</t>
    <phoneticPr fontId="2" type="noConversion"/>
  </si>
  <si>
    <t xml:space="preserve"> </t>
    <phoneticPr fontId="2" type="noConversion"/>
  </si>
  <si>
    <t>계약 사항</t>
    <phoneticPr fontId="2" type="noConversion"/>
  </si>
  <si>
    <t>보증수리</t>
    <phoneticPr fontId="2" type="noConversion"/>
  </si>
  <si>
    <t>설치 지원</t>
    <phoneticPr fontId="2" type="noConversion"/>
  </si>
  <si>
    <t>아이앤지(최기출)</t>
    <phoneticPr fontId="2" type="noConversion"/>
  </si>
  <si>
    <t>TC</t>
    <phoneticPr fontId="2" type="noConversion"/>
  </si>
  <si>
    <t>조립/ 설치지원</t>
    <phoneticPr fontId="2" type="noConversion"/>
  </si>
  <si>
    <t>2024-03-04 ~ 2024-03-08</t>
    <phoneticPr fontId="2" type="noConversion"/>
  </si>
  <si>
    <t>2024-02-13 ~ 2024-02-16</t>
    <phoneticPr fontId="2" type="noConversion"/>
  </si>
  <si>
    <t>2024-02-05 ~ 2024-02-08</t>
    <phoneticPr fontId="2" type="noConversion"/>
  </si>
  <si>
    <t>2024-02-05 ~ 2024-02-08</t>
    <phoneticPr fontId="2" type="noConversion"/>
  </si>
  <si>
    <t>2024-02-26 ~ 2024-02-29</t>
    <phoneticPr fontId="2" type="noConversion"/>
  </si>
  <si>
    <t>2024-02-19 ~ 2024-02-23</t>
    <phoneticPr fontId="2" type="noConversion"/>
  </si>
  <si>
    <t>2024-02-19 ~ 2024-02-23</t>
    <phoneticPr fontId="2" type="noConversion"/>
  </si>
  <si>
    <t>KT</t>
    <phoneticPr fontId="2" type="noConversion"/>
  </si>
  <si>
    <t>승조원교육 실기</t>
    <phoneticPr fontId="2" type="noConversion"/>
  </si>
  <si>
    <t>ER, PE</t>
    <phoneticPr fontId="2" type="noConversion"/>
  </si>
  <si>
    <t>PE</t>
    <phoneticPr fontId="2" type="noConversion"/>
  </si>
  <si>
    <t>ML</t>
    <phoneticPr fontId="2" type="noConversion"/>
  </si>
  <si>
    <t>2024-03-11 ~ 2024-03-15</t>
    <phoneticPr fontId="2" type="noConversion"/>
  </si>
  <si>
    <t>ASB1246</t>
    <phoneticPr fontId="2" type="noConversion"/>
  </si>
  <si>
    <t>DB4502</t>
    <phoneticPr fontId="2" type="noConversion"/>
  </si>
  <si>
    <t>덴소 / 도장보수 / 포장</t>
    <phoneticPr fontId="2" type="noConversion"/>
  </si>
  <si>
    <t>BSR</t>
    <phoneticPr fontId="2" type="noConversion"/>
  </si>
  <si>
    <t>대선조선</t>
    <phoneticPr fontId="2" type="noConversion"/>
  </si>
  <si>
    <t>대변항</t>
    <phoneticPr fontId="2" type="noConversion"/>
  </si>
  <si>
    <t>커미셔닝</t>
    <phoneticPr fontId="2" type="noConversion"/>
  </si>
  <si>
    <t>코멘트조치(도장수정, 케이블보호, 리미트스위치교체, 체인박스 수정, 커넥터 교체)</t>
    <phoneticPr fontId="2" type="noConversion"/>
  </si>
  <si>
    <t>3306 (25T)</t>
    <phoneticPr fontId="2" type="noConversion"/>
  </si>
  <si>
    <t>유압 호스 누유, 마감처리 / 리미트세팅 / 아이플레이트 제거</t>
    <phoneticPr fontId="2" type="noConversion"/>
  </si>
  <si>
    <t>리미트 터치바 교체</t>
    <phoneticPr fontId="2" type="noConversion"/>
  </si>
  <si>
    <t>RCS</t>
    <phoneticPr fontId="2" type="noConversion"/>
  </si>
  <si>
    <t>RD</t>
    <phoneticPr fontId="2" type="noConversion"/>
  </si>
  <si>
    <t>검사준비</t>
    <phoneticPr fontId="2" type="noConversion"/>
  </si>
  <si>
    <t>2024-03-25~
03-27</t>
    <phoneticPr fontId="2" type="noConversion"/>
  </si>
  <si>
    <t>선주 코멘트</t>
    <phoneticPr fontId="2" type="noConversion"/>
  </si>
  <si>
    <t>선주 코멘트 및 도면 불량</t>
    <phoneticPr fontId="2" type="noConversion"/>
  </si>
  <si>
    <t>원인 확인 예정</t>
    <phoneticPr fontId="2" type="noConversion"/>
  </si>
  <si>
    <t>HOOK BLOCK 조립, 해체 , 재조립, 검사입회</t>
    <phoneticPr fontId="2" type="noConversion"/>
  </si>
  <si>
    <t>조립 불량</t>
    <phoneticPr fontId="2" type="noConversion"/>
  </si>
  <si>
    <t>3306 (2T)</t>
    <phoneticPr fontId="2" type="noConversion"/>
  </si>
  <si>
    <t>2024-03-28~
03-29</t>
    <phoneticPr fontId="2" type="noConversion"/>
  </si>
  <si>
    <t>아이앤지(6)</t>
    <phoneticPr fontId="2" type="noConversion"/>
  </si>
  <si>
    <t>포장반 지원(철야 1.5배 적용)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</si>
  <si>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</rPr>
      <t>(철야)</t>
    </r>
    <phoneticPr fontId="2" type="noConversion"/>
  </si>
  <si>
    <t>아이앤지(최기출3)</t>
    <phoneticPr fontId="2" type="noConversion"/>
  </si>
  <si>
    <t>아이앤지(최기출1)</t>
    <phoneticPr fontId="2" type="noConversion"/>
  </si>
  <si>
    <t>2024-03-18 ~</t>
  </si>
  <si>
    <t>ASB1246</t>
  </si>
  <si>
    <t>아이앤지(최기출)</t>
  </si>
  <si>
    <t>3306 (25T)</t>
  </si>
  <si>
    <t>OJC</t>
  </si>
  <si>
    <t>3/18(월)</t>
  </si>
  <si>
    <t>S198</t>
  </si>
  <si>
    <t>TC</t>
  </si>
  <si>
    <t>3/19(화)</t>
  </si>
  <si>
    <t>S204</t>
  </si>
  <si>
    <t>AF</t>
  </si>
  <si>
    <t>용접 / 사상</t>
  </si>
  <si>
    <t>DB4502</t>
  </si>
  <si>
    <t>덴소 / 도장보수 / 포장</t>
  </si>
  <si>
    <t>SN2579</t>
  </si>
  <si>
    <t>HH, CMR, PV</t>
  </si>
  <si>
    <t>와이어꼬임(5대) 수정, 재설치</t>
  </si>
  <si>
    <t>신명(3)</t>
  </si>
  <si>
    <t>선주 코멘트(WIRE ROPE 설치 불량)</t>
  </si>
  <si>
    <t>대선조선</t>
  </si>
  <si>
    <t>커미셔닝</t>
  </si>
  <si>
    <t>3/20(수)</t>
  </si>
  <si>
    <t>선주 NCR 조치, 유압 호스 결선, 케이블 결선, 초기작동, 시운전</t>
  </si>
  <si>
    <t>디에스티(1), 동아(1)</t>
  </si>
  <si>
    <t>      600,000</t>
  </si>
  <si>
    <t>3/22(금)</t>
  </si>
  <si>
    <t xml:space="preserve"> 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</si>
  <si>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</si>
  <si>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</si>
  <si>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</si>
  <si>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</si>
  <si>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</si>
  <si>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</si>
  <si>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</si>
  <si>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우신테크</t>
    <phoneticPr fontId="2" type="noConversion"/>
  </si>
  <si>
    <t>HHI</t>
    <phoneticPr fontId="2" type="noConversion"/>
  </si>
  <si>
    <t>코멘트조치 (검사준비)</t>
    <phoneticPr fontId="2" type="noConversion"/>
  </si>
  <si>
    <t>완료</t>
    <phoneticPr fontId="2" type="noConversion"/>
  </si>
  <si>
    <t>CLAIM</t>
    <phoneticPr fontId="2" type="noConversion"/>
  </si>
  <si>
    <t>PV</t>
    <phoneticPr fontId="2" type="noConversion"/>
  </si>
  <si>
    <t>LADDER 재설치 (도면불량, 재제작품)</t>
    <phoneticPr fontId="2" type="noConversion"/>
  </si>
  <si>
    <t>A/S</t>
    <phoneticPr fontId="2" type="noConversion"/>
  </si>
  <si>
    <t>코멘트 조치, 검사 입회 (13시)</t>
    <phoneticPr fontId="2" type="noConversion"/>
  </si>
  <si>
    <t>P167</t>
    <phoneticPr fontId="2" type="noConversion"/>
  </si>
  <si>
    <t>RCS망설치, 시트 용접</t>
    <phoneticPr fontId="2" type="noConversion"/>
  </si>
  <si>
    <t>박성용</t>
    <phoneticPr fontId="2" type="noConversion"/>
  </si>
  <si>
    <t>계약사항 이행</t>
    <phoneticPr fontId="2" type="noConversion"/>
  </si>
  <si>
    <t>한화오션</t>
    <phoneticPr fontId="2" type="noConversion"/>
  </si>
  <si>
    <t>RCS, RB</t>
    <phoneticPr fontId="2" type="noConversion"/>
  </si>
  <si>
    <t>RCS차폐막 롤러 교체, 리미트 간섭 / RB 밴드 공급</t>
    <phoneticPr fontId="2" type="noConversion"/>
  </si>
  <si>
    <t>사전품의 완료</t>
    <phoneticPr fontId="2" type="noConversion"/>
  </si>
  <si>
    <t>리미트 터치바 교체</t>
    <phoneticPr fontId="2" type="noConversion"/>
  </si>
  <si>
    <t>합계</t>
    <phoneticPr fontId="2" type="noConversion"/>
  </si>
  <si>
    <t>일자</t>
    <phoneticPr fontId="2" type="noConversion"/>
  </si>
  <si>
    <t>작업내용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</si>
  <si>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</si>
  <si>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</si>
  <si>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</si>
  <si>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</si>
  <si>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진진산업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</si>
  <si>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</si>
  <si>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</si>
  <si>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</si>
  <si>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P168</t>
    <phoneticPr fontId="2" type="noConversion"/>
  </si>
  <si>
    <t>RCS</t>
    <phoneticPr fontId="2" type="noConversion"/>
  </si>
  <si>
    <t>케이블 포설, 설치지원</t>
    <phoneticPr fontId="2" type="noConversion"/>
  </si>
  <si>
    <t>박성용</t>
    <phoneticPr fontId="2" type="noConversion"/>
  </si>
  <si>
    <t>계약사항 이행</t>
    <phoneticPr fontId="2" type="noConversion"/>
  </si>
  <si>
    <t>완료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</si>
  <si>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</si>
  <si>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</si>
  <si>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</si>
  <si>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차폐막 설치, 설치지원</t>
    <phoneticPr fontId="2" type="noConversion"/>
  </si>
  <si>
    <t>계약사항 이행</t>
    <phoneticPr fontId="2" type="noConversion"/>
  </si>
  <si>
    <t>완료</t>
    <phoneticPr fontId="2" type="noConversion"/>
  </si>
  <si>
    <t>P168</t>
    <phoneticPr fontId="2" type="noConversion"/>
  </si>
  <si>
    <t>세팅 및 시운전</t>
    <phoneticPr fontId="2" type="noConversion"/>
  </si>
  <si>
    <t>박성용</t>
    <phoneticPr fontId="2" type="noConversion"/>
  </si>
  <si>
    <t>완료</t>
    <phoneticPr fontId="2" type="noConversion"/>
  </si>
  <si>
    <t>HHI</t>
    <phoneticPr fontId="2" type="noConversion"/>
  </si>
  <si>
    <t>RB, RCS</t>
    <phoneticPr fontId="2" type="noConversion"/>
  </si>
  <si>
    <t>실린더 수정, 자체테스트</t>
    <phoneticPr fontId="2" type="noConversion"/>
  </si>
  <si>
    <t>사전품의 완료 (업체변경)</t>
    <phoneticPr fontId="2" type="noConversion"/>
  </si>
  <si>
    <t>검사 입회</t>
    <phoneticPr fontId="2" type="noConversion"/>
  </si>
  <si>
    <t>A/S</t>
    <phoneticPr fontId="2" type="noConversion"/>
  </si>
  <si>
    <t>P167</t>
    <phoneticPr fontId="2" type="noConversion"/>
  </si>
  <si>
    <t>PE</t>
    <phoneticPr fontId="2" type="noConversion"/>
  </si>
  <si>
    <t>코멘트조치</t>
    <phoneticPr fontId="2" type="noConversion"/>
  </si>
  <si>
    <t>사전품의 완료</t>
    <phoneticPr fontId="2" type="noConversion"/>
  </si>
  <si>
    <t>A/S</t>
    <phoneticPr fontId="2" type="noConversion"/>
  </si>
  <si>
    <t>P167</t>
    <phoneticPr fontId="2" type="noConversion"/>
  </si>
  <si>
    <t>ML</t>
    <phoneticPr fontId="2" type="noConversion"/>
  </si>
  <si>
    <t>코멘트조치(도장수정, 케이블보호, 리미트스위치교체, 체인박스 수정, 커넥터 교체)</t>
    <phoneticPr fontId="2" type="noConversion"/>
  </si>
  <si>
    <t>합계</t>
    <phoneticPr fontId="2" type="noConversion"/>
  </si>
  <si>
    <t>3월</t>
    <phoneticPr fontId="2" type="noConversion"/>
  </si>
  <si>
    <t>RCS,HHD</t>
    <phoneticPr fontId="2" type="noConversion"/>
  </si>
  <si>
    <t>시운전지원</t>
    <phoneticPr fontId="2" type="noConversion"/>
  </si>
  <si>
    <t>조립지원</t>
    <phoneticPr fontId="2" type="noConversion"/>
  </si>
  <si>
    <t>SN2598</t>
    <phoneticPr fontId="2" type="noConversion"/>
  </si>
  <si>
    <t>아이앤지(최기출2)</t>
    <phoneticPr fontId="2" type="noConversion"/>
  </si>
  <si>
    <t>HOOK BLOCK 수정, 호스정리</t>
    <phoneticPr fontId="2" type="noConversion"/>
  </si>
  <si>
    <t>04-01(월)~
04-03(수)</t>
    <phoneticPr fontId="2" type="noConversion"/>
  </si>
  <si>
    <t>04-04(목)~
04-05(금)</t>
    <phoneticPr fontId="2" type="noConversion"/>
  </si>
  <si>
    <t>04-01(월)~
04-02(화)</t>
    <phoneticPr fontId="2" type="noConversion"/>
  </si>
  <si>
    <t>04-02(화)~
04-03(수)</t>
    <phoneticPr fontId="2" type="noConversion"/>
  </si>
  <si>
    <t>사외작업</t>
  </si>
  <si>
    <t>가포신항</t>
    <phoneticPr fontId="2" type="noConversion"/>
  </si>
  <si>
    <t>H2518</t>
    <phoneticPr fontId="2" type="noConversion"/>
  </si>
  <si>
    <t>DC</t>
    <phoneticPr fontId="2" type="noConversion"/>
  </si>
  <si>
    <t>부두조립</t>
    <phoneticPr fontId="2" type="noConversion"/>
  </si>
  <si>
    <t>실행예산에 부함함</t>
    <phoneticPr fontId="2" type="noConversion"/>
  </si>
  <si>
    <t>출고검사</t>
    <phoneticPr fontId="2" type="noConversion"/>
  </si>
  <si>
    <t>DB4502</t>
    <phoneticPr fontId="2" type="noConversion"/>
  </si>
  <si>
    <t>DB4501</t>
    <phoneticPr fontId="2" type="noConversion"/>
  </si>
  <si>
    <t>아이앤지</t>
  </si>
  <si>
    <t>우신테크</t>
    <phoneticPr fontId="2" type="noConversion"/>
  </si>
  <si>
    <r>
      <rPr>
        <sz val="10"/>
        <rFont val="돋움"/>
        <family val="3"/>
        <charset val="129"/>
      </rPr>
      <t>외주</t>
    </r>
    <r>
      <rPr>
        <sz val="10"/>
        <rFont val="Arial"/>
        <family val="2"/>
      </rPr>
      <t>(1)-ing</t>
    </r>
    <phoneticPr fontId="2" type="noConversion"/>
  </si>
  <si>
    <t>커미셔닝</t>
    <phoneticPr fontId="2" type="noConversion"/>
  </si>
  <si>
    <t>ㅇㄹㅇㄹ</t>
    <phoneticPr fontId="2" type="noConversion"/>
  </si>
  <si>
    <t>ㅇㄹㅇㄹ</t>
    <phoneticPr fontId="2" type="noConversion"/>
  </si>
  <si>
    <t>04-08(월)~
04-09(화)</t>
    <phoneticPr fontId="2" type="noConversion"/>
  </si>
  <si>
    <t>04-11(목)~
04-12(금)</t>
    <phoneticPr fontId="2" type="noConversion"/>
  </si>
  <si>
    <t>사내작업</t>
    <phoneticPr fontId="2" type="noConversion"/>
  </si>
  <si>
    <t>SWN0283</t>
    <phoneticPr fontId="2" type="noConversion"/>
  </si>
  <si>
    <t>(6.5T, 9T)조립, 설치 지원</t>
    <phoneticPr fontId="2" type="noConversion"/>
  </si>
  <si>
    <t>04-02(화)~</t>
  </si>
  <si>
    <t>04-03(수)</t>
  </si>
  <si>
    <t>덴소 / 도장 / 포장 지원</t>
  </si>
  <si>
    <t>송영국</t>
  </si>
  <si>
    <t>     500,000</t>
  </si>
  <si>
    <t>04-04(목)~</t>
  </si>
  <si>
    <t>04-05(금)</t>
  </si>
  <si>
    <t>(2TON)덴소 / 도장 / 포장 지원</t>
  </si>
  <si>
    <t>14-1</t>
    <phoneticPr fontId="2" type="noConversion"/>
  </si>
  <si>
    <t>대선조선</t>
    <phoneticPr fontId="2" type="noConversion"/>
  </si>
  <si>
    <t>디에스티, 외주(1)</t>
    <phoneticPr fontId="2" type="noConversion"/>
  </si>
  <si>
    <t>S192</t>
    <phoneticPr fontId="2" type="noConversion"/>
  </si>
  <si>
    <t>HHIC</t>
    <phoneticPr fontId="2" type="noConversion"/>
  </si>
  <si>
    <t>CG</t>
    <phoneticPr fontId="2" type="noConversion"/>
  </si>
  <si>
    <t>승조원 교육 및 코멘트 처리
(후크라싱, JIB REST 수정)</t>
    <phoneticPr fontId="2" type="noConversion"/>
  </si>
  <si>
    <t>A/S 조치(함수 램프 유압계통 작동불량)</t>
    <phoneticPr fontId="2" type="noConversion"/>
  </si>
  <si>
    <t>DB4501</t>
    <phoneticPr fontId="2" type="noConversion"/>
  </si>
  <si>
    <t>04-11(목)~
04-12(금)</t>
    <phoneticPr fontId="2" type="noConversion"/>
  </si>
  <si>
    <t>04-8(목)~
04-9(금)</t>
    <phoneticPr fontId="2" type="noConversion"/>
  </si>
  <si>
    <t>SN2598</t>
    <phoneticPr fontId="2" type="noConversion"/>
  </si>
  <si>
    <t>PV</t>
    <phoneticPr fontId="2" type="noConversion"/>
  </si>
  <si>
    <t>포장지원</t>
    <phoneticPr fontId="2" type="noConversion"/>
  </si>
  <si>
    <t>강지원</t>
    <phoneticPr fontId="2" type="noConversion"/>
  </si>
  <si>
    <t>더베솔(4)</t>
    <phoneticPr fontId="2" type="noConversion"/>
  </si>
  <si>
    <t>TEST JIG 제작/설치</t>
    <phoneticPr fontId="2" type="noConversion"/>
  </si>
  <si>
    <t>장유승</t>
    <phoneticPr fontId="2" type="noConversion"/>
  </si>
  <si>
    <t>아이앤지(4)</t>
    <phoneticPr fontId="2" type="noConversion"/>
  </si>
  <si>
    <t>P157
(한산도함)</t>
    <phoneticPr fontId="2" type="noConversion"/>
  </si>
  <si>
    <t>RCS, RD</t>
    <phoneticPr fontId="2" type="noConversion"/>
  </si>
  <si>
    <t>우신</t>
    <phoneticPr fontId="2" type="noConversion"/>
  </si>
  <si>
    <t>04-15(월)~
04-17(수)</t>
    <phoneticPr fontId="2" type="noConversion"/>
  </si>
  <si>
    <t>04-18(목)~
04-19(금)</t>
    <phoneticPr fontId="2" type="noConversion"/>
  </si>
  <si>
    <t>04-18(목)~
04-20(토)</t>
    <phoneticPr fontId="2" type="noConversion"/>
  </si>
  <si>
    <t>TEST BED 용접 작업</t>
    <phoneticPr fontId="2" type="noConversion"/>
  </si>
  <si>
    <t>S198</t>
    <phoneticPr fontId="2" type="noConversion"/>
  </si>
  <si>
    <t>클레임 조치(PIN교체, STACH BLOCK 추가 제관 용접 &amp; 페인트, CHAIN BLOCK 공급)</t>
    <phoneticPr fontId="2" type="noConversion"/>
  </si>
  <si>
    <t>4/19(금)</t>
    <phoneticPr fontId="2" type="noConversion"/>
  </si>
  <si>
    <t>부산항</t>
    <phoneticPr fontId="2" type="noConversion"/>
  </si>
  <si>
    <t>4/18(목)</t>
    <phoneticPr fontId="2" type="noConversion"/>
  </si>
  <si>
    <t>개선사항(도면변경)</t>
    <phoneticPr fontId="2" type="noConversion"/>
  </si>
  <si>
    <t>보증 수리</t>
    <phoneticPr fontId="2" type="noConversion"/>
  </si>
  <si>
    <t>더베스트솔루션(6)</t>
    <phoneticPr fontId="2" type="noConversion"/>
  </si>
  <si>
    <t>조립 불량</t>
    <phoneticPr fontId="2" type="noConversion"/>
  </si>
  <si>
    <t>HOOK BLOCK 해체/4/19(금)조립포함</t>
    <phoneticPr fontId="2" type="noConversion"/>
  </si>
  <si>
    <t>TC,RB</t>
    <phoneticPr fontId="2" type="noConversion"/>
  </si>
  <si>
    <t>CRADLE 수정작업</t>
    <phoneticPr fontId="2" type="noConversion"/>
  </si>
  <si>
    <t>LUFFING WIRE 정렬 조치</t>
    <phoneticPr fontId="2" type="noConversion"/>
  </si>
  <si>
    <t>04-22(월)~
04-26(금)</t>
    <phoneticPr fontId="2" type="noConversion"/>
  </si>
  <si>
    <t>(25T) 조립지원</t>
    <phoneticPr fontId="2" type="noConversion"/>
  </si>
  <si>
    <t>아이앤지(최기출5)</t>
    <phoneticPr fontId="2" type="noConversion"/>
  </si>
  <si>
    <t>YARD 탑재 지원</t>
  </si>
  <si>
    <t>도면 불량</t>
    <phoneticPr fontId="2" type="noConversion"/>
  </si>
  <si>
    <t>SHI</t>
    <phoneticPr fontId="2" type="noConversion"/>
  </si>
  <si>
    <t>도면개정 반영</t>
    <phoneticPr fontId="2" type="noConversion"/>
  </si>
  <si>
    <t>그리스라인 수정, 니쁠 데미지 교체</t>
    <phoneticPr fontId="2" type="noConversion"/>
  </si>
  <si>
    <t>4/25(목)</t>
    <phoneticPr fontId="2" type="noConversion"/>
  </si>
  <si>
    <t>SN2598/P169</t>
    <phoneticPr fontId="2" type="noConversion"/>
  </si>
  <si>
    <t>더베스트솔루션(2)</t>
    <phoneticPr fontId="2" type="noConversion"/>
  </si>
  <si>
    <t>고객 탑재 지원 요청</t>
    <phoneticPr fontId="2" type="noConversion"/>
  </si>
  <si>
    <t>(20T) S/B BOLT 교체 및 토르크 작업</t>
    <phoneticPr fontId="2" type="noConversion"/>
  </si>
  <si>
    <t>이경원</t>
    <phoneticPr fontId="2" type="noConversion"/>
  </si>
  <si>
    <t xml:space="preserve">HH PD/
HO RAIL
</t>
    <phoneticPr fontId="2" type="noConversion"/>
  </si>
  <si>
    <t>업체명</t>
    <phoneticPr fontId="2" type="noConversion"/>
  </si>
  <si>
    <t>품의일자</t>
    <phoneticPr fontId="2" type="noConversion"/>
  </si>
  <si>
    <t>작업내용</t>
    <phoneticPr fontId="2" type="noConversion"/>
  </si>
  <si>
    <t>금액</t>
    <phoneticPr fontId="2" type="noConversion"/>
  </si>
  <si>
    <t>김해공장</t>
    <phoneticPr fontId="2" type="noConversion"/>
  </si>
  <si>
    <t>3306 (2T)</t>
    <phoneticPr fontId="2" type="noConversion"/>
  </si>
  <si>
    <t>OJC</t>
    <phoneticPr fontId="2" type="noConversion"/>
  </si>
  <si>
    <t>강지원</t>
    <phoneticPr fontId="2" type="noConversion"/>
  </si>
  <si>
    <t>아이앤지(6)
→ 더베솔(9)</t>
    <phoneticPr fontId="2" type="noConversion"/>
  </si>
  <si>
    <t>품의13</t>
    <phoneticPr fontId="2" type="noConversion"/>
  </si>
  <si>
    <t>04-02(화)~
04-03(수)</t>
    <phoneticPr fontId="2" type="noConversion"/>
  </si>
  <si>
    <t>사내작업</t>
    <phoneticPr fontId="2" type="noConversion"/>
  </si>
  <si>
    <t>납품전</t>
    <phoneticPr fontId="2" type="noConversion"/>
  </si>
  <si>
    <t>덴소 / 도장 / 포장 지원</t>
    <phoneticPr fontId="2" type="noConversion"/>
  </si>
  <si>
    <t>사전품의 완료</t>
    <phoneticPr fontId="2" type="noConversion"/>
  </si>
  <si>
    <t>품의14</t>
  </si>
  <si>
    <t>04-11(목)~
04-12(금)</t>
    <phoneticPr fontId="2" type="noConversion"/>
  </si>
  <si>
    <t>SN2598</t>
    <phoneticPr fontId="2" type="noConversion"/>
  </si>
  <si>
    <t>PV</t>
    <phoneticPr fontId="2" type="noConversion"/>
  </si>
  <si>
    <t>포장지원</t>
    <phoneticPr fontId="2" type="noConversion"/>
  </si>
  <si>
    <t>품의15</t>
  </si>
  <si>
    <t>04-18(목)~
04-20(토)</t>
    <phoneticPr fontId="2" type="noConversion"/>
  </si>
  <si>
    <t>S198</t>
    <phoneticPr fontId="2" type="noConversion"/>
  </si>
  <si>
    <t>품의16</t>
  </si>
  <si>
    <t>SN2598/P169</t>
    <phoneticPr fontId="2" type="noConversion"/>
  </si>
  <si>
    <t xml:space="preserve">HH PD/
HO RAIL
</t>
    <phoneticPr fontId="2" type="noConversion"/>
  </si>
  <si>
    <t>더베스트솔루션(2)</t>
    <phoneticPr fontId="2" type="noConversion"/>
  </si>
  <si>
    <t>품의17</t>
  </si>
  <si>
    <t>11일 뼴</t>
    <phoneticPr fontId="2" type="noConversion"/>
  </si>
  <si>
    <t>작업일자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</si>
  <si>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</si>
  <si>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</si>
  <si>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</si>
  <si>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아이앤지
(최기출)</t>
    <phoneticPr fontId="2" type="noConversion"/>
  </si>
  <si>
    <t>04-01(월)~
04-03(수)</t>
    <phoneticPr fontId="2" type="noConversion"/>
  </si>
  <si>
    <t>사내작업</t>
    <phoneticPr fontId="2" type="noConversion"/>
  </si>
  <si>
    <t>김해공장</t>
    <phoneticPr fontId="2" type="noConversion"/>
  </si>
  <si>
    <t>S198</t>
    <phoneticPr fontId="2" type="noConversion"/>
  </si>
  <si>
    <t>시운전지원</t>
    <phoneticPr fontId="2" type="noConversion"/>
  </si>
  <si>
    <t>이광형</t>
    <phoneticPr fontId="2" type="noConversion"/>
  </si>
  <si>
    <t>04-04(목)~
04-05(금)</t>
    <phoneticPr fontId="2" type="noConversion"/>
  </si>
  <si>
    <t>HH</t>
    <phoneticPr fontId="2" type="noConversion"/>
  </si>
  <si>
    <t>조립지원</t>
    <phoneticPr fontId="2" type="noConversion"/>
  </si>
  <si>
    <t>04-08(월)~
04-09(화)</t>
    <phoneticPr fontId="2" type="noConversion"/>
  </si>
  <si>
    <t>SWN0283</t>
    <phoneticPr fontId="2" type="noConversion"/>
  </si>
  <si>
    <t>(6.5T, 9T)조립, 설치 지원</t>
    <phoneticPr fontId="2" type="noConversion"/>
  </si>
  <si>
    <t>04-11(목)~
04-12(금)</t>
    <phoneticPr fontId="2" type="noConversion"/>
  </si>
  <si>
    <t>4/11 SWN0283 용접작업(대체)</t>
    <phoneticPr fontId="2" type="noConversion"/>
  </si>
  <si>
    <t>04-15(월)~
04-17(수)</t>
    <phoneticPr fontId="2" type="noConversion"/>
  </si>
  <si>
    <t>납품전</t>
    <phoneticPr fontId="2" type="noConversion"/>
  </si>
  <si>
    <t>SWN0283</t>
    <phoneticPr fontId="2" type="noConversion"/>
  </si>
  <si>
    <t>RB</t>
    <phoneticPr fontId="2" type="noConversion"/>
  </si>
  <si>
    <t>04-18(목)~
04-19(금)</t>
    <phoneticPr fontId="2" type="noConversion"/>
  </si>
  <si>
    <t>ER</t>
    <phoneticPr fontId="2" type="noConversion"/>
  </si>
  <si>
    <t>04-22(월)~
04-26(금)</t>
    <phoneticPr fontId="2" type="noConversion"/>
  </si>
  <si>
    <t>(25T) 조립지원</t>
    <phoneticPr fontId="2" type="noConversion"/>
  </si>
  <si>
    <t>이순신함</t>
    <phoneticPr fontId="2" type="noConversion"/>
  </si>
  <si>
    <t>합 계</t>
    <phoneticPr fontId="2" type="noConversion"/>
  </si>
  <si>
    <t>SN2584</t>
    <phoneticPr fontId="2" type="noConversion"/>
  </si>
  <si>
    <t>A/S</t>
    <phoneticPr fontId="2" type="noConversion"/>
  </si>
  <si>
    <t>대선조선</t>
    <phoneticPr fontId="2" type="noConversion"/>
  </si>
  <si>
    <t>승조원교육(10:00~)</t>
    <phoneticPr fontId="2" type="noConversion"/>
  </si>
  <si>
    <t>계약사항</t>
    <phoneticPr fontId="2" type="noConversion"/>
  </si>
  <si>
    <t>4/24(목)</t>
    <phoneticPr fontId="2" type="noConversion"/>
  </si>
  <si>
    <t>아이앤지(2)</t>
    <phoneticPr fontId="2" type="noConversion"/>
  </si>
  <si>
    <t>(25TON) TEST P/D OUTSIDE용접 및 추가 보강 용접</t>
    <phoneticPr fontId="2" type="noConversion"/>
  </si>
  <si>
    <t>아이앤지(최기추2)</t>
    <phoneticPr fontId="2" type="noConversion"/>
  </si>
  <si>
    <t>(TELE JIB2)쇼트 검사</t>
  </si>
  <si>
    <t>DSME-3307-OAC-25T-C1</t>
  </si>
  <si>
    <t>HOOK 선주검사(LOAD TEST)</t>
    <phoneticPr fontId="2" type="noConversion"/>
  </si>
  <si>
    <t>합 계</t>
    <phoneticPr fontId="2" type="noConversion"/>
  </si>
  <si>
    <t>4월</t>
    <phoneticPr fontId="2" type="noConversion"/>
  </si>
  <si>
    <r>
      <t>3/22(</t>
    </r>
    <r>
      <rPr>
        <sz val="10"/>
        <rFont val="돋움"/>
        <family val="3"/>
        <charset val="129"/>
      </rPr>
      <t>금</t>
    </r>
    <r>
      <rPr>
        <sz val="10"/>
        <rFont val="Arial"/>
        <family val="2"/>
      </rPr>
      <t>)</t>
    </r>
    <phoneticPr fontId="2" type="noConversion"/>
  </si>
  <si>
    <t>4/29~4/30</t>
    <phoneticPr fontId="2" type="noConversion"/>
  </si>
  <si>
    <t>3/26(화)</t>
    <phoneticPr fontId="2" type="noConversion"/>
  </si>
  <si>
    <t>HJ중공업</t>
    <phoneticPr fontId="2" type="noConversion"/>
  </si>
  <si>
    <t>S192</t>
    <phoneticPr fontId="2" type="noConversion"/>
  </si>
  <si>
    <t>DC</t>
    <phoneticPr fontId="2" type="noConversion"/>
  </si>
  <si>
    <t>코멘트 처리( 블라인드 설치 작업, 와이어가이드 볼팅 홀 작업)</t>
    <phoneticPr fontId="2" type="noConversion"/>
  </si>
  <si>
    <t>코멘트 처리(선반걸이, J/R PAD 수정)</t>
    <phoneticPr fontId="2" type="noConversion"/>
  </si>
  <si>
    <t>임상섭</t>
    <phoneticPr fontId="2" type="noConversion"/>
  </si>
  <si>
    <t>임상섭</t>
    <phoneticPr fontId="2" type="noConversion"/>
  </si>
  <si>
    <t>긴급 코멘트처리</t>
    <phoneticPr fontId="2" type="noConversion"/>
  </si>
  <si>
    <t>(25TON) TEST P/D OUTSIDE용접 및 추가 보강 용접</t>
    <phoneticPr fontId="2" type="noConversion"/>
  </si>
  <si>
    <t>04-01(월)~
04-02(화)</t>
    <phoneticPr fontId="2" type="noConversion"/>
  </si>
  <si>
    <t>TEST JIG 제작/설치</t>
    <phoneticPr fontId="2" type="noConversion"/>
  </si>
  <si>
    <t>04-8(목)~
04-9(금)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</si>
  <si>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</si>
  <si>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</si>
  <si>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</si>
  <si>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P170</t>
    <phoneticPr fontId="2" type="noConversion"/>
  </si>
  <si>
    <t>ML</t>
    <phoneticPr fontId="2" type="noConversion"/>
  </si>
  <si>
    <t>김해공장</t>
    <phoneticPr fontId="2" type="noConversion"/>
  </si>
  <si>
    <t>TEST BED 용접 작업</t>
    <phoneticPr fontId="2" type="noConversion"/>
  </si>
  <si>
    <t>SWN0283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</si>
  <si>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</si>
  <si>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</si>
  <si>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</si>
  <si>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S161</t>
    <phoneticPr fontId="2" type="noConversion"/>
  </si>
  <si>
    <t>BSR</t>
    <phoneticPr fontId="2" type="noConversion"/>
  </si>
  <si>
    <t>A/S 조치(함수 램프 유압계통 작동불량)</t>
    <phoneticPr fontId="2" type="noConversion"/>
  </si>
  <si>
    <t>박주성</t>
    <phoneticPr fontId="2" type="noConversion"/>
  </si>
  <si>
    <t>CLAIM</t>
    <phoneticPr fontId="2" type="noConversion"/>
  </si>
  <si>
    <t>인도후</t>
    <phoneticPr fontId="2" type="noConversion"/>
  </si>
  <si>
    <t>SWN0271</t>
    <phoneticPr fontId="2" type="noConversion"/>
  </si>
  <si>
    <t>FC</t>
    <phoneticPr fontId="2" type="noConversion"/>
  </si>
  <si>
    <t>LUFFING WIRE 정렬 조치</t>
    <phoneticPr fontId="2" type="noConversion"/>
  </si>
  <si>
    <t>4/25(목)</t>
    <phoneticPr fontId="2" type="noConversion"/>
  </si>
  <si>
    <t>인도후</t>
    <phoneticPr fontId="2" type="noConversion"/>
  </si>
  <si>
    <t>클레임 조치(PIN교체, STACH BLOCK 추가 제관 용접 &amp; 페인트, CHAIN BLOCK 공급)</t>
    <phoneticPr fontId="2" type="noConversion"/>
  </si>
  <si>
    <t>사전품의 완료 (업체변경)</t>
    <phoneticPr fontId="2" type="noConversion"/>
  </si>
  <si>
    <t>사전품의 완료
(업체변경)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</si>
  <si>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</rPr>
      <t>(철야)</t>
    </r>
    <phoneticPr fontId="2" type="noConversion"/>
  </si>
  <si>
    <t>03-28(목)~
03-29(금)</t>
    <phoneticPr fontId="2" type="noConversion"/>
  </si>
  <si>
    <t xml:space="preserve">사전품의 완료
(업체변경) </t>
    <phoneticPr fontId="2" type="noConversion"/>
  </si>
  <si>
    <t>6(9)</t>
    <phoneticPr fontId="2" type="noConversion"/>
  </si>
  <si>
    <t>4/18(목)</t>
    <phoneticPr fontId="2" type="noConversion"/>
  </si>
  <si>
    <t>인도전</t>
    <phoneticPr fontId="2" type="noConversion"/>
  </si>
  <si>
    <t>미래중공업</t>
    <phoneticPr fontId="2" type="noConversion"/>
  </si>
  <si>
    <t>HH PD/
HO RAIL</t>
    <phoneticPr fontId="2" type="noConversion"/>
  </si>
  <si>
    <t>CMR</t>
    <phoneticPr fontId="2" type="noConversion"/>
  </si>
  <si>
    <t>SN2598/2599</t>
    <phoneticPr fontId="2" type="noConversion"/>
  </si>
  <si>
    <t>PV</t>
    <phoneticPr fontId="2" type="noConversion"/>
  </si>
  <si>
    <t>(P/D)쇼트 검사</t>
    <phoneticPr fontId="2" type="noConversion"/>
  </si>
  <si>
    <t>(JIB&amp;U/P)쇼트 검사</t>
    <phoneticPr fontId="2" type="noConversion"/>
  </si>
  <si>
    <t>SN2598</t>
    <phoneticPr fontId="2" type="noConversion"/>
  </si>
  <si>
    <t>(25T)쇼트 검사</t>
    <phoneticPr fontId="2" type="noConversion"/>
  </si>
  <si>
    <t>문덕민</t>
    <phoneticPr fontId="2" type="noConversion"/>
  </si>
  <si>
    <t>DB4501</t>
    <phoneticPr fontId="2" type="noConversion"/>
  </si>
  <si>
    <t>4/19(금)</t>
    <phoneticPr fontId="2" type="noConversion"/>
  </si>
  <si>
    <t>부산항</t>
    <phoneticPr fontId="2" type="noConversion"/>
  </si>
  <si>
    <t>MRS106</t>
    <phoneticPr fontId="2" type="noConversion"/>
  </si>
  <si>
    <t>KT</t>
    <phoneticPr fontId="2" type="noConversion"/>
  </si>
  <si>
    <t>클레임 조치(PIN교체, STACH BLOCK 추가 제관 용접 &amp; 페인트, CHAIN BLOCK 공급)</t>
    <phoneticPr fontId="2" type="noConversion"/>
  </si>
  <si>
    <t>박성용</t>
    <phoneticPr fontId="2" type="noConversion"/>
  </si>
  <si>
    <t>장소</t>
    <phoneticPr fontId="2" type="noConversion"/>
  </si>
  <si>
    <t>CLAIM</t>
    <phoneticPr fontId="2" type="noConversion"/>
  </si>
  <si>
    <t>인도전</t>
    <phoneticPr fontId="2" type="noConversion"/>
  </si>
  <si>
    <t>인도전</t>
    <phoneticPr fontId="2" type="noConversion"/>
  </si>
  <si>
    <t>SHI</t>
    <phoneticPr fontId="2" type="noConversion"/>
  </si>
  <si>
    <t>HH</t>
    <phoneticPr fontId="2" type="noConversion"/>
  </si>
  <si>
    <t>HOOK BLOCK 수정, 호스정리</t>
    <phoneticPr fontId="2" type="noConversion"/>
  </si>
  <si>
    <t>SN2579</t>
    <phoneticPr fontId="2" type="noConversion"/>
  </si>
  <si>
    <t>HOOK 선주검사(LOAD TEST)</t>
    <phoneticPr fontId="2" type="noConversion"/>
  </si>
  <si>
    <t>SHI</t>
    <phoneticPr fontId="2" type="noConversion"/>
  </si>
  <si>
    <t>SHI</t>
    <phoneticPr fontId="2" type="noConversion"/>
  </si>
  <si>
    <t>SN2579</t>
    <phoneticPr fontId="2" type="noConversion"/>
  </si>
  <si>
    <t>PV</t>
    <phoneticPr fontId="2" type="noConversion"/>
  </si>
  <si>
    <t>그리스라인 수정, 니쁠 데미지 교체</t>
    <phoneticPr fontId="2" type="noConversion"/>
  </si>
  <si>
    <t>A/S</t>
    <phoneticPr fontId="2" type="noConversion"/>
  </si>
  <si>
    <t>SN2579</t>
    <phoneticPr fontId="2" type="noConversion"/>
  </si>
  <si>
    <t>HH</t>
    <phoneticPr fontId="2" type="noConversion"/>
  </si>
  <si>
    <t>그리스라인 수정, 니쁠 데미지 교체</t>
    <phoneticPr fontId="2" type="noConversion"/>
  </si>
  <si>
    <t>HOOK BLOCK 조립, 해체 , 재조립</t>
    <phoneticPr fontId="2" type="noConversion"/>
  </si>
  <si>
    <t>신명
엔지니어링</t>
    <phoneticPr fontId="2" type="noConversion"/>
  </si>
  <si>
    <t>03-28(목)~
03-29(금)</t>
    <phoneticPr fontId="2" type="noConversion"/>
  </si>
  <si>
    <t>더베스트솔루션(4)</t>
    <phoneticPr fontId="2" type="noConversion"/>
  </si>
  <si>
    <t>더베스트솔루션(4)</t>
    <phoneticPr fontId="2" type="noConversion"/>
  </si>
  <si>
    <t>HOOK BLOCK 재 해체/조립포함</t>
    <phoneticPr fontId="2" type="noConversion"/>
  </si>
  <si>
    <t>04-27(토)~</t>
  </si>
  <si>
    <t>(20T) S/B BOLT 교체 및 토르크 작업</t>
  </si>
  <si>
    <t>        1,000,000</t>
  </si>
  <si>
    <t>04-28(일)</t>
  </si>
  <si>
    <t>04-30(월)~</t>
  </si>
  <si>
    <t>(25T) 호스릴 설치 작업</t>
  </si>
  <si>
    <t>          250,000</t>
  </si>
  <si>
    <t>04-29(월)~</t>
  </si>
  <si>
    <t>이순신함</t>
  </si>
  <si>
    <t>아이앤지(최기추3)</t>
  </si>
  <si>
    <t>          750,000</t>
  </si>
  <si>
    <t>05-01(수)</t>
  </si>
  <si>
    <t>05-02(목)~</t>
  </si>
  <si>
    <t>P171</t>
  </si>
  <si>
    <t>설치지원</t>
  </si>
  <si>
    <t>아이앤지(최기추2)</t>
  </si>
  <si>
    <t>          500,000</t>
  </si>
  <si>
    <t>설치반 지원</t>
  </si>
  <si>
    <t>05-03(금)</t>
    <phoneticPr fontId="2" type="noConversion"/>
  </si>
  <si>
    <t>4/29(월)</t>
  </si>
  <si>
    <t>SN2584</t>
  </si>
  <si>
    <t>HH,PV,CMR</t>
  </si>
  <si>
    <t>코멘트 처리(SLEWING LIMIT V/V오류,</t>
  </si>
  <si>
    <t>진진(1),우신(1)</t>
  </si>
  <si>
    <t>코멘트 사항</t>
  </si>
  <si>
    <t>V/V 시트 연장) 외 점검</t>
  </si>
  <si>
    <t>4/30(화)</t>
  </si>
  <si>
    <t>고객 탑재 지원 요청</t>
  </si>
  <si>
    <t>5/2(목)</t>
  </si>
  <si>
    <t>울산온산항달포부두</t>
  </si>
  <si>
    <t>MRS107</t>
  </si>
  <si>
    <t>클레임조치</t>
  </si>
  <si>
    <t>          300,000</t>
  </si>
  <si>
    <t>방함하여 확인필요</t>
  </si>
  <si>
    <t>김해공장</t>
    <phoneticPr fontId="2" type="noConversion"/>
  </si>
  <si>
    <t>사전품의 완료
(주간작업으로 대체)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</si>
  <si>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(</t>
    </r>
    <r>
      <rPr>
        <strike/>
        <sz val="10"/>
        <color theme="1"/>
        <rFont val="맑은 고딕"/>
        <family val="3"/>
        <charset val="129"/>
      </rPr>
      <t>철야)</t>
    </r>
    <phoneticPr fontId="2" type="noConversion"/>
  </si>
  <si>
    <t>아이앤지(6)
→ 더베솔(9)</t>
    <phoneticPr fontId="2" type="noConversion"/>
  </si>
  <si>
    <t>FC</t>
    <phoneticPr fontId="2" type="noConversion"/>
  </si>
  <si>
    <t>SKMT</t>
    <phoneticPr fontId="2" type="noConversion"/>
  </si>
  <si>
    <t>목포</t>
    <phoneticPr fontId="2" type="noConversion"/>
  </si>
  <si>
    <t>05-13(월)~
05-14(화)</t>
    <phoneticPr fontId="2" type="noConversion"/>
  </si>
  <si>
    <t>05-16(목)~
05-17(금)</t>
    <phoneticPr fontId="2" type="noConversion"/>
  </si>
  <si>
    <t>보증수리(선회 사이렌 미작동, 와이어 감김 불량,조정실 중량 측정기 0 1, 헌팅)</t>
    <phoneticPr fontId="2" type="noConversion"/>
  </si>
  <si>
    <t>조립지원 / 설치지원</t>
  </si>
  <si>
    <t>보증수리 사항</t>
    <phoneticPr fontId="2" type="noConversion"/>
  </si>
  <si>
    <t>05-08(수)~</t>
  </si>
  <si>
    <t>05-10(금)</t>
  </si>
  <si>
    <t>SN2598/왕건함</t>
  </si>
  <si>
    <t>CMR/RD</t>
  </si>
  <si>
    <t>(최기추4)</t>
  </si>
  <si>
    <t>   1,000,000</t>
  </si>
  <si>
    <t>05-06(월)~</t>
  </si>
  <si>
    <t>P171/3306</t>
  </si>
  <si>
    <t>HT/OAC</t>
  </si>
  <si>
    <t>설치지원 / PLATFORM 용접</t>
  </si>
  <si>
    <t>   1,250,000</t>
  </si>
  <si>
    <t>4/19(금)</t>
  </si>
  <si>
    <t>부산해경</t>
  </si>
  <si>
    <t>MRS106</t>
  </si>
  <si>
    <t>클레임 조치(PIN교체, STACH BLOCK 추가 제관 용접 &amp; 페인트, CHAIN BLOCK 공급)</t>
  </si>
  <si>
    <t>아이앤지(1)</t>
  </si>
  <si>
    <t>     250,000</t>
  </si>
  <si>
    <t>사전품의 누락분</t>
  </si>
  <si>
    <t>(박성용 맹장 수술 당일 아이앤지 1명 추가 지원)</t>
  </si>
  <si>
    <t>5/6(월)</t>
  </si>
  <si>
    <t>RD</t>
  </si>
  <si>
    <t>CRADLE 수정작업</t>
  </si>
  <si>
    <t>     750,000</t>
  </si>
  <si>
    <t>개선사항-RCS 간섭으로 인한 도면변경</t>
  </si>
  <si>
    <t>(휴일 1.5배)</t>
  </si>
  <si>
    <t>5/7(화)</t>
  </si>
  <si>
    <t>5/10(금)</t>
  </si>
  <si>
    <t>HH,PV</t>
  </si>
  <si>
    <t>블록 10MM연장 러핑 리미트 터치바 교체,</t>
  </si>
  <si>
    <t>PV 리미트 연장, SLEWING 블록 체크</t>
  </si>
  <si>
    <t>도면불량</t>
  </si>
  <si>
    <t>미래중공업</t>
  </si>
  <si>
    <t>MRS108</t>
  </si>
  <si>
    <t>승조원 교육 (오후 1시~)</t>
  </si>
  <si>
    <t>     300,000</t>
  </si>
  <si>
    <t>05-17(금)</t>
    <phoneticPr fontId="2" type="noConversion"/>
  </si>
  <si>
    <t>LIMIT 해제 스위치 설치, 전체 리미트 세팅, 
커미셔닝</t>
    <phoneticPr fontId="2" type="noConversion"/>
  </si>
  <si>
    <t>05-13(월)</t>
    <phoneticPr fontId="2" type="noConversion"/>
  </si>
  <si>
    <t>05-14(화)</t>
    <phoneticPr fontId="2" type="noConversion"/>
  </si>
  <si>
    <t>아이앤지(최기추1)</t>
    <phoneticPr fontId="2" type="noConversion"/>
  </si>
  <si>
    <t>도장/덴소</t>
    <phoneticPr fontId="2" type="noConversion"/>
  </si>
  <si>
    <t xml:space="preserve"> 덴소</t>
    <phoneticPr fontId="2" type="noConversion"/>
  </si>
  <si>
    <t>(25T) 붐 조립자원</t>
    <phoneticPr fontId="2" type="noConversion"/>
  </si>
  <si>
    <t>설치 지원</t>
    <phoneticPr fontId="2" type="noConversion"/>
  </si>
  <si>
    <t>이순신함
(왕건함)</t>
    <phoneticPr fontId="2" type="noConversion"/>
  </si>
  <si>
    <t>코멘트 작업</t>
    <phoneticPr fontId="2" type="noConversion"/>
  </si>
  <si>
    <t>CP</t>
    <phoneticPr fontId="2" type="noConversion"/>
  </si>
  <si>
    <t>사용자불만조치(보트시트 수정)</t>
    <phoneticPr fontId="2" type="noConversion"/>
  </si>
  <si>
    <t>리모트 컨트롤러 조작 시 작동 불량 관련 점검</t>
    <phoneticPr fontId="2" type="noConversion"/>
  </si>
  <si>
    <t>박성용, 박주성</t>
    <phoneticPr fontId="2" type="noConversion"/>
  </si>
  <si>
    <t>부산</t>
    <phoneticPr fontId="2" type="noConversion"/>
  </si>
  <si>
    <t>S042
(독도함)</t>
    <phoneticPr fontId="2" type="noConversion"/>
  </si>
  <si>
    <t>김해공장</t>
    <phoneticPr fontId="2" type="noConversion"/>
  </si>
  <si>
    <t>YN02</t>
    <phoneticPr fontId="2" type="noConversion"/>
  </si>
  <si>
    <t>HH/PV/ER</t>
    <phoneticPr fontId="2" type="noConversion"/>
  </si>
  <si>
    <t>05-22(수)~
05-23(목)</t>
    <phoneticPr fontId="2" type="noConversion"/>
  </si>
  <si>
    <t>실행예산 부합함</t>
    <phoneticPr fontId="2" type="noConversion"/>
  </si>
  <si>
    <t>05-23(목)~
05-24(금)</t>
    <phoneticPr fontId="2" type="noConversion"/>
  </si>
  <si>
    <t>설치/시운전 지원</t>
    <phoneticPr fontId="2" type="noConversion"/>
  </si>
  <si>
    <t>해체지원</t>
    <phoneticPr fontId="2" type="noConversion"/>
  </si>
  <si>
    <t>05-20(월)~
05-21(수)</t>
    <phoneticPr fontId="2" type="noConversion"/>
  </si>
  <si>
    <t>(25T) S/B BOLT 교체 및 토르크 작업</t>
    <phoneticPr fontId="2" type="noConversion"/>
  </si>
  <si>
    <t>05-20(월)~
05-21(화)</t>
    <phoneticPr fontId="2" type="noConversion"/>
  </si>
  <si>
    <t>RD,TC</t>
    <phoneticPr fontId="2" type="noConversion"/>
  </si>
  <si>
    <t>S/L 리미트 V/V 레버 복귀 불량 관련 조치</t>
    <phoneticPr fontId="2" type="noConversion"/>
  </si>
  <si>
    <t>덴소/도장</t>
    <phoneticPr fontId="2" type="noConversion"/>
  </si>
  <si>
    <t>TEST P/D 용접</t>
    <phoneticPr fontId="2" type="noConversion"/>
  </si>
  <si>
    <t>5/28(화)~
5/29(수)</t>
    <phoneticPr fontId="2" type="noConversion"/>
  </si>
  <si>
    <t>SN2598</t>
    <phoneticPr fontId="2" type="noConversion"/>
  </si>
  <si>
    <t>OAC</t>
    <phoneticPr fontId="2" type="noConversion"/>
  </si>
  <si>
    <t>더베스트솔루션(4)</t>
    <phoneticPr fontId="2" type="noConversion"/>
  </si>
  <si>
    <t>(25T) 조립 지원</t>
    <phoneticPr fontId="2" type="noConversion"/>
  </si>
  <si>
    <t>5/27(월)~
5/28(화)</t>
    <phoneticPr fontId="2" type="noConversion"/>
  </si>
  <si>
    <t>설치지원</t>
    <phoneticPr fontId="2" type="noConversion"/>
  </si>
  <si>
    <t>05-29(수)~
05-31(금)</t>
    <phoneticPr fontId="2" type="noConversion"/>
  </si>
  <si>
    <t>아이앤지(최기추3)</t>
    <phoneticPr fontId="2" type="noConversion"/>
  </si>
  <si>
    <t>코멘트 처리, 커미셔닝 마무리(LOAD TEST)</t>
    <phoneticPr fontId="2" type="noConversion"/>
  </si>
  <si>
    <t>도면변경 후 발생사항(추후 원인 파악)</t>
    <phoneticPr fontId="2" type="noConversion"/>
  </si>
  <si>
    <t>선주 코멘트/계약사항</t>
    <phoneticPr fontId="2" type="noConversion"/>
  </si>
  <si>
    <t>동아(2)</t>
    <phoneticPr fontId="2" type="noConversion"/>
  </si>
  <si>
    <t>덴소/포장</t>
    <phoneticPr fontId="2" type="noConversion"/>
  </si>
  <si>
    <t>더베스트솔루션(2)</t>
    <phoneticPr fontId="2" type="noConversion"/>
  </si>
  <si>
    <t>보증수리사항</t>
    <phoneticPr fontId="2" type="noConversion"/>
  </si>
  <si>
    <t>보증수리사항</t>
    <phoneticPr fontId="2" type="noConversion"/>
  </si>
  <si>
    <t>코멘트 사항</t>
    <phoneticPr fontId="2" type="noConversion"/>
  </si>
  <si>
    <t>RD</t>
    <phoneticPr fontId="2" type="noConversion"/>
  </si>
  <si>
    <t>05-13(월)</t>
    <phoneticPr fontId="2" type="noConversion"/>
  </si>
  <si>
    <t>이순신함</t>
    <phoneticPr fontId="2" type="noConversion"/>
  </si>
  <si>
    <t xml:space="preserve"> 덴소</t>
    <phoneticPr fontId="2" type="noConversion"/>
  </si>
  <si>
    <t>강지원</t>
    <phoneticPr fontId="2" type="noConversion"/>
  </si>
  <si>
    <t>05-16(목)~
05-17(금)</t>
    <phoneticPr fontId="2" type="noConversion"/>
  </si>
  <si>
    <t>납품전</t>
    <phoneticPr fontId="2" type="noConversion"/>
  </si>
  <si>
    <t>김해공장</t>
    <phoneticPr fontId="2" type="noConversion"/>
  </si>
  <si>
    <t>사내작업</t>
    <phoneticPr fontId="2" type="noConversion"/>
  </si>
  <si>
    <t>HH/PV/ER</t>
    <phoneticPr fontId="2" type="noConversion"/>
  </si>
  <si>
    <t>도장/덴소</t>
    <phoneticPr fontId="2" type="noConversion"/>
  </si>
  <si>
    <t>SN2598</t>
    <phoneticPr fontId="2" type="noConversion"/>
  </si>
  <si>
    <t>CMR</t>
    <phoneticPr fontId="2" type="noConversion"/>
  </si>
  <si>
    <t>박성용</t>
    <phoneticPr fontId="2" type="noConversion"/>
  </si>
  <si>
    <t>HJSC</t>
    <phoneticPr fontId="2" type="noConversion"/>
  </si>
  <si>
    <t>P167</t>
    <phoneticPr fontId="2" type="noConversion"/>
  </si>
  <si>
    <t>HOC</t>
    <phoneticPr fontId="2" type="noConversion"/>
  </si>
  <si>
    <t>STOPPER 위치 이동, 
수동 브레이크 볼트 조임 레버 수정</t>
    <phoneticPr fontId="2" type="noConversion"/>
  </si>
  <si>
    <t>우신(1)</t>
    <phoneticPr fontId="2" type="noConversion"/>
  </si>
  <si>
    <t>SN2584</t>
    <phoneticPr fontId="2" type="noConversion"/>
  </si>
  <si>
    <t>PV, HH</t>
    <phoneticPr fontId="2" type="noConversion"/>
  </si>
  <si>
    <t>박성용</t>
    <phoneticPr fontId="2" type="noConversion"/>
  </si>
  <si>
    <t>우신(1)</t>
    <phoneticPr fontId="2" type="noConversion"/>
  </si>
  <si>
    <t>5월</t>
    <phoneticPr fontId="2" type="noConversion"/>
  </si>
  <si>
    <t>4/27(토)</t>
    <phoneticPr fontId="2" type="noConversion"/>
  </si>
  <si>
    <t>PV(2대) HH(PORT) 와이어 꼬임 해결 조치</t>
    <phoneticPr fontId="2" type="noConversion"/>
  </si>
  <si>
    <t>무상</t>
    <phoneticPr fontId="2" type="noConversion"/>
  </si>
  <si>
    <t>6/3(월)~</t>
  </si>
  <si>
    <t>(25T)JIB LUG 절단작업</t>
  </si>
  <si>
    <t>     500,000</t>
  </si>
  <si>
    <t>06/04(화)</t>
  </si>
  <si>
    <t>06/03(월)~</t>
  </si>
  <si>
    <t>ER</t>
  </si>
  <si>
    <t>6/4(화)</t>
  </si>
  <si>
    <t>YN02</t>
  </si>
  <si>
    <t>PV,ER,HH</t>
  </si>
  <si>
    <t>컨테이너작업</t>
  </si>
  <si>
    <t>더베스트솔루션(2)</t>
  </si>
  <si>
    <t>6/5(수),</t>
  </si>
  <si>
    <t>6/7(금)</t>
  </si>
  <si>
    <t>SWN0283</t>
  </si>
  <si>
    <t>덴소/포장</t>
  </si>
  <si>
    <t>6/3(월)</t>
  </si>
  <si>
    <t>CP</t>
  </si>
  <si>
    <t>작동 불량 관련 점검</t>
  </si>
  <si>
    <t>디에스티(1)</t>
  </si>
  <si>
    <t>보증수리사항</t>
  </si>
  <si>
    <t>대변항</t>
  </si>
  <si>
    <t>SWN0281</t>
  </si>
  <si>
    <t>(좌현) 보트 해상 안착 후 hoisting 이상현상</t>
  </si>
  <si>
    <t>(우현) 도킹헤드 압 불량 관련 긴급 조치</t>
  </si>
  <si>
    <t>GNN0015</t>
  </si>
  <si>
    <t>검사입회(오전10시)</t>
  </si>
  <si>
    <t>범양(1), 아이앤지(1)</t>
  </si>
  <si>
    <t>     550,000</t>
  </si>
  <si>
    <t>계약사항 (KT 크레인에 경우, 안전 문제로 2인 입회 필요)</t>
  </si>
  <si>
    <t>6/8(토)</t>
  </si>
  <si>
    <t>RD,ML</t>
  </si>
  <si>
    <t>발판 수정 및, RAMP HOLE 간격 수정</t>
  </si>
  <si>
    <t>코멘트 작업(유압라인 덴소 시공, Hoisting limit 길이 조절, 그리스니쁠 캡 시공외)</t>
    <phoneticPr fontId="2" type="noConversion"/>
  </si>
  <si>
    <t>END CAP 보완 작업</t>
    <phoneticPr fontId="2" type="noConversion"/>
  </si>
  <si>
    <t>6/10(월)~
6/11(화)</t>
    <phoneticPr fontId="2" type="noConversion"/>
  </si>
  <si>
    <t>6/12(수)~
6/13(목)</t>
    <phoneticPr fontId="2" type="noConversion"/>
  </si>
  <si>
    <t>6/14(금)</t>
    <phoneticPr fontId="2" type="noConversion"/>
  </si>
  <si>
    <t>(25T)수정작업 지원</t>
    <phoneticPr fontId="2" type="noConversion"/>
  </si>
  <si>
    <t>설치/자체테스트 지원</t>
    <phoneticPr fontId="2" type="noConversion"/>
  </si>
  <si>
    <t>6/10(월)~
6/12(수)</t>
    <phoneticPr fontId="2" type="noConversion"/>
  </si>
  <si>
    <t>더베스트솔루션(6)</t>
    <phoneticPr fontId="2" type="noConversion"/>
  </si>
  <si>
    <t>27주</t>
    <phoneticPr fontId="2" type="noConversion"/>
  </si>
  <si>
    <t>이순신함
(왕건함)</t>
    <phoneticPr fontId="2" type="noConversion"/>
  </si>
  <si>
    <t>이시맥</t>
    <phoneticPr fontId="2" type="noConversion"/>
  </si>
  <si>
    <t>3001함</t>
    <phoneticPr fontId="2" type="noConversion"/>
  </si>
  <si>
    <t>7058
(대전함)</t>
    <phoneticPr fontId="2" type="noConversion"/>
  </si>
  <si>
    <t>하부 센서 작동 불량(센서 및 케이블 교체)</t>
    <phoneticPr fontId="2" type="noConversion"/>
  </si>
  <si>
    <t>RCSD</t>
    <phoneticPr fontId="2" type="noConversion"/>
  </si>
  <si>
    <t>6/18(화)~
6/19(수)</t>
    <phoneticPr fontId="2" type="noConversion"/>
  </si>
  <si>
    <t>(6.5T,9T)덴소/포장</t>
    <phoneticPr fontId="2" type="noConversion"/>
  </si>
  <si>
    <t>FAT지원 및 해체</t>
    <phoneticPr fontId="2" type="noConversion"/>
  </si>
  <si>
    <t>아이앤지(최기추1)</t>
    <phoneticPr fontId="2" type="noConversion"/>
  </si>
  <si>
    <t>6/17(월)</t>
    <phoneticPr fontId="2" type="noConversion"/>
  </si>
  <si>
    <t>(25T) 개정도 용접작업</t>
    <phoneticPr fontId="2" type="noConversion"/>
  </si>
  <si>
    <t>아이앤지(최기추2)</t>
    <phoneticPr fontId="2" type="noConversion"/>
  </si>
  <si>
    <t>(우현) 오일 레벨 센서 교체,Hoisting 기어유 보충, (2대) U/P 케이블 웨이 용접작업</t>
    <phoneticPr fontId="2" type="noConversion"/>
  </si>
  <si>
    <t>코멘트 및 제작불량 사항</t>
    <phoneticPr fontId="2" type="noConversion"/>
  </si>
  <si>
    <t>조립 지원</t>
    <phoneticPr fontId="2" type="noConversion"/>
  </si>
  <si>
    <t>개선사항(도면 개정)</t>
    <phoneticPr fontId="2" type="noConversion"/>
  </si>
  <si>
    <t>6/20(목)~
6/21(금)</t>
    <phoneticPr fontId="2" type="noConversion"/>
  </si>
  <si>
    <t>전기계통 오류 수정(점검 시 램프 점등 및 부져 작동 안함,  배터리 charger ABN 발생)</t>
    <phoneticPr fontId="2" type="noConversion"/>
  </si>
  <si>
    <t>SWN0281(무궁화22호)</t>
    <phoneticPr fontId="2" type="noConversion"/>
  </si>
  <si>
    <t>6/27(목)~
6/28(금)</t>
    <phoneticPr fontId="2" type="noConversion"/>
  </si>
  <si>
    <t>P169</t>
    <phoneticPr fontId="2" type="noConversion"/>
  </si>
  <si>
    <t>HOC</t>
    <phoneticPr fontId="2" type="noConversion"/>
  </si>
  <si>
    <t>조립반 지원</t>
    <phoneticPr fontId="2" type="noConversion"/>
  </si>
  <si>
    <t>P171</t>
    <phoneticPr fontId="2" type="noConversion"/>
  </si>
  <si>
    <t>HTS</t>
    <phoneticPr fontId="2" type="noConversion"/>
  </si>
  <si>
    <t>6/24(월)~
6/25(화)</t>
    <phoneticPr fontId="2" type="noConversion"/>
  </si>
  <si>
    <t>철거</t>
    <phoneticPr fontId="2" type="noConversion"/>
  </si>
  <si>
    <t>(20T)덴소/포장(U/P)</t>
    <phoneticPr fontId="2" type="noConversion"/>
  </si>
  <si>
    <t>6/25(화)~
6/26(수)</t>
    <phoneticPr fontId="2" type="noConversion"/>
  </si>
  <si>
    <t>설치/시운전 지원</t>
    <phoneticPr fontId="2" type="noConversion"/>
  </si>
  <si>
    <t xml:space="preserve"> 누유 SLEWING 리미트 밸브 교체 및 
레더 홀 수정</t>
    <phoneticPr fontId="2" type="noConversion"/>
  </si>
  <si>
    <t>코멘트 사항</t>
    <phoneticPr fontId="2" type="noConversion"/>
  </si>
  <si>
    <t>선주 코멘트 사항</t>
    <phoneticPr fontId="2" type="noConversion"/>
  </si>
  <si>
    <t>MESH 재조립</t>
    <phoneticPr fontId="2" type="noConversion"/>
  </si>
  <si>
    <t>결선작업 및 커미셔닝</t>
    <phoneticPr fontId="2" type="noConversion"/>
  </si>
  <si>
    <t>결선(분리납품) 및 계약사항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</si>
  <si>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</si>
  <si>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</si>
  <si>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</si>
  <si>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특이사항</t>
    <phoneticPr fontId="2" type="noConversion"/>
  </si>
  <si>
    <t>작업결과</t>
    <phoneticPr fontId="2" type="noConversion"/>
  </si>
  <si>
    <t>05-13(월)</t>
    <phoneticPr fontId="2" type="noConversion"/>
  </si>
  <si>
    <t>도장/덴소</t>
  </si>
  <si>
    <t>05-16(목)~
05-17(금)</t>
    <phoneticPr fontId="2" type="noConversion"/>
  </si>
  <si>
    <t>05-22(수)~
05-23(목)</t>
    <phoneticPr fontId="2" type="noConversion"/>
  </si>
  <si>
    <t>HH/PV/ER</t>
  </si>
  <si>
    <t>5/28(화)~
5/29(수)</t>
    <phoneticPr fontId="2" type="noConversion"/>
  </si>
  <si>
    <t>SN2598</t>
  </si>
  <si>
    <t>사전품의 완료</t>
    <phoneticPr fontId="2" type="noConversion"/>
  </si>
  <si>
    <t>완료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</si>
  <si>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</si>
  <si>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</si>
  <si>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</si>
  <si>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부산</t>
    <phoneticPr fontId="2" type="noConversion"/>
  </si>
  <si>
    <t>S042
(독도함)</t>
    <phoneticPr fontId="2" type="noConversion"/>
  </si>
  <si>
    <t>사용자불만조치(보트시트 수정)</t>
    <phoneticPr fontId="2" type="noConversion"/>
  </si>
  <si>
    <t>박성용, 박주성</t>
    <phoneticPr fontId="2" type="noConversion"/>
  </si>
  <si>
    <t>일자</t>
    <phoneticPr fontId="2" type="noConversion"/>
  </si>
  <si>
    <t>담당자</t>
    <phoneticPr fontId="2" type="noConversion"/>
  </si>
  <si>
    <t>투입인원</t>
    <phoneticPr fontId="2" type="noConversion"/>
  </si>
  <si>
    <t>아이앤지</t>
    <phoneticPr fontId="2" type="noConversion"/>
  </si>
  <si>
    <t>5/14(화)</t>
    <phoneticPr fontId="2" type="noConversion"/>
  </si>
  <si>
    <t>이순신함</t>
    <phoneticPr fontId="2" type="noConversion"/>
  </si>
  <si>
    <t>실행예산에 부함함</t>
    <phoneticPr fontId="2" type="noConversion"/>
  </si>
  <si>
    <t>작업장소</t>
    <phoneticPr fontId="2" type="noConversion"/>
  </si>
  <si>
    <t>(20T) S/B BOLT 교체 및 토르크 작업</t>
    <phoneticPr fontId="2" type="noConversion"/>
  </si>
  <si>
    <t>05-20(월)~
05-21(화)</t>
    <phoneticPr fontId="2" type="noConversion"/>
  </si>
  <si>
    <t>(25T) S/B BOLT 교체 및 토르크 작업</t>
    <phoneticPr fontId="2" type="noConversion"/>
  </si>
  <si>
    <t>(25TON) DRUM 해체</t>
    <phoneticPr fontId="2" type="noConversion"/>
  </si>
  <si>
    <t>이광형</t>
    <phoneticPr fontId="2" type="noConversion"/>
  </si>
  <si>
    <t>별도 품의 완료</t>
    <phoneticPr fontId="2" type="noConversion"/>
  </si>
  <si>
    <t>납품전</t>
    <phoneticPr fontId="2" type="noConversion"/>
  </si>
  <si>
    <t>김해공장</t>
    <phoneticPr fontId="2" type="noConversion"/>
  </si>
  <si>
    <t>(25TON) DRUM 조립</t>
    <phoneticPr fontId="2" type="noConversion"/>
  </si>
  <si>
    <t>별도 품의 완료</t>
    <phoneticPr fontId="2" type="noConversion"/>
  </si>
  <si>
    <t>(25TON) DRUM 조립</t>
    <phoneticPr fontId="2" type="noConversion"/>
  </si>
  <si>
    <t>플랫폼 이동 설치 작업(철야)</t>
    <phoneticPr fontId="2" type="noConversion"/>
  </si>
  <si>
    <t>RB</t>
    <phoneticPr fontId="2" type="noConversion"/>
  </si>
  <si>
    <t>작업일자</t>
    <phoneticPr fontId="2" type="noConversion"/>
  </si>
  <si>
    <t>아이앤지
(최기추)</t>
    <phoneticPr fontId="2" type="noConversion"/>
  </si>
  <si>
    <t>05-03(금)</t>
  </si>
  <si>
    <t>05-13(월)</t>
    <phoneticPr fontId="2" type="noConversion"/>
  </si>
  <si>
    <t>SN2598</t>
    <phoneticPr fontId="2" type="noConversion"/>
  </si>
  <si>
    <t>조립지원</t>
    <phoneticPr fontId="2" type="noConversion"/>
  </si>
  <si>
    <t>05-14(화)</t>
    <phoneticPr fontId="2" type="noConversion"/>
  </si>
  <si>
    <t>OAC</t>
    <phoneticPr fontId="2" type="noConversion"/>
  </si>
  <si>
    <t>(25T) 붐 조립자원</t>
    <phoneticPr fontId="2" type="noConversion"/>
  </si>
  <si>
    <t>05-16(목)~
05-17(금)</t>
    <phoneticPr fontId="2" type="noConversion"/>
  </si>
  <si>
    <t>사내작업</t>
    <phoneticPr fontId="2" type="noConversion"/>
  </si>
  <si>
    <t>05-20(월)~
05-21(화)</t>
    <phoneticPr fontId="2" type="noConversion"/>
  </si>
  <si>
    <t>설치/시운전 지원</t>
    <phoneticPr fontId="2" type="noConversion"/>
  </si>
  <si>
    <t>해체지원</t>
    <phoneticPr fontId="2" type="noConversion"/>
  </si>
  <si>
    <t>05-23(목)~
05-24(금)</t>
    <phoneticPr fontId="2" type="noConversion"/>
  </si>
  <si>
    <t>조립/설치 지원</t>
    <phoneticPr fontId="2" type="noConversion"/>
  </si>
  <si>
    <t>5/27(월)~
5/28(화)</t>
    <phoneticPr fontId="2" type="noConversion"/>
  </si>
  <si>
    <t>05-29(수)~
05-31(금)</t>
    <phoneticPr fontId="2" type="noConversion"/>
  </si>
  <si>
    <t>(25T) 조립 지원</t>
    <phoneticPr fontId="2" type="noConversion"/>
  </si>
  <si>
    <t>우신테크</t>
    <phoneticPr fontId="2" type="noConversion"/>
  </si>
  <si>
    <t>사외작업</t>
    <phoneticPr fontId="2" type="noConversion"/>
  </si>
  <si>
    <t>진성</t>
    <phoneticPr fontId="2" type="noConversion"/>
  </si>
  <si>
    <t>SN2599</t>
    <phoneticPr fontId="2" type="noConversion"/>
  </si>
  <si>
    <t>PV</t>
    <phoneticPr fontId="2" type="noConversion"/>
  </si>
  <si>
    <t>(P/D)쇼트 검사</t>
    <phoneticPr fontId="2" type="noConversion"/>
  </si>
  <si>
    <t>오승만</t>
    <phoneticPr fontId="2" type="noConversion"/>
  </si>
  <si>
    <t>실행 예산에 부합함</t>
    <phoneticPr fontId="2" type="noConversion"/>
  </si>
  <si>
    <t>창성</t>
    <phoneticPr fontId="2" type="noConversion"/>
  </si>
  <si>
    <t>(25T)P/D쇼트 검사 (일요일 2명, 1.5배)</t>
    <phoneticPr fontId="2" type="noConversion"/>
  </si>
  <si>
    <t>문덕민</t>
    <phoneticPr fontId="2" type="noConversion"/>
  </si>
  <si>
    <t>실행 예산에 부합함
(추가PO발행 건)</t>
    <phoneticPr fontId="2" type="noConversion"/>
  </si>
  <si>
    <t>창성</t>
    <phoneticPr fontId="2" type="noConversion"/>
  </si>
  <si>
    <t>(25T)P/D쇼트 검사</t>
    <phoneticPr fontId="2" type="noConversion"/>
  </si>
  <si>
    <t>합계</t>
    <phoneticPr fontId="2" type="noConversion"/>
  </si>
  <si>
    <t>4/27(토)</t>
    <phoneticPr fontId="2" type="noConversion"/>
  </si>
  <si>
    <t>RD</t>
    <phoneticPr fontId="2" type="noConversion"/>
  </si>
  <si>
    <t>CRADLE 수정작업</t>
    <phoneticPr fontId="2" type="noConversion"/>
  </si>
  <si>
    <t>05/13(월)~
05/14(화)</t>
    <phoneticPr fontId="2" type="noConversion"/>
  </si>
  <si>
    <t>A/S</t>
    <phoneticPr fontId="2" type="noConversion"/>
  </si>
  <si>
    <t>목포</t>
    <phoneticPr fontId="2" type="noConversion"/>
  </si>
  <si>
    <t>SWN0272</t>
    <phoneticPr fontId="2" type="noConversion"/>
  </si>
  <si>
    <t>보증수리(선회 사이렌 미작동, 와이어 감김 불량,조정실 중량 측정기 0 1, 헌팅)</t>
    <phoneticPr fontId="2" type="noConversion"/>
  </si>
  <si>
    <t>박성용</t>
    <phoneticPr fontId="2" type="noConversion"/>
  </si>
  <si>
    <t>코멘트 작업</t>
    <phoneticPr fontId="2" type="noConversion"/>
  </si>
  <si>
    <t>04/30(화)</t>
    <phoneticPr fontId="2" type="noConversion"/>
  </si>
  <si>
    <t>(25T) 호스릴 설치 작업</t>
    <phoneticPr fontId="2" type="noConversion"/>
  </si>
  <si>
    <t>긴급지원(근로자의 날)</t>
    <phoneticPr fontId="2" type="noConversion"/>
  </si>
  <si>
    <t>(6.5T, 9T) TEST BED 절단작업</t>
    <phoneticPr fontId="2" type="noConversion"/>
  </si>
  <si>
    <t>긴급지원</t>
    <phoneticPr fontId="2" type="noConversion"/>
  </si>
  <si>
    <t>SLEWING COVER 설치</t>
    <phoneticPr fontId="2" type="noConversion"/>
  </si>
  <si>
    <t>긴급지원(토요일)</t>
    <phoneticPr fontId="2" type="noConversion"/>
  </si>
  <si>
    <t>MSH06
(고성함)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</si>
  <si>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</si>
  <si>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</si>
  <si>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</si>
  <si>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</si>
  <si>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</si>
  <si>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</si>
  <si>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</si>
  <si>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왕건함</t>
    <phoneticPr fontId="2" type="noConversion"/>
  </si>
  <si>
    <t>7/1(월)~
7/2(화)</t>
    <phoneticPr fontId="2" type="noConversion"/>
  </si>
  <si>
    <t>7/4(목)~
7/5(금)</t>
    <phoneticPr fontId="2" type="noConversion"/>
  </si>
  <si>
    <t>보증수리사항(보증기한24년7월)</t>
    <phoneticPr fontId="2" type="noConversion"/>
  </si>
  <si>
    <t>FAT 및 해체 지원</t>
    <phoneticPr fontId="2" type="noConversion"/>
  </si>
  <si>
    <t>보증수리 (노후 명판교체, 유압라인검사, HPU 로드센싱 밸브 &amp; 유압 밸브 누유 교체 수리)</t>
    <phoneticPr fontId="2" type="noConversion"/>
  </si>
  <si>
    <t>(20T)코멘트 처리</t>
    <phoneticPr fontId="2" type="noConversion"/>
  </si>
  <si>
    <t>RD</t>
    <phoneticPr fontId="2" type="noConversion"/>
  </si>
  <si>
    <t>6월</t>
    <phoneticPr fontId="2" type="noConversion"/>
  </si>
  <si>
    <t>사전품의 완료</t>
    <phoneticPr fontId="2" type="noConversion"/>
  </si>
  <si>
    <t>OT평가</t>
    <phoneticPr fontId="2" type="noConversion"/>
  </si>
  <si>
    <t>HD현대중공업</t>
    <phoneticPr fontId="2" type="noConversion"/>
  </si>
  <si>
    <t>SN2585</t>
    <phoneticPr fontId="2" type="noConversion"/>
  </si>
  <si>
    <t>동아(1), 디에스티(1)</t>
    <phoneticPr fontId="2" type="noConversion"/>
  </si>
  <si>
    <t>미들 - 작동 불량 해결 조치
선미- 판넬 불량 해결 조치</t>
    <phoneticPr fontId="2" type="noConversion"/>
  </si>
  <si>
    <t>무상</t>
    <phoneticPr fontId="2" type="noConversion"/>
  </si>
  <si>
    <t>(STBD)SLEWING LIMIT V/V 복귀불량 자재 교체 
WIRE 꼬임 해결 조치</t>
    <phoneticPr fontId="2" type="noConversion"/>
  </si>
  <si>
    <t>계약사항</t>
    <phoneticPr fontId="2" type="noConversion"/>
  </si>
  <si>
    <t>보증수리 사항(동아,디에스티 보증기간 (납품 후 1년) 경과)</t>
    <phoneticPr fontId="2" type="noConversion"/>
  </si>
  <si>
    <t>아이앤지(최기추2)</t>
    <phoneticPr fontId="2" type="noConversion"/>
  </si>
  <si>
    <t>7/8(월)~
7/10(수)</t>
    <phoneticPr fontId="2" type="noConversion"/>
  </si>
  <si>
    <t>7/11(목)~
7/12(금)</t>
    <phoneticPr fontId="2" type="noConversion"/>
  </si>
  <si>
    <t>더베스트솔루션(6)</t>
    <phoneticPr fontId="2" type="noConversion"/>
  </si>
  <si>
    <t>아이앤지(2)</t>
    <phoneticPr fontId="2" type="noConversion"/>
  </si>
  <si>
    <t>(20T U/P) PLATFORM 조립</t>
    <phoneticPr fontId="2" type="noConversion"/>
  </si>
  <si>
    <t>(20T JIB) 코멘트 처리 및 덴소 작업</t>
    <phoneticPr fontId="2" type="noConversion"/>
  </si>
  <si>
    <t>RD, TC</t>
    <phoneticPr fontId="2" type="noConversion"/>
  </si>
  <si>
    <t>보증수리 사항 (노후 명판교체, 유압라인검사, HPU 로드센싱 밸브 &amp; 유압 밸브 누유 교체 수리) 2차</t>
    <phoneticPr fontId="2" type="noConversion"/>
  </si>
  <si>
    <t>김해공장</t>
    <phoneticPr fontId="2" type="noConversion"/>
  </si>
  <si>
    <t>보증수리 사항</t>
    <phoneticPr fontId="2" type="noConversion"/>
  </si>
  <si>
    <t>계약 사항(당사-CNM계약 단가 30만)</t>
    <phoneticPr fontId="2" type="noConversion"/>
  </si>
  <si>
    <t>코멘트 사항(도면 개정)</t>
    <phoneticPr fontId="2" type="noConversion"/>
  </si>
  <si>
    <t>검사 / 해체 지원</t>
    <phoneticPr fontId="2" type="noConversion"/>
  </si>
  <si>
    <t>아이앤지(최기추3)</t>
    <phoneticPr fontId="2" type="noConversion"/>
  </si>
  <si>
    <t>7/17(목)~
7/19(금)</t>
    <phoneticPr fontId="2" type="noConversion"/>
  </si>
  <si>
    <t>SLEWING LIMIT SWITCH 위치 조정 작업
(판넬 간섭) / 커미셔닝</t>
    <phoneticPr fontId="2" type="noConversion"/>
  </si>
  <si>
    <t>7/15(월)~
7/16(수)</t>
    <phoneticPr fontId="2" type="noConversion"/>
  </si>
  <si>
    <t>7/15(월)</t>
  </si>
  <si>
    <t>도장 / 덴소</t>
    <phoneticPr fontId="2" type="noConversion"/>
  </si>
  <si>
    <t>(20T) U/P 도장/덴소</t>
    <phoneticPr fontId="2" type="noConversion"/>
  </si>
  <si>
    <t>SN2585</t>
    <phoneticPr fontId="2" type="noConversion"/>
  </si>
  <si>
    <t>디에스티(1)</t>
    <phoneticPr fontId="2" type="noConversion"/>
  </si>
  <si>
    <t>박성용, 이시맥</t>
    <phoneticPr fontId="2" type="noConversion"/>
  </si>
  <si>
    <t>코멘트 마무리 작업</t>
    <phoneticPr fontId="2" type="noConversion"/>
  </si>
  <si>
    <t>SWN0281
(무궁화22호)</t>
    <phoneticPr fontId="2" type="noConversion"/>
  </si>
  <si>
    <t>HJSC</t>
    <phoneticPr fontId="2" type="noConversion"/>
  </si>
  <si>
    <t>OT 평가</t>
    <phoneticPr fontId="2" type="noConversion"/>
  </si>
  <si>
    <t>SOL V/V 누유, 
TROLLEY비상작동 불가 해결 조치</t>
    <phoneticPr fontId="2" type="noConversion"/>
  </si>
  <si>
    <t>보증수리 사항(보증수리기한-24년9월)</t>
    <phoneticPr fontId="2" type="noConversion"/>
  </si>
  <si>
    <t>7/22(월)~
7/24(수)</t>
    <phoneticPr fontId="2" type="noConversion"/>
  </si>
  <si>
    <t>GNN0017</t>
    <phoneticPr fontId="2" type="noConversion"/>
  </si>
  <si>
    <t>7/25(목)~
7/26(금)</t>
    <phoneticPr fontId="2" type="noConversion"/>
  </si>
  <si>
    <t>도장/덴소</t>
    <phoneticPr fontId="2" type="noConversion"/>
  </si>
  <si>
    <t>왕건함</t>
    <phoneticPr fontId="2" type="noConversion"/>
  </si>
  <si>
    <t>코멘트 사항(신속한 원인파악 및 해결을 위해 전기 전문 파견)</t>
    <phoneticPr fontId="2" type="noConversion"/>
  </si>
  <si>
    <t>7/23(화)~
7/25(목)</t>
    <phoneticPr fontId="2" type="noConversion"/>
  </si>
  <si>
    <t>LUFFING 조작 시 SLEWING 동시 동작 관련 
해결 조치</t>
    <phoneticPr fontId="2" type="noConversion"/>
  </si>
  <si>
    <t>DOCKING HEAD 내려오지 않는 문제로
TELE LEG CYL PIN 교체</t>
    <phoneticPr fontId="2" type="noConversion"/>
  </si>
  <si>
    <t>개선 사항(도면 개정 - 
PIN에 GREASE LINE 추가)</t>
    <phoneticPr fontId="2" type="noConversion"/>
  </si>
  <si>
    <t>보증수리 사항 (HPU 해수라인 용접)</t>
    <phoneticPr fontId="2" type="noConversion"/>
  </si>
  <si>
    <t>GNN0015</t>
    <phoneticPr fontId="2" type="noConversion"/>
  </si>
  <si>
    <t>SK오션플랜트</t>
    <phoneticPr fontId="2" type="noConversion"/>
  </si>
  <si>
    <t>HOISTING 시 이상소음으로 펌프 교체</t>
    <phoneticPr fontId="2" type="noConversion"/>
  </si>
  <si>
    <t>씨앤엠(1), 우신(2)</t>
    <phoneticPr fontId="2" type="noConversion"/>
  </si>
  <si>
    <t>SN2584</t>
    <phoneticPr fontId="2" type="noConversion"/>
  </si>
  <si>
    <t>PV,HH,CMR</t>
    <phoneticPr fontId="2" type="noConversion"/>
  </si>
  <si>
    <t>아이앤지(2)</t>
    <phoneticPr fontId="2" type="noConversion"/>
  </si>
  <si>
    <t>AUTO TENSION  기능 불량 점검</t>
    <phoneticPr fontId="2" type="noConversion"/>
  </si>
  <si>
    <t>동아(1)</t>
    <phoneticPr fontId="2" type="noConversion"/>
  </si>
  <si>
    <t>보증수리(보조 LOAD MOMENT SYSTEM불량 점검)</t>
    <phoneticPr fontId="2" type="noConversion"/>
  </si>
  <si>
    <t>코멘트 처리(JIB REST PAD 교체,  HOISTING LIMIT 길이조절 외) / 승조원 교육</t>
    <phoneticPr fontId="2" type="noConversion"/>
  </si>
  <si>
    <t>7/29(월)~
7/31(수)</t>
    <phoneticPr fontId="2" type="noConversion"/>
  </si>
  <si>
    <t>코멘트 사항</t>
    <phoneticPr fontId="2" type="noConversion"/>
  </si>
  <si>
    <t>8/1(목)~
8/2(금)</t>
    <phoneticPr fontId="2" type="noConversion"/>
  </si>
  <si>
    <t>범양(2)</t>
    <phoneticPr fontId="2" type="noConversion"/>
  </si>
  <si>
    <t>자재(H/PUMP)불량</t>
    <phoneticPr fontId="2" type="noConversion"/>
  </si>
  <si>
    <t>김해공장</t>
    <phoneticPr fontId="2" type="noConversion"/>
  </si>
  <si>
    <t>A/S</t>
    <phoneticPr fontId="2" type="noConversion"/>
  </si>
  <si>
    <t>박성용</t>
    <phoneticPr fontId="2" type="noConversion"/>
  </si>
  <si>
    <t>SN2599/
GNN0017</t>
    <phoneticPr fontId="2" type="noConversion"/>
  </si>
  <si>
    <t>PV/RB</t>
    <phoneticPr fontId="2" type="noConversion"/>
  </si>
  <si>
    <t>7/31(수)</t>
    <phoneticPr fontId="2" type="noConversion"/>
  </si>
  <si>
    <t>더베스트솔루션(2)</t>
    <phoneticPr fontId="2" type="noConversion"/>
  </si>
  <si>
    <t>포장반 지원</t>
    <phoneticPr fontId="2" type="noConversion"/>
  </si>
  <si>
    <t>P171</t>
    <phoneticPr fontId="2" type="noConversion"/>
  </si>
  <si>
    <t>HTS</t>
    <phoneticPr fontId="2" type="noConversion"/>
  </si>
  <si>
    <t>보증수리 기간 내 발생 문제(거한 측 점검 거부로 범양 점검 진행-1박2일)</t>
    <phoneticPr fontId="2" type="noConversion"/>
  </si>
  <si>
    <t>송영국</t>
    <phoneticPr fontId="2" type="noConversion"/>
  </si>
  <si>
    <t>HANGER WINCH 덴소/포장</t>
    <phoneticPr fontId="2" type="noConversion"/>
  </si>
  <si>
    <t>RCSD</t>
    <phoneticPr fontId="2" type="noConversion"/>
  </si>
  <si>
    <t>김해공장</t>
    <phoneticPr fontId="2" type="noConversion"/>
  </si>
  <si>
    <t>A/S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</si>
  <si>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</si>
  <si>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</si>
  <si>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</si>
  <si>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작업내용</t>
    <phoneticPr fontId="2" type="noConversion"/>
  </si>
  <si>
    <t>투입인원</t>
    <phoneticPr fontId="2" type="noConversion"/>
  </si>
  <si>
    <t>사전품의 완료</t>
    <phoneticPr fontId="2" type="noConversion"/>
  </si>
  <si>
    <t>6/5(수),
6/7(금)</t>
    <phoneticPr fontId="2" type="noConversion"/>
  </si>
  <si>
    <t>6/10(월)~
6/12(수)</t>
    <phoneticPr fontId="2" type="noConversion"/>
  </si>
  <si>
    <t>SN2598</t>
    <phoneticPr fontId="2" type="noConversion"/>
  </si>
  <si>
    <t>HH</t>
    <phoneticPr fontId="2" type="noConversion"/>
  </si>
  <si>
    <t>덴소/포장</t>
    <phoneticPr fontId="2" type="noConversion"/>
  </si>
  <si>
    <t>사전품의 완료</t>
    <phoneticPr fontId="2" type="noConversion"/>
  </si>
  <si>
    <t>6/18(화)~
6/19(수)</t>
    <phoneticPr fontId="2" type="noConversion"/>
  </si>
  <si>
    <t>(6.5T,9T)덴소/포장</t>
    <phoneticPr fontId="2" type="noConversion"/>
  </si>
  <si>
    <t>강지원</t>
    <phoneticPr fontId="2" type="noConversion"/>
  </si>
  <si>
    <t>6/25(화)~
6/26(수)</t>
    <phoneticPr fontId="2" type="noConversion"/>
  </si>
  <si>
    <t>DB4502</t>
    <phoneticPr fontId="2" type="noConversion"/>
  </si>
  <si>
    <t>ER</t>
    <phoneticPr fontId="2" type="noConversion"/>
  </si>
  <si>
    <t>포장지원</t>
    <phoneticPr fontId="2" type="noConversion"/>
  </si>
  <si>
    <t>OAC</t>
    <phoneticPr fontId="2" type="noConversion"/>
  </si>
  <si>
    <t>(20T)덴소/포장(U/P)</t>
    <phoneticPr fontId="2" type="noConversion"/>
  </si>
  <si>
    <t>우신테크</t>
    <phoneticPr fontId="2" type="noConversion"/>
  </si>
  <si>
    <t>일자</t>
    <phoneticPr fontId="2" type="noConversion"/>
  </si>
  <si>
    <t>투입인원</t>
    <phoneticPr fontId="2" type="noConversion"/>
  </si>
  <si>
    <t>우신테크</t>
    <phoneticPr fontId="2" type="noConversion"/>
  </si>
  <si>
    <t>A/S</t>
    <phoneticPr fontId="2" type="noConversion"/>
  </si>
  <si>
    <t>인도전</t>
    <phoneticPr fontId="2" type="noConversion"/>
  </si>
  <si>
    <t>SN2584</t>
    <phoneticPr fontId="2" type="noConversion"/>
  </si>
  <si>
    <t>S/L 리미트 V/V 레버 복귀 불량 관련 조치</t>
    <phoneticPr fontId="2" type="noConversion"/>
  </si>
  <si>
    <t>A/S</t>
    <phoneticPr fontId="2" type="noConversion"/>
  </si>
  <si>
    <t>SKMT</t>
    <phoneticPr fontId="2" type="noConversion"/>
  </si>
  <si>
    <t>GNN0015</t>
    <phoneticPr fontId="2" type="noConversion"/>
  </si>
  <si>
    <t>KT</t>
    <phoneticPr fontId="2" type="noConversion"/>
  </si>
  <si>
    <t>코멘트 처리, 커미셔닝 마무리(LOAD TEST)</t>
    <phoneticPr fontId="2" type="noConversion"/>
  </si>
  <si>
    <t>HOC</t>
    <phoneticPr fontId="2" type="noConversion"/>
  </si>
  <si>
    <t>STOPPER 위치 이동, 
수동 브레이크 볼트 조임 레버 수정</t>
    <phoneticPr fontId="2" type="noConversion"/>
  </si>
  <si>
    <t>인도전</t>
    <phoneticPr fontId="2" type="noConversion"/>
  </si>
  <si>
    <t>코멘트 작업(유압라인 덴소 시공, Hoisting limit 길이 조절, 그리스니쁠 캡 시공외)</t>
    <phoneticPr fontId="2" type="noConversion"/>
  </si>
  <si>
    <t>SHI</t>
    <phoneticPr fontId="2" type="noConversion"/>
  </si>
  <si>
    <t>HH</t>
    <phoneticPr fontId="2" type="noConversion"/>
  </si>
  <si>
    <t xml:space="preserve"> 누유 SLEWING 리미트 밸브 교체 및 
레더 홀 수정</t>
    <phoneticPr fontId="2" type="noConversion"/>
  </si>
  <si>
    <t>합 계</t>
    <phoneticPr fontId="2" type="noConversion"/>
  </si>
  <si>
    <t>업체명</t>
    <phoneticPr fontId="2" type="noConversion"/>
  </si>
  <si>
    <t>일자</t>
    <phoneticPr fontId="2" type="noConversion"/>
  </si>
  <si>
    <t>장소</t>
    <phoneticPr fontId="2" type="noConversion"/>
  </si>
  <si>
    <t>작업내용</t>
    <phoneticPr fontId="2" type="noConversion"/>
  </si>
  <si>
    <t>담당자</t>
    <phoneticPr fontId="2" type="noConversion"/>
  </si>
  <si>
    <t>특이사항</t>
    <phoneticPr fontId="2" type="noConversion"/>
  </si>
  <si>
    <t>우신테크</t>
    <phoneticPr fontId="2" type="noConversion"/>
  </si>
  <si>
    <t>사외작업</t>
    <phoneticPr fontId="2" type="noConversion"/>
  </si>
  <si>
    <t>납품전</t>
    <phoneticPr fontId="2" type="noConversion"/>
  </si>
  <si>
    <t>창성</t>
    <phoneticPr fontId="2" type="noConversion"/>
  </si>
  <si>
    <t>(25T, MAIN JIB)쇼트 검사 지원</t>
    <phoneticPr fontId="2" type="noConversion"/>
  </si>
  <si>
    <t>문덕민</t>
    <phoneticPr fontId="2" type="noConversion"/>
  </si>
  <si>
    <t>실행 예산에 부합함</t>
    <phoneticPr fontId="2" type="noConversion"/>
  </si>
  <si>
    <t>(25T U/P), (2T P/D)쇼트 검사 지원</t>
    <phoneticPr fontId="2" type="noConversion"/>
  </si>
  <si>
    <t>(2T EXT JIB6)쇼트 검사 지원</t>
    <phoneticPr fontId="2" type="noConversion"/>
  </si>
  <si>
    <t>합 계</t>
    <phoneticPr fontId="2" type="noConversion"/>
  </si>
  <si>
    <t>작업결과</t>
    <phoneticPr fontId="2" type="noConversion"/>
  </si>
  <si>
    <t>범양
엔지니어링</t>
    <phoneticPr fontId="2" type="noConversion"/>
  </si>
  <si>
    <t>SKMT</t>
    <phoneticPr fontId="2" type="noConversion"/>
  </si>
  <si>
    <t>완료</t>
    <phoneticPr fontId="2" type="noConversion"/>
  </si>
  <si>
    <t>합계</t>
    <phoneticPr fontId="2" type="noConversion"/>
  </si>
  <si>
    <t>진진산업</t>
    <phoneticPr fontId="2" type="noConversion"/>
  </si>
  <si>
    <t>인도후</t>
    <phoneticPr fontId="2" type="noConversion"/>
  </si>
  <si>
    <t>진해해군</t>
    <phoneticPr fontId="2" type="noConversion"/>
  </si>
  <si>
    <t>이순신함
(왕건함)</t>
    <phoneticPr fontId="2" type="noConversion"/>
  </si>
  <si>
    <t>RB</t>
    <phoneticPr fontId="2" type="noConversion"/>
  </si>
  <si>
    <t>(우현) 오일 레벨 센서 교체,Hoisting 기어유 보충, (2대) U/P 케이블 웨이 용접작업</t>
    <phoneticPr fontId="2" type="noConversion"/>
  </si>
  <si>
    <t>박성용</t>
    <phoneticPr fontId="2" type="noConversion"/>
  </si>
  <si>
    <t>HHI</t>
    <phoneticPr fontId="2" type="noConversion"/>
  </si>
  <si>
    <t>P168</t>
    <phoneticPr fontId="2" type="noConversion"/>
  </si>
  <si>
    <t>RCS</t>
    <phoneticPr fontId="2" type="noConversion"/>
  </si>
  <si>
    <t>MESH 재조립</t>
    <phoneticPr fontId="2" type="noConversion"/>
  </si>
  <si>
    <t>박주성, 박성용</t>
    <phoneticPr fontId="2" type="noConversion"/>
  </si>
  <si>
    <t>PA31</t>
    <phoneticPr fontId="2" type="noConversion"/>
  </si>
  <si>
    <t>TR</t>
    <phoneticPr fontId="2" type="noConversion"/>
  </si>
  <si>
    <t>분해작업</t>
    <phoneticPr fontId="2" type="noConversion"/>
  </si>
  <si>
    <t>실행 예산에 부합함
(추가PO발행 건)</t>
    <phoneticPr fontId="2" type="noConversion"/>
  </si>
  <si>
    <t>아이앤지</t>
    <phoneticPr fontId="2" type="noConversion"/>
  </si>
  <si>
    <t>부산</t>
    <phoneticPr fontId="2" type="noConversion"/>
  </si>
  <si>
    <t>S042
(독도함)</t>
    <phoneticPr fontId="2" type="noConversion"/>
  </si>
  <si>
    <t>사용자불만조치(보트시트 수정)</t>
    <phoneticPr fontId="2" type="noConversion"/>
  </si>
  <si>
    <t>박성용, 박주성</t>
    <phoneticPr fontId="2" type="noConversion"/>
  </si>
  <si>
    <t>검사입회</t>
    <phoneticPr fontId="2" type="noConversion"/>
  </si>
  <si>
    <t>장소</t>
    <phoneticPr fontId="2" type="noConversion"/>
  </si>
  <si>
    <t>SN2598</t>
    <phoneticPr fontId="2" type="noConversion"/>
  </si>
  <si>
    <t>TEST P/D 용접</t>
    <phoneticPr fontId="2" type="noConversion"/>
  </si>
  <si>
    <t>이광형</t>
    <phoneticPr fontId="2" type="noConversion"/>
  </si>
  <si>
    <t>작업일자</t>
    <phoneticPr fontId="2" type="noConversion"/>
  </si>
  <si>
    <t>아이앤지
(최기추)</t>
    <phoneticPr fontId="2" type="noConversion"/>
  </si>
  <si>
    <t>06/03(월)~
06/04(화)</t>
    <phoneticPr fontId="2" type="noConversion"/>
  </si>
  <si>
    <t>6/10(월)~
6/11(화)</t>
    <phoneticPr fontId="2" type="noConversion"/>
  </si>
  <si>
    <t>ER</t>
    <phoneticPr fontId="2" type="noConversion"/>
  </si>
  <si>
    <t>설치/자체테스트 지원</t>
    <phoneticPr fontId="2" type="noConversion"/>
  </si>
  <si>
    <t>6/12(수)~
6/13(목)</t>
    <phoneticPr fontId="2" type="noConversion"/>
  </si>
  <si>
    <t>PV</t>
    <phoneticPr fontId="2" type="noConversion"/>
  </si>
  <si>
    <t>6/14(금)</t>
    <phoneticPr fontId="2" type="noConversion"/>
  </si>
  <si>
    <t>(25T)수정작업 지원</t>
    <phoneticPr fontId="2" type="noConversion"/>
  </si>
  <si>
    <t>6/17(월)</t>
    <phoneticPr fontId="2" type="noConversion"/>
  </si>
  <si>
    <t>FAT지원 및 해체</t>
    <phoneticPr fontId="2" type="noConversion"/>
  </si>
  <si>
    <t>6/18(화)~
6/19(수)</t>
    <phoneticPr fontId="2" type="noConversion"/>
  </si>
  <si>
    <t>(25T) 개정도 용접작업</t>
    <phoneticPr fontId="2" type="noConversion"/>
  </si>
  <si>
    <t>6/20(목)~
6/21(금)</t>
    <phoneticPr fontId="2" type="noConversion"/>
  </si>
  <si>
    <t>S204</t>
    <phoneticPr fontId="2" type="noConversion"/>
  </si>
  <si>
    <t>BR</t>
    <phoneticPr fontId="2" type="noConversion"/>
  </si>
  <si>
    <t>조립 지원</t>
    <phoneticPr fontId="2" type="noConversion"/>
  </si>
  <si>
    <t>6/24(월)~
6/25(화)</t>
    <phoneticPr fontId="2" type="noConversion"/>
  </si>
  <si>
    <t>P171</t>
    <phoneticPr fontId="2" type="noConversion"/>
  </si>
  <si>
    <t>HTS</t>
    <phoneticPr fontId="2" type="noConversion"/>
  </si>
  <si>
    <t>철거</t>
    <phoneticPr fontId="2" type="noConversion"/>
  </si>
  <si>
    <t>시운전 지원</t>
    <phoneticPr fontId="2" type="noConversion"/>
  </si>
  <si>
    <t>6/27(목)~
6/28(금)</t>
    <phoneticPr fontId="2" type="noConversion"/>
  </si>
  <si>
    <t>P169</t>
    <phoneticPr fontId="2" type="noConversion"/>
  </si>
  <si>
    <t>HOC</t>
    <phoneticPr fontId="2" type="noConversion"/>
  </si>
  <si>
    <t>사전품의 완료</t>
  </si>
  <si>
    <t>외주(2)→우신</t>
    <phoneticPr fontId="2" type="noConversion"/>
  </si>
  <si>
    <t>진진(2)
→범양(1)</t>
    <phoneticPr fontId="2" type="noConversion"/>
  </si>
  <si>
    <t>외주(1)
→ 진진(1)</t>
    <phoneticPr fontId="2" type="noConversion"/>
  </si>
  <si>
    <t>LUFFING WIRE 교체</t>
    <phoneticPr fontId="2" type="noConversion"/>
  </si>
  <si>
    <t>8/5(월)~
8/7(수)</t>
    <phoneticPr fontId="2" type="noConversion"/>
  </si>
  <si>
    <t>8/8(목)~
8/9(금)</t>
    <phoneticPr fontId="2" type="noConversion"/>
  </si>
  <si>
    <t>보증수리사항(용접 불량 재조치)</t>
    <phoneticPr fontId="2" type="noConversion"/>
  </si>
  <si>
    <t>아이앤지(2), 외주(2)</t>
    <phoneticPr fontId="2" type="noConversion"/>
  </si>
  <si>
    <t>(25T JIB 1&amp;2단) GREASE 도포 작업</t>
    <phoneticPr fontId="2" type="noConversion"/>
  </si>
  <si>
    <t>(25T) U/P 하부 RUST 제거 작업</t>
    <phoneticPr fontId="2" type="noConversion"/>
  </si>
  <si>
    <t>LOAD MOMENT SYSTEM 점검 (최대각 생태 작업반경 설계치와 모니터 상 수치 상이)</t>
    <phoneticPr fontId="2" type="noConversion"/>
  </si>
  <si>
    <t>P/D 용접 불량(언더컷)부분 사상&amp; 재용접</t>
    <phoneticPr fontId="2" type="noConversion"/>
  </si>
  <si>
    <t xml:space="preserve">개선 사항(도면 개정 - 
PIN에 GREASE LINE 추가) </t>
    <phoneticPr fontId="2" type="noConversion"/>
  </si>
  <si>
    <t>용접 불량</t>
    <phoneticPr fontId="2" type="noConversion"/>
  </si>
  <si>
    <t>설치/자체 테스트 지원</t>
    <phoneticPr fontId="2" type="noConversion"/>
  </si>
  <si>
    <t>8/12(월)~
8/13(화)</t>
    <phoneticPr fontId="2" type="noConversion"/>
  </si>
  <si>
    <t>8/14(수),
8/16(금)</t>
    <phoneticPr fontId="2" type="noConversion"/>
  </si>
  <si>
    <t>TELE LEG CYL PIN 교체 (7/31 고착이 심각해 교체 실패 - 산소절단기 등 사용해 재시도)</t>
    <phoneticPr fontId="2" type="noConversion"/>
  </si>
  <si>
    <t>보증수리사항(거한 대응 불가로 범양 파견)</t>
    <phoneticPr fontId="2" type="noConversion"/>
  </si>
  <si>
    <t>코멘트 조치 (발판 수정)</t>
    <phoneticPr fontId="2" type="noConversion"/>
  </si>
  <si>
    <t>코멘트 사항(도면 변경)</t>
    <phoneticPr fontId="2" type="noConversion"/>
  </si>
  <si>
    <t>(MAIN JIB) GREASE 도포</t>
    <phoneticPr fontId="2" type="noConversion"/>
  </si>
  <si>
    <t>SLEWING MOTOR 점검 후 설치, HOSE 교체</t>
    <phoneticPr fontId="2" type="noConversion"/>
  </si>
  <si>
    <t>8/19(월)~
8/21(수)</t>
    <phoneticPr fontId="2" type="noConversion"/>
  </si>
  <si>
    <t>P169/
GNN0017</t>
    <phoneticPr fontId="2" type="noConversion"/>
  </si>
  <si>
    <t>PE/RD</t>
    <phoneticPr fontId="2" type="noConversion"/>
  </si>
  <si>
    <t>시운전 / 특수진동 검사 지원</t>
    <phoneticPr fontId="2" type="noConversion"/>
  </si>
  <si>
    <t>8/22(목)~
8/23(금)</t>
    <phoneticPr fontId="2" type="noConversion"/>
  </si>
  <si>
    <t>조립 지원</t>
    <phoneticPr fontId="2" type="noConversion"/>
  </si>
  <si>
    <t>덴소 / 포장</t>
    <phoneticPr fontId="2" type="noConversion"/>
  </si>
  <si>
    <t>8/20(화)~
8/21(수)</t>
    <phoneticPr fontId="2" type="noConversion"/>
  </si>
  <si>
    <t>이순신함
(강감찬함)</t>
    <phoneticPr fontId="2" type="noConversion"/>
  </si>
  <si>
    <t>(25T) LUG 절단(제작 LUG)</t>
    <phoneticPr fontId="2" type="noConversion"/>
  </si>
  <si>
    <t>TELE LEG CYL PIN 교체(브라켓 절단 작업 외)
9시~</t>
    <phoneticPr fontId="2" type="noConversion"/>
  </si>
  <si>
    <t>PV</t>
    <phoneticPr fontId="2" type="noConversion"/>
  </si>
  <si>
    <t>8/26(월)~
8/28(수)</t>
    <phoneticPr fontId="2" type="noConversion"/>
  </si>
  <si>
    <t>8/29(목)~
8/30(금)</t>
    <phoneticPr fontId="2" type="noConversion"/>
  </si>
  <si>
    <t>강감찬함</t>
    <phoneticPr fontId="2" type="noConversion"/>
  </si>
  <si>
    <t>YN03</t>
    <phoneticPr fontId="2" type="noConversion"/>
  </si>
  <si>
    <t>ER/PV/HH</t>
    <phoneticPr fontId="2" type="noConversion"/>
  </si>
  <si>
    <t>용접불량</t>
    <phoneticPr fontId="2" type="noConversion"/>
  </si>
  <si>
    <t>(P,S) JIB STEP 얼라인 불량 용접 수정</t>
    <phoneticPr fontId="2" type="noConversion"/>
  </si>
  <si>
    <t>8/28(수)~
8/29(목)</t>
    <phoneticPr fontId="2" type="noConversion"/>
  </si>
  <si>
    <t>보증수리
(보조 LOAD MOMENT SYSTEM불량 추가 점검)</t>
    <phoneticPr fontId="2" type="noConversion"/>
  </si>
  <si>
    <t>포장반 지원</t>
    <phoneticPr fontId="2" type="noConversion"/>
  </si>
  <si>
    <t>(P/D) 도장/조립</t>
    <phoneticPr fontId="2" type="noConversion"/>
  </si>
  <si>
    <t>임상섭, 박성용</t>
    <phoneticPr fontId="2" type="noConversion"/>
  </si>
  <si>
    <t>S204</t>
    <phoneticPr fontId="2" type="noConversion"/>
  </si>
  <si>
    <t>누락 자재 용접작업</t>
    <phoneticPr fontId="2" type="noConversion"/>
  </si>
  <si>
    <t>제작불량</t>
    <phoneticPr fontId="2" type="noConversion"/>
  </si>
  <si>
    <t>CLAIM</t>
    <phoneticPr fontId="2" type="noConversion"/>
  </si>
  <si>
    <t>A/S</t>
    <phoneticPr fontId="2" type="noConversion"/>
  </si>
  <si>
    <t>S192</t>
    <phoneticPr fontId="2" type="noConversion"/>
  </si>
  <si>
    <t>누유 개소 점검 및 수리(누유 부분 크리닝 포함)</t>
    <phoneticPr fontId="2" type="noConversion"/>
  </si>
  <si>
    <t>아이앤지(1)</t>
    <phoneticPr fontId="2" type="noConversion"/>
  </si>
  <si>
    <t>WINCH 위치 상향 조정(PIPE반출 및 길이 수정)</t>
    <phoneticPr fontId="2" type="noConversion"/>
  </si>
  <si>
    <t>9/2(월)~
9/4(수)</t>
    <phoneticPr fontId="2" type="noConversion"/>
  </si>
  <si>
    <t>강감찬함
(이순신함)</t>
    <phoneticPr fontId="2" type="noConversion"/>
  </si>
  <si>
    <t>보증수리 사항(2024년 인도-보증수리기한 인도 후 24개월까지)</t>
    <phoneticPr fontId="2" type="noConversion"/>
  </si>
  <si>
    <t>9/5(목)~
9/6(금)</t>
    <phoneticPr fontId="2" type="noConversion"/>
  </si>
  <si>
    <t>9/6(금)~
9/7(토)</t>
    <phoneticPr fontId="2" type="noConversion"/>
  </si>
  <si>
    <t>(P) JIB STEP 얼라인 불량 용접 수정</t>
    <phoneticPr fontId="2" type="noConversion"/>
  </si>
  <si>
    <t>(P,S)LADDER SUPPORT 위치 수정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</si>
  <si>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</si>
  <si>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</si>
  <si>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</si>
  <si>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작업내용</t>
    <phoneticPr fontId="2" type="noConversion"/>
  </si>
  <si>
    <t>투입인원</t>
    <phoneticPr fontId="2" type="noConversion"/>
  </si>
  <si>
    <t>특이사항</t>
    <phoneticPr fontId="2" type="noConversion"/>
  </si>
  <si>
    <t>더베스트솔루션</t>
    <phoneticPr fontId="2" type="noConversion"/>
  </si>
  <si>
    <t>7/4(목)~
7/5(금)</t>
    <phoneticPr fontId="2" type="noConversion"/>
  </si>
  <si>
    <t>OAC</t>
    <phoneticPr fontId="2" type="noConversion"/>
  </si>
  <si>
    <t>(20T)코멘트 처리</t>
    <phoneticPr fontId="2" type="noConversion"/>
  </si>
  <si>
    <t>강지원</t>
    <phoneticPr fontId="2" type="noConversion"/>
  </si>
  <si>
    <t>덴소/포장</t>
    <phoneticPr fontId="2" type="noConversion"/>
  </si>
  <si>
    <t>강지원</t>
    <phoneticPr fontId="2" type="noConversion"/>
  </si>
  <si>
    <t>사전품의 완료</t>
    <phoneticPr fontId="2" type="noConversion"/>
  </si>
  <si>
    <t>7/11(목)~
7/12(금)</t>
    <phoneticPr fontId="2" type="noConversion"/>
  </si>
  <si>
    <t>(20T JIB) 코멘트 처리 및 덴소 작업</t>
    <phoneticPr fontId="2" type="noConversion"/>
  </si>
  <si>
    <t>PV</t>
    <phoneticPr fontId="2" type="noConversion"/>
  </si>
  <si>
    <t>도장 / 덴소</t>
    <phoneticPr fontId="2" type="noConversion"/>
  </si>
  <si>
    <t>강지원</t>
    <phoneticPr fontId="2" type="noConversion"/>
  </si>
  <si>
    <t>사전품의 완료</t>
    <phoneticPr fontId="2" type="noConversion"/>
  </si>
  <si>
    <t>왕건함</t>
    <phoneticPr fontId="2" type="noConversion"/>
  </si>
  <si>
    <t>RB</t>
    <phoneticPr fontId="2" type="noConversion"/>
  </si>
  <si>
    <t>도장/덴소</t>
    <phoneticPr fontId="2" type="noConversion"/>
  </si>
  <si>
    <t>7/31(수)</t>
    <phoneticPr fontId="2" type="noConversion"/>
  </si>
  <si>
    <t>P171</t>
    <phoneticPr fontId="2" type="noConversion"/>
  </si>
  <si>
    <t>HTS</t>
    <phoneticPr fontId="2" type="noConversion"/>
  </si>
  <si>
    <t>송영국</t>
    <phoneticPr fontId="2" type="noConversion"/>
  </si>
  <si>
    <t>일자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</si>
  <si>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</si>
  <si>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</si>
  <si>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</si>
  <si>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SN2584</t>
    <phoneticPr fontId="2" type="noConversion"/>
  </si>
  <si>
    <t>PV, HH</t>
    <phoneticPr fontId="2" type="noConversion"/>
  </si>
  <si>
    <t>박성용</t>
    <phoneticPr fontId="2" type="noConversion"/>
  </si>
  <si>
    <t>인도전</t>
    <phoneticPr fontId="2" type="noConversion"/>
  </si>
  <si>
    <t>HH</t>
    <phoneticPr fontId="2" type="noConversion"/>
  </si>
  <si>
    <t>(STBD)SLEWING LIMIT V/V 복귀불량 자재 교체 WIRE 꼬임 해결 조치 (H/H 2대, PV 2대)</t>
    <phoneticPr fontId="2" type="noConversion"/>
  </si>
  <si>
    <t>외주(2)
→우신(2)</t>
    <phoneticPr fontId="2" type="noConversion"/>
  </si>
  <si>
    <t>합 계</t>
    <phoneticPr fontId="2" type="noConversion"/>
  </si>
  <si>
    <t>업체명</t>
    <phoneticPr fontId="2" type="noConversion"/>
  </si>
  <si>
    <t>장소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</si>
  <si>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</si>
  <si>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</si>
  <si>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</si>
  <si>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우신테크</t>
    <phoneticPr fontId="2" type="noConversion"/>
  </si>
  <si>
    <t>사외작업</t>
    <phoneticPr fontId="2" type="noConversion"/>
  </si>
  <si>
    <t>납품전</t>
    <phoneticPr fontId="2" type="noConversion"/>
  </si>
  <si>
    <t>P169</t>
    <phoneticPr fontId="2" type="noConversion"/>
  </si>
  <si>
    <t>쇼트 검사 지원</t>
    <phoneticPr fontId="2" type="noConversion"/>
  </si>
  <si>
    <t>문덕민</t>
    <phoneticPr fontId="2" type="noConversion"/>
  </si>
  <si>
    <t>실행 예산에 부합함</t>
    <phoneticPr fontId="2" type="noConversion"/>
  </si>
  <si>
    <t>합 계</t>
    <phoneticPr fontId="2" type="noConversion"/>
  </si>
  <si>
    <t>장소</t>
    <phoneticPr fontId="2" type="noConversion"/>
  </si>
  <si>
    <t>담당자</t>
    <phoneticPr fontId="2" type="noConversion"/>
  </si>
  <si>
    <t>특이사항</t>
    <phoneticPr fontId="2" type="noConversion"/>
  </si>
  <si>
    <t>창성</t>
    <phoneticPr fontId="2" type="noConversion"/>
  </si>
  <si>
    <t xml:space="preserve">(2T, TELE JIB 6)쇼트 검사 지원 </t>
    <phoneticPr fontId="2" type="noConversion"/>
  </si>
  <si>
    <t>실행 예산 초과</t>
    <phoneticPr fontId="2" type="noConversion"/>
  </si>
  <si>
    <t>사외작업</t>
    <phoneticPr fontId="2" type="noConversion"/>
  </si>
  <si>
    <t>납품전</t>
    <phoneticPr fontId="2" type="noConversion"/>
  </si>
  <si>
    <t>창성</t>
    <phoneticPr fontId="2" type="noConversion"/>
  </si>
  <si>
    <t>(2T, MAIN JIB)쇼트 검사 지원</t>
    <phoneticPr fontId="2" type="noConversion"/>
  </si>
  <si>
    <t>문덕민</t>
    <phoneticPr fontId="2" type="noConversion"/>
  </si>
  <si>
    <t>실행 예산 초과</t>
    <phoneticPr fontId="2" type="noConversion"/>
  </si>
  <si>
    <t>사외작업</t>
    <phoneticPr fontId="2" type="noConversion"/>
  </si>
  <si>
    <t>OAC</t>
    <phoneticPr fontId="2" type="noConversion"/>
  </si>
  <si>
    <t>(2T, MAIN JIB)쇼트 검사 지원</t>
    <phoneticPr fontId="2" type="noConversion"/>
  </si>
  <si>
    <t>실행 예산 초과</t>
    <phoneticPr fontId="2" type="noConversion"/>
  </si>
  <si>
    <t>(2T U/P), (20T TELE JIB)쇼트 검사 지원</t>
    <phoneticPr fontId="2" type="noConversion"/>
  </si>
  <si>
    <t>일자</t>
    <phoneticPr fontId="2" type="noConversion"/>
  </si>
  <si>
    <t>작업내용</t>
    <phoneticPr fontId="2" type="noConversion"/>
  </si>
  <si>
    <t>작업결과</t>
    <phoneticPr fontId="2" type="noConversion"/>
  </si>
  <si>
    <t>범양
엔지니어링</t>
    <phoneticPr fontId="2" type="noConversion"/>
  </si>
  <si>
    <t>A/S</t>
    <phoneticPr fontId="2" type="noConversion"/>
  </si>
  <si>
    <t>인도전</t>
    <phoneticPr fontId="2" type="noConversion"/>
  </si>
  <si>
    <t>HJ중공업</t>
    <phoneticPr fontId="2" type="noConversion"/>
  </si>
  <si>
    <t>S198</t>
    <phoneticPr fontId="2" type="noConversion"/>
  </si>
  <si>
    <t>RD,TC</t>
    <phoneticPr fontId="2" type="noConversion"/>
  </si>
  <si>
    <t>검사입회</t>
    <phoneticPr fontId="2" type="noConversion"/>
  </si>
  <si>
    <t>진진(2)
→범양(1)</t>
    <phoneticPr fontId="2" type="noConversion"/>
  </si>
  <si>
    <t>사전품의 완료
(1공수 직영인력(박성용) 투입)</t>
    <phoneticPr fontId="2" type="noConversion"/>
  </si>
  <si>
    <t>완료</t>
    <phoneticPr fontId="2" type="noConversion"/>
  </si>
  <si>
    <t>합계</t>
    <phoneticPr fontId="2" type="noConversion"/>
  </si>
  <si>
    <t>진진산업</t>
    <phoneticPr fontId="2" type="noConversion"/>
  </si>
  <si>
    <t>RD</t>
    <phoneticPr fontId="2" type="noConversion"/>
  </si>
  <si>
    <t>외주(1)
→ 진진(1)</t>
    <phoneticPr fontId="2" type="noConversion"/>
  </si>
  <si>
    <t>SLEWING LIMIT SWITCH 위치 조정 작업
(판넬 간섭) / 커미셔닝</t>
    <phoneticPr fontId="2" type="noConversion"/>
  </si>
  <si>
    <t>박성용</t>
    <phoneticPr fontId="2" type="noConversion"/>
  </si>
  <si>
    <t>진진(1)</t>
    <phoneticPr fontId="2" type="noConversion"/>
  </si>
  <si>
    <t>RD, TC</t>
    <phoneticPr fontId="2" type="noConversion"/>
  </si>
  <si>
    <t>커미셔닝</t>
    <phoneticPr fontId="2" type="noConversion"/>
  </si>
  <si>
    <t>작업일자</t>
    <phoneticPr fontId="2" type="noConversion"/>
  </si>
  <si>
    <t>아이앤지
(최기추)</t>
    <phoneticPr fontId="2" type="noConversion"/>
  </si>
  <si>
    <t>7/1(월)~
7/2(화)</t>
    <phoneticPr fontId="2" type="noConversion"/>
  </si>
  <si>
    <t>P169</t>
    <phoneticPr fontId="2" type="noConversion"/>
  </si>
  <si>
    <t>HOC</t>
    <phoneticPr fontId="2" type="noConversion"/>
  </si>
  <si>
    <t>조립 지원</t>
    <phoneticPr fontId="2" type="noConversion"/>
  </si>
  <si>
    <t>이광형</t>
    <phoneticPr fontId="2" type="noConversion"/>
  </si>
  <si>
    <t>FAT 및 해체 지원</t>
    <phoneticPr fontId="2" type="noConversion"/>
  </si>
  <si>
    <t>왕건함</t>
    <phoneticPr fontId="2" type="noConversion"/>
  </si>
  <si>
    <t>RB</t>
    <phoneticPr fontId="2" type="noConversion"/>
  </si>
  <si>
    <t>7/8(월)~
7/10(수)</t>
    <phoneticPr fontId="2" type="noConversion"/>
  </si>
  <si>
    <t>7/11(목)~
7/12(금)</t>
    <phoneticPr fontId="2" type="noConversion"/>
  </si>
  <si>
    <t>7/15(월)~
7/16(수)</t>
    <phoneticPr fontId="2" type="noConversion"/>
  </si>
  <si>
    <t>검사 / 해체 지원</t>
    <phoneticPr fontId="2" type="noConversion"/>
  </si>
  <si>
    <t>7/17(목)~
7/19(금)</t>
    <phoneticPr fontId="2" type="noConversion"/>
  </si>
  <si>
    <t>7/22(월)~
7/24(수)</t>
    <phoneticPr fontId="2" type="noConversion"/>
  </si>
  <si>
    <t>GNN0017</t>
    <phoneticPr fontId="2" type="noConversion"/>
  </si>
  <si>
    <t>7/25(목)~
7/26(금)</t>
    <phoneticPr fontId="2" type="noConversion"/>
  </si>
  <si>
    <t>SN2599</t>
    <phoneticPr fontId="2" type="noConversion"/>
  </si>
  <si>
    <t>7/29(월)~
7/31(수)</t>
    <phoneticPr fontId="2" type="noConversion"/>
  </si>
  <si>
    <t>SN2599/
GNN0017</t>
    <phoneticPr fontId="2" type="noConversion"/>
  </si>
  <si>
    <t>PV/RB</t>
    <phoneticPr fontId="2" type="noConversion"/>
  </si>
  <si>
    <t>7월</t>
    <phoneticPr fontId="2" type="noConversion"/>
  </si>
  <si>
    <t>아이앤지(1), 디에스티(1)</t>
    <phoneticPr fontId="2" type="noConversion"/>
  </si>
  <si>
    <t>진진(2)→아이앤지</t>
    <phoneticPr fontId="2" type="noConversion"/>
  </si>
  <si>
    <t>외주(1)
→ 아이앤지(1)</t>
    <phoneticPr fontId="2" type="noConversion"/>
  </si>
  <si>
    <t>해체 지원</t>
    <phoneticPr fontId="2" type="noConversion"/>
  </si>
  <si>
    <t>누유 부분 부품교체 및 캐빈 내 작동불량 조치</t>
    <phoneticPr fontId="2" type="noConversion"/>
  </si>
  <si>
    <t>아이앤지(최기추4)</t>
    <phoneticPr fontId="2" type="noConversion"/>
  </si>
  <si>
    <t>9/12(목)~
9/13(금)</t>
    <phoneticPr fontId="2" type="noConversion"/>
  </si>
  <si>
    <t>9/12(목)</t>
    <phoneticPr fontId="2" type="noConversion"/>
  </si>
  <si>
    <t>9/9~9/11,
9/13</t>
    <phoneticPr fontId="2" type="noConversion"/>
  </si>
  <si>
    <t>9/19(목)~
9/20(금)</t>
    <phoneticPr fontId="2" type="noConversion"/>
  </si>
  <si>
    <t>아이앤지(최기추2)</t>
    <phoneticPr fontId="2" type="noConversion"/>
  </si>
  <si>
    <t>3001함</t>
    <phoneticPr fontId="2" type="noConversion"/>
  </si>
  <si>
    <t>이광형</t>
    <phoneticPr fontId="2" type="noConversion"/>
  </si>
  <si>
    <t>9/19(목)~
9/20(금)</t>
    <phoneticPr fontId="2" type="noConversion"/>
  </si>
  <si>
    <t>우신(4)</t>
    <phoneticPr fontId="2" type="noConversion"/>
  </si>
  <si>
    <t>박성용</t>
    <phoneticPr fontId="2" type="noConversion"/>
  </si>
  <si>
    <t>SN2599</t>
    <phoneticPr fontId="2" type="noConversion"/>
  </si>
  <si>
    <t>CMR</t>
    <phoneticPr fontId="2" type="noConversion"/>
  </si>
  <si>
    <t>강지원</t>
    <phoneticPr fontId="2" type="noConversion"/>
  </si>
  <si>
    <t>베스트솔루션(2)</t>
    <phoneticPr fontId="2" type="noConversion"/>
  </si>
  <si>
    <t>포장반 지원</t>
    <phoneticPr fontId="2" type="noConversion"/>
  </si>
  <si>
    <t>TELE LEG CYL PIN 교체(브라켓 절단 작업 외)</t>
    <phoneticPr fontId="2" type="noConversion"/>
  </si>
  <si>
    <t>9/23(월)</t>
    <phoneticPr fontId="2" type="noConversion"/>
  </si>
  <si>
    <t>개선 사항(도면 개정 - 실린더 잔여 1개소 작업 예정-4개소 중 3개소 작업완료)</t>
    <phoneticPr fontId="2" type="noConversion"/>
  </si>
  <si>
    <t>9/24(화)~
9/25(수)</t>
    <phoneticPr fontId="2" type="noConversion"/>
  </si>
  <si>
    <t>9/26(목)~
9/27(금)</t>
    <phoneticPr fontId="2" type="noConversion"/>
  </si>
  <si>
    <t>조립/설치지원</t>
    <phoneticPr fontId="2" type="noConversion"/>
  </si>
  <si>
    <t>RB</t>
    <phoneticPr fontId="2" type="noConversion"/>
  </si>
  <si>
    <t>포장 / 덴소</t>
    <phoneticPr fontId="2" type="noConversion"/>
  </si>
  <si>
    <t>GNN0016</t>
    <phoneticPr fontId="2" type="noConversion"/>
  </si>
  <si>
    <t>정비창교육</t>
    <phoneticPr fontId="2" type="noConversion"/>
  </si>
  <si>
    <t>동아(2)</t>
    <phoneticPr fontId="2" type="noConversion"/>
  </si>
  <si>
    <t>컨트롤 밸브 누유 관련 조치</t>
    <phoneticPr fontId="2" type="noConversion"/>
  </si>
  <si>
    <t>9/30,10/2
10/4</t>
    <phoneticPr fontId="2" type="noConversion"/>
  </si>
  <si>
    <t>10/2,10/4</t>
    <phoneticPr fontId="2" type="noConversion"/>
  </si>
  <si>
    <t>덴소 및 보수 도장</t>
    <phoneticPr fontId="2" type="noConversion"/>
  </si>
  <si>
    <t>(20T)JIB 조립</t>
    <phoneticPr fontId="2" type="noConversion"/>
  </si>
  <si>
    <t>리미트 추가 세팅, 코멘트 처리, 커미셔닝</t>
    <phoneticPr fontId="2" type="noConversion"/>
  </si>
  <si>
    <t>김해공장</t>
    <phoneticPr fontId="2" type="noConversion"/>
  </si>
  <si>
    <t>WIRE RIGGING</t>
    <phoneticPr fontId="2" type="noConversion"/>
  </si>
  <si>
    <t>대조영함</t>
    <phoneticPr fontId="2" type="noConversion"/>
  </si>
  <si>
    <t>10/7(월)~
10/8(화)</t>
    <phoneticPr fontId="2" type="noConversion"/>
  </si>
  <si>
    <t>TC</t>
    <phoneticPr fontId="2" type="noConversion"/>
  </si>
  <si>
    <t>코멘트 처리 및 LOAD TEST</t>
    <phoneticPr fontId="2" type="noConversion"/>
  </si>
  <si>
    <t>계약 사항</t>
    <phoneticPr fontId="2" type="noConversion"/>
  </si>
  <si>
    <t>우신(1)</t>
    <phoneticPr fontId="2" type="noConversion"/>
  </si>
  <si>
    <t>HH</t>
    <phoneticPr fontId="2" type="noConversion"/>
  </si>
  <si>
    <t>YN03</t>
    <phoneticPr fontId="2" type="noConversion"/>
  </si>
  <si>
    <t>ER/PV</t>
    <phoneticPr fontId="2" type="noConversion"/>
  </si>
  <si>
    <t>10/10(목)~
10/11(금)</t>
    <phoneticPr fontId="2" type="noConversion"/>
  </si>
  <si>
    <t>더베스트솔루션(4)</t>
    <phoneticPr fontId="2" type="noConversion"/>
  </si>
  <si>
    <t>결선작업 및 테스트</t>
    <phoneticPr fontId="2" type="noConversion"/>
  </si>
  <si>
    <t>10/16(수)~
10/18(금)</t>
    <phoneticPr fontId="2" type="noConversion"/>
  </si>
  <si>
    <t>코멘트 (YARD 덕트 간섭으로 수정 조치 요청 받음 - 도면 개정 방안 검토)</t>
    <phoneticPr fontId="2" type="noConversion"/>
  </si>
  <si>
    <t>(YARD반출품) 공장 내 설치 후 테스트</t>
    <phoneticPr fontId="2" type="noConversion"/>
  </si>
  <si>
    <t>덴소/ 포장</t>
    <phoneticPr fontId="2" type="noConversion"/>
  </si>
  <si>
    <t>HH</t>
    <phoneticPr fontId="2" type="noConversion"/>
  </si>
  <si>
    <t>(P,S)  유압 호스 덴소 추가 조치</t>
    <phoneticPr fontId="2" type="noConversion"/>
  </si>
  <si>
    <t>(20T,25T) P/D RING PLATFORM 조립</t>
    <phoneticPr fontId="2" type="noConversion"/>
  </si>
  <si>
    <t>1006함</t>
    <phoneticPr fontId="2" type="noConversion"/>
  </si>
  <si>
    <t>10/21(월)~
10/24(목)</t>
    <phoneticPr fontId="2" type="noConversion"/>
  </si>
  <si>
    <t>코멘트(YARD 덕트 간섭으로 도면개정 사항 반영)</t>
    <phoneticPr fontId="2" type="noConversion"/>
  </si>
  <si>
    <t>RB</t>
    <phoneticPr fontId="2" type="noConversion"/>
  </si>
  <si>
    <t>10/25(금)~
10/26(토)</t>
    <phoneticPr fontId="2" type="noConversion"/>
  </si>
  <si>
    <t>검사입회(TORPEDO MAGAZINE 1)</t>
    <phoneticPr fontId="2" type="noConversion"/>
  </si>
  <si>
    <t>설치&amp; 테스트(TORPEDO MAGAZINE 1)</t>
    <phoneticPr fontId="2" type="noConversion"/>
  </si>
  <si>
    <t>설치/시운전지원</t>
    <phoneticPr fontId="2" type="noConversion"/>
  </si>
  <si>
    <t>아이앤지(최기추2)</t>
    <phoneticPr fontId="2" type="noConversion"/>
  </si>
  <si>
    <t>10/28(월)~
10/29(화)</t>
    <phoneticPr fontId="2" type="noConversion"/>
  </si>
  <si>
    <t>설치/시운전/자체테스트 지원</t>
    <phoneticPr fontId="2" type="noConversion"/>
  </si>
  <si>
    <t>아이앤지(최기추3)</t>
    <phoneticPr fontId="2" type="noConversion"/>
  </si>
  <si>
    <t>10/30(수)~
11/01(금)</t>
    <phoneticPr fontId="2" type="noConversion"/>
  </si>
  <si>
    <t>녹제거 작업</t>
    <phoneticPr fontId="2" type="noConversion"/>
  </si>
  <si>
    <t>10/29~10/30,
11/1</t>
    <phoneticPr fontId="2" type="noConversion"/>
  </si>
  <si>
    <t>범양(3)</t>
    <phoneticPr fontId="2" type="noConversion"/>
  </si>
  <si>
    <t>코멘트 사항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</si>
  <si>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</si>
  <si>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</si>
  <si>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</si>
  <si>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</si>
  <si>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</si>
  <si>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김해공장</t>
    <phoneticPr fontId="2" type="noConversion"/>
  </si>
  <si>
    <t>김해공장</t>
    <phoneticPr fontId="2" type="noConversion"/>
  </si>
  <si>
    <t>(25T) WIRE RIGGING</t>
    <phoneticPr fontId="2" type="noConversion"/>
  </si>
  <si>
    <t>S160/161</t>
    <phoneticPr fontId="2" type="noConversion"/>
  </si>
  <si>
    <t>LOCK SENSOR교체</t>
    <phoneticPr fontId="2" type="noConversion"/>
  </si>
  <si>
    <t>HT,ML</t>
    <phoneticPr fontId="2" type="noConversion"/>
  </si>
  <si>
    <t>전기계통 오류 점검(정상 상태이나 저유준/고온/모터트립에대한 점등발생,조이스틱(우현)작동불가)</t>
    <phoneticPr fontId="2" type="noConversion"/>
  </si>
  <si>
    <t>보증수리사항</t>
    <phoneticPr fontId="2" type="noConversion"/>
  </si>
  <si>
    <t>H1197</t>
    <phoneticPr fontId="2" type="noConversion"/>
  </si>
  <si>
    <t>누유 개소 점검 및 수리(레벨 게이지측 누유로
유압유 제거 후 누유부 확인 후 자재 교체예정)</t>
    <phoneticPr fontId="2" type="noConversion"/>
  </si>
  <si>
    <t>11/4(월)~
11/8(금)</t>
    <phoneticPr fontId="2" type="noConversion"/>
  </si>
  <si>
    <t>아이앤지(최기추5)</t>
    <phoneticPr fontId="2" type="noConversion"/>
  </si>
  <si>
    <t>11/7(목)~
11/8(금)</t>
    <phoneticPr fontId="2" type="noConversion"/>
  </si>
  <si>
    <t>TEST JIG 설치지원</t>
    <phoneticPr fontId="2" type="noConversion"/>
  </si>
  <si>
    <t>코멘트 작업
(브레이크 일부구간 작동불가로 레일 수정)</t>
    <phoneticPr fontId="2" type="noConversion"/>
  </si>
  <si>
    <t>외주(1)</t>
    <phoneticPr fontId="2" type="noConversion"/>
  </si>
  <si>
    <t>재검사 입회 (피니언 기어 교체로 재검사)</t>
    <phoneticPr fontId="2" type="noConversion"/>
  </si>
  <si>
    <t>P169</t>
    <phoneticPr fontId="2" type="noConversion"/>
  </si>
  <si>
    <t>누유 개소 용접</t>
    <phoneticPr fontId="2" type="noConversion"/>
  </si>
  <si>
    <t>KING POST 반출</t>
    <phoneticPr fontId="2" type="noConversion"/>
  </si>
  <si>
    <t>추후 수평FAT예정</t>
    <phoneticPr fontId="2" type="noConversion"/>
  </si>
  <si>
    <t>FAT코멘트 
(SLEWING 속도+10%로 도면변경)</t>
    <phoneticPr fontId="2" type="noConversion"/>
  </si>
  <si>
    <t>ALGLE DETECTOR 교체 및 테스트</t>
    <phoneticPr fontId="2" type="noConversion"/>
  </si>
  <si>
    <t>11/11(월)~
11/15(금)</t>
    <phoneticPr fontId="2" type="noConversion"/>
  </si>
  <si>
    <t>11/11(월)~
11/12(화)</t>
    <phoneticPr fontId="2" type="noConversion"/>
  </si>
  <si>
    <t>부산허치슨
간만CY</t>
    <phoneticPr fontId="2" type="noConversion"/>
  </si>
  <si>
    <t>11/19(화)~
11/20(수)</t>
    <phoneticPr fontId="2" type="noConversion"/>
  </si>
  <si>
    <t>P171</t>
    <phoneticPr fontId="2" type="noConversion"/>
  </si>
  <si>
    <t>11/21(목)~
11/22(금)</t>
    <phoneticPr fontId="2" type="noConversion"/>
  </si>
  <si>
    <t>SN0116</t>
    <phoneticPr fontId="2" type="noConversion"/>
  </si>
  <si>
    <t>FAT 진행</t>
    <phoneticPr fontId="2" type="noConversion"/>
  </si>
  <si>
    <t>검사 지원 (3306-25T YARD FAT 입회로 인한 인력 부족)</t>
    <phoneticPr fontId="2" type="noConversion"/>
  </si>
  <si>
    <t>전로 수정 외 용접작업</t>
    <phoneticPr fontId="2" type="noConversion"/>
  </si>
  <si>
    <t>JIB 진동 관련 점검</t>
    <phoneticPr fontId="2" type="noConversion"/>
  </si>
  <si>
    <t>11/19(화)~
11/21(목)</t>
    <phoneticPr fontId="2" type="noConversion"/>
  </si>
  <si>
    <t>(25T) 덴소 / 포장</t>
    <phoneticPr fontId="2" type="noConversion"/>
  </si>
  <si>
    <t>더베스트솔루션(9)</t>
    <phoneticPr fontId="2" type="noConversion"/>
  </si>
  <si>
    <t>볼팅부 실란트 작업 / 
레일 수정 작업, 파이프 반출</t>
    <phoneticPr fontId="2" type="noConversion"/>
  </si>
  <si>
    <t>김해공장</t>
    <phoneticPr fontId="2" type="noConversion"/>
  </si>
  <si>
    <t>11/25(월)~
11/29(금)</t>
    <phoneticPr fontId="2" type="noConversion"/>
  </si>
  <si>
    <t>전로 / 시트 / 핸드레일 외 용접작업</t>
    <phoneticPr fontId="2" type="noConversion"/>
  </si>
  <si>
    <t>11/22(금)~
11/23(토)</t>
    <phoneticPr fontId="2" type="noConversion"/>
  </si>
  <si>
    <t>SN0116</t>
    <phoneticPr fontId="2" type="noConversion"/>
  </si>
  <si>
    <t>RB</t>
    <phoneticPr fontId="2" type="noConversion"/>
  </si>
  <si>
    <t>더베스트솔루션(3)</t>
    <phoneticPr fontId="2" type="noConversion"/>
  </si>
  <si>
    <t>덴소 / 포장</t>
    <phoneticPr fontId="2" type="noConversion"/>
  </si>
  <si>
    <t>11/29(금)~
11/30(토)</t>
    <phoneticPr fontId="2" type="noConversion"/>
  </si>
  <si>
    <t>더베스트솔루션(6)</t>
    <phoneticPr fontId="2" type="noConversion"/>
  </si>
  <si>
    <t>포장반 지원</t>
    <phoneticPr fontId="2" type="noConversion"/>
  </si>
  <si>
    <t>포장반 지원(47주 누락분)</t>
    <phoneticPr fontId="2" type="noConversion"/>
  </si>
  <si>
    <t>(2T) 덴소 / 포장</t>
    <phoneticPr fontId="2" type="noConversion"/>
  </si>
  <si>
    <t>코멘트 사항</t>
    <phoneticPr fontId="2" type="noConversion"/>
  </si>
  <si>
    <t>HJSC</t>
  </si>
  <si>
    <t>승조원 교육</t>
  </si>
  <si>
    <t>CP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</si>
  <si>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</si>
  <si>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</si>
  <si>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</si>
  <si>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SWN0280
(무궁화21호)</t>
    <phoneticPr fontId="2" type="noConversion"/>
  </si>
  <si>
    <t>ASB1249</t>
    <phoneticPr fontId="2" type="noConversion"/>
  </si>
  <si>
    <t>12/2(월)~
12/6(금)</t>
    <phoneticPr fontId="2" type="noConversion"/>
  </si>
  <si>
    <t>시운전 / 자체테스트</t>
    <phoneticPr fontId="2" type="noConversion"/>
  </si>
  <si>
    <t>덴소 / 포장</t>
    <phoneticPr fontId="2" type="noConversion"/>
  </si>
  <si>
    <t>(P)TELE LEG CYL PIN 교체(브라켓 절단 사상 용접)</t>
    <phoneticPr fontId="2" type="noConversion"/>
  </si>
  <si>
    <t>12/3(화),
12/4(수)</t>
    <phoneticPr fontId="2" type="noConversion"/>
  </si>
  <si>
    <t>12/5(목)~
12/6(금)</t>
    <phoneticPr fontId="2" type="noConversion"/>
  </si>
  <si>
    <t>더베스트솔루션(3)</t>
    <phoneticPr fontId="2" type="noConversion"/>
  </si>
  <si>
    <t>마스텍
중공업</t>
    <phoneticPr fontId="2" type="noConversion"/>
  </si>
  <si>
    <t>SN2598</t>
    <phoneticPr fontId="2" type="noConversion"/>
  </si>
  <si>
    <t>HH, PV</t>
    <phoneticPr fontId="2" type="noConversion"/>
  </si>
  <si>
    <t>HOC</t>
    <phoneticPr fontId="2" type="noConversion"/>
  </si>
  <si>
    <t>WIRE RIGGING</t>
    <phoneticPr fontId="2" type="noConversion"/>
  </si>
  <si>
    <t>SN2619</t>
    <phoneticPr fontId="2" type="noConversion"/>
  </si>
  <si>
    <t>조립 / 설치 / 시운전</t>
    <phoneticPr fontId="2" type="noConversion"/>
  </si>
  <si>
    <t>12/9(월)~
12/13(금)</t>
    <phoneticPr fontId="2" type="noConversion"/>
  </si>
  <si>
    <t>작업</t>
    <phoneticPr fontId="2" type="noConversion"/>
  </si>
  <si>
    <t>장소</t>
    <phoneticPr fontId="2" type="noConversion"/>
  </si>
  <si>
    <t>검사종류 / 고객요청사항</t>
    <phoneticPr fontId="2" type="noConversion"/>
  </si>
  <si>
    <t>12/9(월)~
12/10(화)</t>
    <phoneticPr fontId="2" type="noConversion"/>
  </si>
  <si>
    <t>(S)TELE LEG CYL PIN 교체(브라켓 절단 사상 용접)</t>
    <phoneticPr fontId="2" type="noConversion"/>
  </si>
  <si>
    <t>조립반 지원 (긴급투입-48주 누락분)</t>
    <phoneticPr fontId="2" type="noConversion"/>
  </si>
  <si>
    <t>RING PLATFORM R/BAR 휘어짐 수정
및 도장 수정</t>
    <phoneticPr fontId="2" type="noConversion"/>
  </si>
  <si>
    <t>납품 불량 및 코멘트 사항
(생산관리-&gt;전국화물구상권 청구 예정)</t>
    <phoneticPr fontId="2" type="noConversion"/>
  </si>
  <si>
    <t>우신(4), *진진(2)</t>
    <phoneticPr fontId="2" type="noConversion"/>
  </si>
  <si>
    <t>개선 사항(도면 개정 - PIN에 GREASE LINE 추가)
*이시맥 기장 빙모상으로 박성용기장 한화 3306-25T FAT외 투입, 이에 직영 → 진진으로 대체 
(교체 총 4일 소요 품의 49주 2일 50주 2일)</t>
    <phoneticPr fontId="2" type="noConversion"/>
  </si>
  <si>
    <t>녹발생 명판 교체 작업, 
고착된 캠플로워 베어링 교체</t>
    <phoneticPr fontId="2" type="noConversion"/>
  </si>
  <si>
    <t>HH,CMR</t>
    <phoneticPr fontId="2" type="noConversion"/>
  </si>
  <si>
    <t>SLEWING LIMIT VALVE 세팅 문제점 관련 점검/
CMR 래더 수정</t>
    <phoneticPr fontId="2" type="noConversion"/>
  </si>
  <si>
    <t>김해공장</t>
    <phoneticPr fontId="2" type="noConversion"/>
  </si>
  <si>
    <t>A/S</t>
    <phoneticPr fontId="2" type="noConversion"/>
  </si>
  <si>
    <t>아시아조선</t>
    <phoneticPr fontId="2" type="noConversion"/>
  </si>
  <si>
    <t>12/16(월)~
12/17(화)</t>
    <phoneticPr fontId="2" type="noConversion"/>
  </si>
  <si>
    <t>LUFFING WINCH 해체/조립</t>
    <phoneticPr fontId="2" type="noConversion"/>
  </si>
  <si>
    <t>12/18(수)~
12/20(금)</t>
    <phoneticPr fontId="2" type="noConversion"/>
  </si>
  <si>
    <t>결선 점검, 커미셔닝</t>
    <phoneticPr fontId="2" type="noConversion"/>
  </si>
  <si>
    <t>코멘트 사항 (긴급 투입)</t>
    <phoneticPr fontId="2" type="noConversion"/>
  </si>
  <si>
    <t>리미트 스트라이크 위지 수정</t>
    <phoneticPr fontId="2" type="noConversion"/>
  </si>
  <si>
    <t>도면 불량 (-긴급 투입
도면 변경 요청 예정)</t>
    <phoneticPr fontId="2" type="noConversion"/>
  </si>
  <si>
    <t>WHEEL HOUSE 통신 연결 작업 외 커미셔닝</t>
    <phoneticPr fontId="2" type="noConversion"/>
  </si>
  <si>
    <t>범양(1), 동아(1)</t>
    <phoneticPr fontId="2" type="noConversion"/>
  </si>
  <si>
    <t>WINCH 호스 피팅 녹제거/ 덴소 교체 /
호스 글자 제거</t>
    <phoneticPr fontId="2" type="noConversion"/>
  </si>
  <si>
    <t>계약 사항 (YARD긴급 요청)</t>
    <phoneticPr fontId="2" type="noConversion"/>
  </si>
  <si>
    <t xml:space="preserve">계약 사항 </t>
    <phoneticPr fontId="2" type="noConversion"/>
  </si>
  <si>
    <t>조립반 지원 (전류 부적합)</t>
    <phoneticPr fontId="2" type="noConversion"/>
  </si>
  <si>
    <t>12/23(월)~
12/24(화)</t>
    <phoneticPr fontId="2" type="noConversion"/>
  </si>
  <si>
    <t>12/26(목)~
12/27(금)</t>
    <phoneticPr fontId="2" type="noConversion"/>
  </si>
  <si>
    <t>MRS114</t>
    <phoneticPr fontId="2" type="noConversion"/>
  </si>
  <si>
    <t>SWN0284</t>
    <phoneticPr fontId="2" type="noConversion"/>
  </si>
  <si>
    <t>HH,PV,CMR</t>
    <phoneticPr fontId="2" type="noConversion"/>
  </si>
  <si>
    <t xml:space="preserve">코멘트 조치(도장수정, 케이블 보호조치 및 바인딩, 모터 니플 핀 타입 교체, P/D가스켓교체 외) </t>
    <phoneticPr fontId="2" type="noConversion"/>
  </si>
  <si>
    <t>12/27(금)~
12/28(토)</t>
    <phoneticPr fontId="2" type="noConversion"/>
  </si>
  <si>
    <t>피팅 교체 및 덴소작업</t>
    <phoneticPr fontId="2" type="noConversion"/>
  </si>
  <si>
    <t>12/30,31~
1/2,1/3</t>
    <phoneticPr fontId="2" type="noConversion"/>
  </si>
  <si>
    <t>아이앤지(최기추4)</t>
    <phoneticPr fontId="2" type="noConversion"/>
  </si>
  <si>
    <t>KING POST 분해 및 조립(베어링 교체)</t>
    <phoneticPr fontId="2" type="noConversion"/>
  </si>
  <si>
    <t>조립반 지원(수직 테스트 중 진동 소음 발생)</t>
    <phoneticPr fontId="2" type="noConversion"/>
  </si>
  <si>
    <t>(5대)WIRE 꼬임 수정 조치</t>
    <phoneticPr fontId="2" type="noConversion"/>
  </si>
  <si>
    <t>좌/우현 Dirve Ass'y 설치</t>
    <phoneticPr fontId="2" type="noConversion"/>
  </si>
  <si>
    <t>1/6(월)</t>
    <phoneticPr fontId="2" type="noConversion"/>
  </si>
  <si>
    <t>(6.5T,9T) 해체 지원</t>
    <phoneticPr fontId="2" type="noConversion"/>
  </si>
  <si>
    <t>1/7(화)</t>
    <phoneticPr fontId="2" type="noConversion"/>
  </si>
  <si>
    <t>1/8(수)~
1/10(금)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</si>
  <si>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</si>
  <si>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</si>
  <si>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</si>
  <si>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</si>
  <si>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(6.5T,9T) 덴소 / 포장</t>
    <phoneticPr fontId="2" type="noConversion"/>
  </si>
  <si>
    <t>시운전/ 자체테스트 / FAT 지원</t>
    <phoneticPr fontId="2" type="noConversion"/>
  </si>
  <si>
    <t>1/9(목)~
1/10(금)</t>
    <phoneticPr fontId="2" type="noConversion"/>
  </si>
  <si>
    <t>YARD 설치 지원(사유: CNM납품지연)</t>
    <phoneticPr fontId="2" type="noConversion"/>
  </si>
  <si>
    <t>우현 Dirve Ass'y 설치</t>
    <phoneticPr fontId="2" type="noConversion"/>
  </si>
  <si>
    <t>1/13(월)~
1/14(화)</t>
    <phoneticPr fontId="2" type="noConversion"/>
  </si>
  <si>
    <t>설치 / 시운전 지원</t>
    <phoneticPr fontId="2" type="noConversion"/>
  </si>
  <si>
    <t>1/15(수)~
1/17(금)</t>
    <phoneticPr fontId="2" type="noConversion"/>
  </si>
  <si>
    <t>TEST P/D 철거</t>
    <phoneticPr fontId="2" type="noConversion"/>
  </si>
  <si>
    <t>1/17(금)~
1/18(토)</t>
    <phoneticPr fontId="2" type="noConversion"/>
  </si>
  <si>
    <t>H2519</t>
    <phoneticPr fontId="2" type="noConversion"/>
  </si>
  <si>
    <t>TEST P/D 설치 용접</t>
    <phoneticPr fontId="2" type="noConversion"/>
  </si>
  <si>
    <t>YARD 설치 지원(사유: CNM납품지연)
*설치 시 YARD간섭부위 다수발생으로 작업기간연장
(예상)1DAY 2M/D → (실제)2DAY 4M/D
1/8(수) 2M/D(품의완료), 1/9(목) 2M/D(현품의)</t>
    <phoneticPr fontId="2" type="noConversion"/>
  </si>
  <si>
    <t>SN2651</t>
    <phoneticPr fontId="2" type="noConversion"/>
  </si>
  <si>
    <t>1/20(월)~
1/22(수)</t>
    <phoneticPr fontId="2" type="noConversion"/>
  </si>
  <si>
    <t>1/23(목)~
1/24(금)</t>
    <phoneticPr fontId="2" type="noConversion"/>
  </si>
  <si>
    <t>1/21(화)~
1/22(수)</t>
    <phoneticPr fontId="2" type="noConversion"/>
  </si>
  <si>
    <t>RB/KT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</si>
  <si>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</si>
  <si>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</si>
  <si>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</si>
  <si>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</si>
  <si>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</si>
  <si>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</si>
  <si>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2/3(월)~
2/4(화)</t>
    <phoneticPr fontId="2" type="noConversion"/>
  </si>
  <si>
    <t>2/5(수)~
2/7(금)</t>
    <phoneticPr fontId="2" type="noConversion"/>
  </si>
  <si>
    <t>2/5(수)~
2/6(목)</t>
    <phoneticPr fontId="2" type="noConversion"/>
  </si>
  <si>
    <t>서영진</t>
    <phoneticPr fontId="2" type="noConversion"/>
  </si>
  <si>
    <t>판넬 설치 지원</t>
    <phoneticPr fontId="2" type="noConversion"/>
  </si>
  <si>
    <t>YARD 설치 지원(사유: 납품지연, 납기 24년 8월)</t>
    <phoneticPr fontId="2" type="noConversion"/>
  </si>
  <si>
    <t>최용욱</t>
    <phoneticPr fontId="2" type="noConversion"/>
  </si>
  <si>
    <t>커미셔닝(유압 점검)</t>
    <phoneticPr fontId="2" type="noConversion"/>
  </si>
  <si>
    <t>쇼트 검사 지원 (감독관 요청사항)</t>
    <phoneticPr fontId="2" type="noConversion"/>
  </si>
  <si>
    <t>자제테스트 / 검사지원</t>
    <phoneticPr fontId="2" type="noConversion"/>
  </si>
  <si>
    <t>2/10(월)~
2/11(화)</t>
    <phoneticPr fontId="2" type="noConversion"/>
  </si>
  <si>
    <t>2/12(수)~
2/14(금)</t>
    <phoneticPr fontId="2" type="noConversion"/>
  </si>
  <si>
    <t>진성마린</t>
    <phoneticPr fontId="2" type="noConversion"/>
  </si>
  <si>
    <t>(DAVIT ARM 2)쇼트검사 지원(사상/용접)</t>
    <phoneticPr fontId="2" type="noConversion"/>
  </si>
  <si>
    <t>DIS</t>
    <phoneticPr fontId="2" type="noConversion"/>
  </si>
  <si>
    <t>HJSC</t>
    <phoneticPr fontId="2" type="noConversion"/>
  </si>
  <si>
    <t>S205</t>
    <phoneticPr fontId="2" type="noConversion"/>
  </si>
  <si>
    <t>진진(2), 동아(2)</t>
    <phoneticPr fontId="2" type="noConversion"/>
  </si>
  <si>
    <t>DOG ASS'Y 수정작업</t>
    <phoneticPr fontId="2" type="noConversion"/>
  </si>
  <si>
    <t>김해공장</t>
    <phoneticPr fontId="2" type="noConversion"/>
  </si>
  <si>
    <t>A/S</t>
    <phoneticPr fontId="2" type="noConversion"/>
  </si>
  <si>
    <t>2/17(월)</t>
  </si>
  <si>
    <t>SN2619</t>
  </si>
  <si>
    <t>조립 지원</t>
  </si>
  <si>
    <t>아이앤지(최기추1)</t>
  </si>
  <si>
    <t>쇼트 검사 지원 (감독관 요청사항)</t>
  </si>
  <si>
    <t>2/18(화)</t>
  </si>
  <si>
    <t>H2519</t>
  </si>
  <si>
    <t>(HH) FAT 및 해체작업</t>
  </si>
  <si>
    <t>2/19(수)~</t>
  </si>
  <si>
    <t>2/20(목)</t>
  </si>
  <si>
    <t>2/21(금)</t>
  </si>
  <si>
    <t>설치 지원</t>
  </si>
  <si>
    <t>2/17(월)~</t>
  </si>
  <si>
    <t>SN2651</t>
  </si>
  <si>
    <t>더베스트솔루션(4)</t>
  </si>
  <si>
    <t>김해공장</t>
    <phoneticPr fontId="2" type="noConversion"/>
  </si>
  <si>
    <t>김해공장</t>
    <phoneticPr fontId="2" type="noConversion"/>
  </si>
  <si>
    <t>2/11(화)</t>
  </si>
  <si>
    <t>시험평가 입회</t>
  </si>
  <si>
    <t>계약사항 (2/11 박성용 기장 연차)</t>
  </si>
  <si>
    <t>(영도)</t>
  </si>
  <si>
    <t> 누유 및 붐대 휘어짐 &amp; 맨홀 볼트 간섭 관련 긴급 점검 (오후 출동, 입항 후 점검 요청 (18:00))</t>
  </si>
  <si>
    <t>보증수리사항(긴급 점검 요청)</t>
  </si>
  <si>
    <t>2/24(월)</t>
  </si>
  <si>
    <t>와이어 리깅 및 시운전 지원</t>
  </si>
  <si>
    <t>2/25(화)</t>
  </si>
  <si>
    <t>(20T) TEST P/D 철거</t>
  </si>
  <si>
    <t>2/26(수)~</t>
  </si>
  <si>
    <t>H1197</t>
  </si>
  <si>
    <t>TEST P/D 설치 용접</t>
  </si>
  <si>
    <t>2/28(금)</t>
  </si>
  <si>
    <t>S205</t>
  </si>
  <si>
    <t>2/27(목)</t>
  </si>
  <si>
    <t>철거</t>
  </si>
  <si>
    <t>3/5(수)~
3/7(금)</t>
    <phoneticPr fontId="2" type="noConversion"/>
  </si>
  <si>
    <t>SN2519</t>
    <phoneticPr fontId="2" type="noConversion"/>
  </si>
  <si>
    <t>납품반지원</t>
    <phoneticPr fontId="2" type="noConversion"/>
  </si>
  <si>
    <t>유니버셜조인트 교체(길이 오류) 및 
코멘트 처리(P/D내부 케이블 추가 고정)</t>
    <phoneticPr fontId="2" type="noConversion"/>
  </si>
  <si>
    <t>유니버셜 조인트 오납품(원인 파악 중) 및 선주 코멘트</t>
    <phoneticPr fontId="2" type="noConversion"/>
  </si>
  <si>
    <t>(#1) 재조립</t>
    <phoneticPr fontId="2" type="noConversion"/>
  </si>
  <si>
    <t>조립 / 설치지원</t>
    <phoneticPr fontId="2" type="noConversion"/>
  </si>
  <si>
    <t>S187</t>
    <phoneticPr fontId="2" type="noConversion"/>
  </si>
  <si>
    <t>3/11(화)~
3/12(수)</t>
    <phoneticPr fontId="2" type="noConversion"/>
  </si>
  <si>
    <t>3/13(목)~
3/14(금)</t>
    <phoneticPr fontId="2" type="noConversion"/>
  </si>
  <si>
    <t>외주(최기추2)</t>
    <phoneticPr fontId="2" type="noConversion"/>
  </si>
  <si>
    <t>3/11(화)~
3/13(목)</t>
    <phoneticPr fontId="2" type="noConversion"/>
  </si>
  <si>
    <t>(20T) 덴소/ 포장</t>
    <phoneticPr fontId="2" type="noConversion"/>
  </si>
  <si>
    <t>3/8(토),
3/10(월)</t>
    <phoneticPr fontId="2" type="noConversion"/>
  </si>
  <si>
    <t>개선사항(개정도에 의한 작업)</t>
    <phoneticPr fontId="2" type="noConversion"/>
  </si>
  <si>
    <t>(20T)P/F외 조립작업</t>
    <phoneticPr fontId="2" type="noConversion"/>
  </si>
  <si>
    <r>
      <rPr>
        <sz val="10"/>
        <rFont val="돋움"/>
        <family val="3"/>
        <charset val="129"/>
      </rPr>
      <t>쇼트검사</t>
    </r>
    <r>
      <rPr>
        <sz val="10"/>
        <rFont val="Arial"/>
        <family val="2"/>
      </rPr>
      <t xml:space="preserve"> </t>
    </r>
    <phoneticPr fontId="2" type="noConversion"/>
  </si>
  <si>
    <t>    1,000,000</t>
    <phoneticPr fontId="2" type="noConversion"/>
  </si>
  <si>
    <t>3/17(월)~
3/18(화)</t>
    <phoneticPr fontId="2" type="noConversion"/>
  </si>
  <si>
    <t>(#1) 시운전 / 자체테스트</t>
    <phoneticPr fontId="2" type="noConversion"/>
  </si>
  <si>
    <t>3/19(수)~
3/20(목)</t>
    <phoneticPr fontId="2" type="noConversion"/>
  </si>
  <si>
    <t>외주(최기추3)</t>
    <phoneticPr fontId="2" type="noConversion"/>
  </si>
  <si>
    <t>3/19(수)~
3/21(목)</t>
    <phoneticPr fontId="2" type="noConversion"/>
  </si>
  <si>
    <t>3/18(화)~
3/20(목)</t>
    <phoneticPr fontId="2" type="noConversion"/>
  </si>
  <si>
    <t>YARD 설치 지원</t>
    <phoneticPr fontId="2" type="noConversion"/>
  </si>
  <si>
    <t>박성용, 김은효</t>
    <phoneticPr fontId="2" type="noConversion"/>
  </si>
  <si>
    <t>외주(최기추1)</t>
    <phoneticPr fontId="2" type="noConversion"/>
  </si>
  <si>
    <t>FAT / 해체 지원</t>
    <phoneticPr fontId="2" type="noConversion"/>
  </si>
  <si>
    <t>3/25(화)~
3/27(목)</t>
    <phoneticPr fontId="2" type="noConversion"/>
  </si>
  <si>
    <t>(TC)리모트 컨트롤러 점검 / (WD) 작동 중 배전반 전원 차단 관련 점검 / (CP)리모트 작동 불량 외</t>
    <phoneticPr fontId="2" type="noConversion"/>
  </si>
  <si>
    <t>김해공장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</si>
  <si>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</si>
  <si>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</si>
  <si>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</si>
  <si>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</si>
  <si>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계약사항(P/D, U/P&amp;JIB 분리납품으로 인한 작업)</t>
    <phoneticPr fontId="2" type="noConversion"/>
  </si>
  <si>
    <t>TC,WD,CP</t>
    <phoneticPr fontId="2" type="noConversion"/>
  </si>
  <si>
    <t>평가 입회 (기능 평가 및 LOAD TEST)</t>
    <phoneticPr fontId="2" type="noConversion"/>
  </si>
  <si>
    <t>김은효</t>
    <phoneticPr fontId="2" type="noConversion"/>
  </si>
  <si>
    <t>동아(1), 진진(2)</t>
    <phoneticPr fontId="2" type="noConversion"/>
  </si>
  <si>
    <t>외주(최기추2)</t>
    <phoneticPr fontId="2" type="noConversion"/>
  </si>
  <si>
    <t xml:space="preserve"> #1 해체 / 코멘트 처리 지원</t>
    <phoneticPr fontId="2" type="noConversion"/>
  </si>
  <si>
    <t xml:space="preserve"> #2 조립 지원</t>
    <phoneticPr fontId="2" type="noConversion"/>
  </si>
  <si>
    <t>송영국</t>
    <phoneticPr fontId="2" type="noConversion"/>
  </si>
  <si>
    <t>4/2(수)~
4/4(금)</t>
    <phoneticPr fontId="2" type="noConversion"/>
  </si>
  <si>
    <t>더베스트솔루션(6)</t>
    <phoneticPr fontId="2" type="noConversion"/>
  </si>
  <si>
    <t>선주 코멘트 사항 ( FULL LOAD 시 소음 발생)</t>
    <phoneticPr fontId="2" type="noConversion"/>
  </si>
  <si>
    <t>3/31(월)~
4/1(화)</t>
    <phoneticPr fontId="2" type="noConversion"/>
  </si>
  <si>
    <t>포장반 지원 (강지원 직장 퇴사에 따른 인력 보강)</t>
    <phoneticPr fontId="2" type="noConversion"/>
  </si>
  <si>
    <t>(S) PUMP 이상 점검 및 
(S&amp;P)코멘트 처리(WIRE 꼬임 해결, 호스 보호 조치)</t>
    <phoneticPr fontId="2" type="noConversion"/>
  </si>
  <si>
    <t>3/30(일)~
4/3(목)</t>
    <phoneticPr fontId="2" type="noConversion"/>
  </si>
  <si>
    <t>결선 체크 및 와이어 리깅</t>
    <phoneticPr fontId="2" type="noConversion"/>
  </si>
  <si>
    <t>선주 코멘트 사항 ( FULL LOAD 시 소음 발생 - 문제 PUMP 업체에 원인분석 요청 예정)</t>
    <phoneticPr fontId="2" type="noConversion"/>
  </si>
  <si>
    <t>해상 (자체/공식) 시운전 입회
[자체 (3/31 AM 03:40 승선, 4/1 PM 6 시경 하선) / 
공식 (4/2 AM 03:40 승선 4/3 PM 6 시경 하선)]</t>
    <phoneticPr fontId="2" type="noConversion"/>
  </si>
  <si>
    <t>우신(3)</t>
    <phoneticPr fontId="2" type="noConversion"/>
  </si>
  <si>
    <t>(S) PUMP 교체 및 테스트 및 
(S&amp;P) 코멘트 처리 (그리스니쁠 J/R 터치 수정 외)</t>
    <phoneticPr fontId="2" type="noConversion"/>
  </si>
  <si>
    <t>계약사항
(우신1명 4박 5일 / 일요일 &amp; 조출 &amp; 잔업 포함)</t>
    <phoneticPr fontId="2" type="noConversion"/>
  </si>
  <si>
    <t>더베스트솔루션(11)</t>
    <phoneticPr fontId="2" type="noConversion"/>
  </si>
  <si>
    <t>A/S</t>
    <phoneticPr fontId="2" type="noConversion"/>
  </si>
  <si>
    <t>컨트롤 밸브 커버 누유 관련 조치</t>
    <phoneticPr fontId="2" type="noConversion"/>
  </si>
  <si>
    <t>보증수리
(WIRE ROPE 소선 손상으로 수정 가공을 위한 해체)</t>
    <phoneticPr fontId="2" type="noConversion"/>
  </si>
  <si>
    <t>도지성</t>
    <phoneticPr fontId="2" type="noConversion"/>
  </si>
  <si>
    <t>진진(2), 우신(1)</t>
    <phoneticPr fontId="2" type="noConversion"/>
  </si>
  <si>
    <t>박성용,김은효</t>
    <phoneticPr fontId="2" type="noConversion"/>
  </si>
  <si>
    <t>자체테스트 (기능 평가 및 LOAD TEST)</t>
    <phoneticPr fontId="2" type="noConversion"/>
  </si>
  <si>
    <t>KN-222003-KT FAT</t>
    <phoneticPr fontId="2" type="noConversion"/>
  </si>
  <si>
    <t>SHI-SN2651-HH 포장</t>
    <phoneticPr fontId="2" type="noConversion"/>
  </si>
  <si>
    <t>SKMT-GNN0018-ML 조립</t>
    <phoneticPr fontId="2" type="noConversion"/>
  </si>
  <si>
    <t>HJSC-S199-CS 조립</t>
    <phoneticPr fontId="2" type="noConversion"/>
  </si>
  <si>
    <t>HJSC-S199-CS 조립</t>
    <phoneticPr fontId="2" type="noConversion"/>
  </si>
  <si>
    <t>LWN-H2519-DC 해체</t>
    <phoneticPr fontId="2" type="noConversion"/>
  </si>
  <si>
    <t>CSBC-H1197-DC 설치</t>
    <phoneticPr fontId="2" type="noConversion"/>
  </si>
  <si>
    <t>SKMT-GNN0018-RD 자체테스트</t>
    <phoneticPr fontId="2" type="noConversion"/>
  </si>
  <si>
    <t>GNN0018</t>
    <phoneticPr fontId="2" type="noConversion"/>
  </si>
  <si>
    <t>4/7(월)~
4/8(화)</t>
    <phoneticPr fontId="2" type="noConversion"/>
  </si>
  <si>
    <t>4/9(수)~
4/11(금)</t>
    <phoneticPr fontId="2" type="noConversion"/>
  </si>
  <si>
    <t xml:space="preserve"> #2 설치 지원</t>
    <phoneticPr fontId="2" type="noConversion"/>
  </si>
  <si>
    <t>보증수리 사항(메인판넬 휴즈 단락으로 인한
업리미트 불가 상태로 작동 중 와이어 손상)</t>
    <phoneticPr fontId="2" type="noConversion"/>
  </si>
  <si>
    <t>보증수리
(WIRE ROPE 소선 가공후 설치)</t>
    <phoneticPr fontId="2" type="noConversion"/>
  </si>
  <si>
    <t>포장반 지원 (강지원 직장 퇴사에 따른 인력 보충)</t>
    <phoneticPr fontId="2" type="noConversion"/>
  </si>
  <si>
    <t>4/8(화)~
4/11(금)</t>
    <phoneticPr fontId="2" type="noConversion"/>
  </si>
  <si>
    <t>HIO(8)</t>
    <phoneticPr fontId="2" type="noConversion"/>
  </si>
  <si>
    <t>김해공장</t>
    <phoneticPr fontId="2" type="noConversion"/>
  </si>
  <si>
    <t>A/S</t>
    <phoneticPr fontId="2" type="noConversion"/>
  </si>
  <si>
    <t>HIO(1)</t>
    <phoneticPr fontId="2" type="noConversion"/>
  </si>
  <si>
    <t>전광진,박성용, 도지성</t>
    <phoneticPr fontId="2" type="noConversion"/>
  </si>
  <si>
    <t>4/15(화)~
4/17(목)</t>
    <phoneticPr fontId="2" type="noConversion"/>
  </si>
  <si>
    <t>4/18(금)~
4/19(토)</t>
    <phoneticPr fontId="2" type="noConversion"/>
  </si>
  <si>
    <t>4/16수)~
4/17(목)</t>
    <phoneticPr fontId="2" type="noConversion"/>
  </si>
  <si>
    <t>4/17(목)~
4/18(금)</t>
    <phoneticPr fontId="2" type="noConversion"/>
  </si>
  <si>
    <t>SB687</t>
    <phoneticPr fontId="2" type="noConversion"/>
  </si>
  <si>
    <t>설치 / 시운전 /자체테스트 지원</t>
    <phoneticPr fontId="2" type="noConversion"/>
  </si>
  <si>
    <r>
      <t>포장반 지원</t>
    </r>
    <r>
      <rPr>
        <b/>
        <sz val="10"/>
        <rFont val="맑은 고딕"/>
        <family val="3"/>
        <charset val="129"/>
        <scheme val="minor"/>
      </rPr>
      <t xml:space="preserve"> (강지원 직장 퇴사에 따른 인력 보충)</t>
    </r>
    <phoneticPr fontId="2" type="noConversion"/>
  </si>
  <si>
    <r>
      <t xml:space="preserve">포장반 지원 </t>
    </r>
    <r>
      <rPr>
        <b/>
        <sz val="10"/>
        <rFont val="맑은 고딕"/>
        <family val="3"/>
        <charset val="129"/>
        <scheme val="minor"/>
      </rPr>
      <t>(강지원 직장 퇴사에 따른 인력 보충)</t>
    </r>
    <phoneticPr fontId="2" type="noConversion"/>
  </si>
  <si>
    <t>HIO(2)</t>
    <phoneticPr fontId="2" type="noConversion"/>
  </si>
  <si>
    <t>DST(목포)</t>
    <phoneticPr fontId="2" type="noConversion"/>
  </si>
  <si>
    <t>RB/TC</t>
    <phoneticPr fontId="2" type="noConversion"/>
  </si>
  <si>
    <t>보증수리(DOCKING HEAD LATCH 작동불가 관련 테스트, 엄빌리컬 휨 관련 조치 방안 모색 등)</t>
    <phoneticPr fontId="2" type="noConversion"/>
  </si>
  <si>
    <t>DOCKING HEAD 실린더 압력 테스트 및
오일 쿨러 라인 누유 관련 해결 조치</t>
    <phoneticPr fontId="2" type="noConversion"/>
  </si>
  <si>
    <t>4/21(월)
4/22(화)</t>
    <phoneticPr fontId="2" type="noConversion"/>
  </si>
  <si>
    <t>4/22(화)~
4/24(목)</t>
    <phoneticPr fontId="2" type="noConversion"/>
  </si>
  <si>
    <t>진진(6)</t>
    <phoneticPr fontId="2" type="noConversion"/>
  </si>
  <si>
    <t>와이어 재정렬 작업(텐션기 사용)</t>
    <phoneticPr fontId="2" type="noConversion"/>
  </si>
  <si>
    <t>4/21(월)~
4/23(수)</t>
    <phoneticPr fontId="2" type="noConversion"/>
  </si>
  <si>
    <t>4/24(목)~
4/25(금)</t>
    <phoneticPr fontId="2" type="noConversion"/>
  </si>
  <si>
    <t>#2 시운전 지원</t>
    <phoneticPr fontId="2" type="noConversion"/>
  </si>
  <si>
    <t>#2 자체TEST 지원</t>
    <phoneticPr fontId="2" type="noConversion"/>
  </si>
  <si>
    <t>검사 입회 (HPU 선납으로 과부하 검사 및 FAT 미진행 부분 포함 전체 온보드 검사)</t>
    <phoneticPr fontId="2" type="noConversion"/>
  </si>
  <si>
    <t>보증수리 사항 (WIRE 추가 난권(틈이 벌어진 상태로 감김) 현상 발생으로 관련 조치)</t>
    <phoneticPr fontId="2" type="noConversion"/>
  </si>
  <si>
    <t>(도어간섭으로 인한) 실런더 커플링 체결 &amp; 패드 간격 조절 / 시운전 / 승조원 교육 (2박 3일)</t>
    <phoneticPr fontId="2" type="noConversion"/>
  </si>
  <si>
    <t>ROVL</t>
    <phoneticPr fontId="2" type="noConversion"/>
  </si>
  <si>
    <t>#2 FAT / 해체 지원</t>
    <phoneticPr fontId="2" type="noConversion"/>
  </si>
  <si>
    <t>4/28(월)~
4/29(화)</t>
    <phoneticPr fontId="2" type="noConversion"/>
  </si>
  <si>
    <t>4/30(수),
5/2(금)</t>
    <phoneticPr fontId="2" type="noConversion"/>
  </si>
  <si>
    <t>RB</t>
    <phoneticPr fontId="2" type="noConversion"/>
  </si>
  <si>
    <t>범양(최기추2)</t>
    <phoneticPr fontId="2" type="noConversion"/>
  </si>
  <si>
    <t>덴소/ 포장</t>
    <phoneticPr fontId="2" type="noConversion"/>
  </si>
  <si>
    <t>#3 조립 지원</t>
    <phoneticPr fontId="2" type="noConversion"/>
  </si>
  <si>
    <t>MESSENGER WIRE 설치</t>
    <phoneticPr fontId="2" type="noConversion"/>
  </si>
  <si>
    <t>4/28(월)~
4/30(수)</t>
    <phoneticPr fontId="2" type="noConversion"/>
  </si>
  <si>
    <t>MESSENGER WIRE 본선 설치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</si>
  <si>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</si>
  <si>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</si>
  <si>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</si>
  <si>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r>
      <t xml:space="preserve">진진(2), </t>
    </r>
    <r>
      <rPr>
        <sz val="10"/>
        <color rgb="FF0000FF"/>
        <rFont val="맑은 고딕"/>
        <family val="3"/>
        <charset val="129"/>
        <scheme val="minor"/>
      </rPr>
      <t>우신(1)</t>
    </r>
    <phoneticPr fontId="2" type="noConversion"/>
  </si>
  <si>
    <t>(2T) BOOM REST 용접수정 (코멘트 사항)</t>
    <phoneticPr fontId="2" type="noConversion"/>
  </si>
  <si>
    <t>컨테이너 작업</t>
    <phoneticPr fontId="2" type="noConversion"/>
  </si>
  <si>
    <t>5/8(목)~
5/9(금)</t>
    <phoneticPr fontId="2" type="noConversion"/>
  </si>
  <si>
    <t>범양(최기추3)</t>
    <phoneticPr fontId="2" type="noConversion"/>
  </si>
  <si>
    <t>5/7(수)~
5/9(금)</t>
    <phoneticPr fontId="2" type="noConversion"/>
  </si>
  <si>
    <t>김해공장</t>
    <phoneticPr fontId="2" type="noConversion"/>
  </si>
  <si>
    <t>박성용,김은효</t>
    <phoneticPr fontId="2" type="noConversion"/>
  </si>
  <si>
    <t>오승만,김은효</t>
    <phoneticPr fontId="2" type="noConversion"/>
  </si>
  <si>
    <r>
      <t>SN26</t>
    </r>
    <r>
      <rPr>
        <b/>
        <sz val="10"/>
        <color theme="1"/>
        <rFont val="맑은 고딕"/>
        <family val="3"/>
        <charset val="129"/>
        <scheme val="minor"/>
      </rPr>
      <t>51</t>
    </r>
    <phoneticPr fontId="2" type="noConversion"/>
  </si>
  <si>
    <t>4/7(월)~
4/8(화)</t>
    <phoneticPr fontId="2" type="noConversion"/>
  </si>
  <si>
    <t>우신(2) -&gt;범양</t>
    <phoneticPr fontId="2" type="noConversion"/>
  </si>
  <si>
    <t>외주(2) -&gt;범양</t>
    <phoneticPr fontId="2" type="noConversion"/>
  </si>
  <si>
    <t>5/12(월)~
5/14(수)</t>
    <phoneticPr fontId="2" type="noConversion"/>
  </si>
  <si>
    <t>5/15(목)~
5/16(금)</t>
    <phoneticPr fontId="2" type="noConversion"/>
  </si>
  <si>
    <t>S200</t>
    <phoneticPr fontId="2" type="noConversion"/>
  </si>
  <si>
    <t>설치 / 시운전/ 자체테스트 지원</t>
    <phoneticPr fontId="2" type="noConversion"/>
  </si>
  <si>
    <t>5/12(월)~
5/13(화)</t>
    <phoneticPr fontId="2" type="noConversion"/>
  </si>
  <si>
    <t>5/14(수)~
5/16(금)</t>
    <phoneticPr fontId="2" type="noConversion"/>
  </si>
  <si>
    <t>#2 포장 지원</t>
    <phoneticPr fontId="2" type="noConversion"/>
  </si>
  <si>
    <t>ROCKING TEST(오전 9시 30분~)</t>
    <phoneticPr fontId="2" type="noConversion"/>
  </si>
  <si>
    <t>보트 배관 간섭 &amp; 시트 유격 발생 관련 패드 설치 / 시운전 / 승조원 교육 / (TC) 인버터 세팅 외</t>
    <phoneticPr fontId="2" type="noConversion"/>
  </si>
  <si>
    <t>계약사항 (동아 별도 혐의 필요)</t>
    <phoneticPr fontId="2" type="noConversion"/>
  </si>
  <si>
    <t>H7064</t>
    <phoneticPr fontId="2" type="noConversion"/>
  </si>
  <si>
    <t xml:space="preserve">텐션기 지게차 상하차 가능토록 </t>
    <phoneticPr fontId="2" type="noConversion"/>
  </si>
  <si>
    <t>다대포해경정비창</t>
    <phoneticPr fontId="2" type="noConversion"/>
  </si>
  <si>
    <t>해수쿨러 유압 배관 및 조인트 배관 추가 누유 조치</t>
    <phoneticPr fontId="2" type="noConversion"/>
  </si>
  <si>
    <t>(P)MESSENGER WIRE 설치</t>
    <phoneticPr fontId="2" type="noConversion"/>
  </si>
  <si>
    <t xml:space="preserve">보트 배관 간섭 &amp; 시트 유격 발생 관련 패드 설치 / 시운전 / 승조원 교육 </t>
    <phoneticPr fontId="2" type="noConversion"/>
  </si>
  <si>
    <t>외주(5)</t>
    <phoneticPr fontId="2" type="noConversion"/>
  </si>
  <si>
    <t>5/19(월)~
5/21(수)</t>
    <phoneticPr fontId="2" type="noConversion"/>
  </si>
  <si>
    <t>5/19(월)~
5/23(금)</t>
    <phoneticPr fontId="2" type="noConversion"/>
  </si>
  <si>
    <t>5/22(목)~
5/23(금)</t>
    <phoneticPr fontId="2" type="noConversion"/>
  </si>
  <si>
    <t>P172</t>
    <phoneticPr fontId="2" type="noConversion"/>
  </si>
  <si>
    <t>계약사항 (2M/D 추가)
(우천으로 보트 시트 용접 및 교육 연기5/16→5/17),
일정 연장(1박2일(5/15~16) → 2박 3일(5/15~5/17))</t>
    <phoneticPr fontId="2" type="noConversion"/>
  </si>
  <si>
    <t>(미확정) 해수쿨러 유압 배관 및 조인트 배관 추가 누유 조치</t>
    <phoneticPr fontId="2" type="noConversion"/>
  </si>
  <si>
    <t>우신(1), 동아(1)</t>
    <phoneticPr fontId="2" type="noConversion"/>
  </si>
  <si>
    <t>보증수리(손상 호스/ 볼트 / 맨홀 가스켓 교체)</t>
    <phoneticPr fontId="2" type="noConversion"/>
  </si>
  <si>
    <t>5/26(월)~
5/29(수)</t>
    <phoneticPr fontId="2" type="noConversion"/>
  </si>
  <si>
    <t>5/29(목)~
5/30(금)</t>
    <phoneticPr fontId="2" type="noConversion"/>
  </si>
  <si>
    <t>(TOWING BOOM) 시운전/ 자체테스트 지원</t>
    <phoneticPr fontId="2" type="noConversion"/>
  </si>
  <si>
    <t>5/26(월)~
5/31(금)</t>
    <phoneticPr fontId="2" type="noConversion"/>
  </si>
  <si>
    <t>SWN0289</t>
    <phoneticPr fontId="2" type="noConversion"/>
  </si>
  <si>
    <t>5/27(화)~
5/28(수)</t>
    <phoneticPr fontId="2" type="noConversion"/>
  </si>
  <si>
    <t>SWN0289
/H1279/H1197</t>
    <phoneticPr fontId="2" type="noConversion"/>
  </si>
  <si>
    <t>RB/FDC/DC</t>
    <phoneticPr fontId="2" type="noConversion"/>
  </si>
  <si>
    <t>(SWN0289,H1279) 포장, (H1197)  #2컨테이너 작업</t>
    <phoneticPr fontId="2" type="noConversion"/>
  </si>
  <si>
    <t>보증수리 사항(보증수리 기한~'25/5/31)</t>
    <phoneticPr fontId="2" type="noConversion"/>
  </si>
  <si>
    <t>현장 점검</t>
    <phoneticPr fontId="2" type="noConversion"/>
  </si>
  <si>
    <t>T/B,DC</t>
    <phoneticPr fontId="2" type="noConversion"/>
  </si>
  <si>
    <t>S205/222003/H1197</t>
    <phoneticPr fontId="2" type="noConversion"/>
  </si>
  <si>
    <t>SN2661</t>
    <phoneticPr fontId="2" type="noConversion"/>
  </si>
  <si>
    <t>LAC</t>
    <phoneticPr fontId="2" type="noConversion"/>
  </si>
  <si>
    <t>TEST P/D 용접 및 MOTOR SEAT 수정 외</t>
    <phoneticPr fontId="2" type="noConversion"/>
  </si>
  <si>
    <t>6/4(목)~
6/5(금)</t>
    <phoneticPr fontId="2" type="noConversion"/>
  </si>
  <si>
    <t>6/2(월)</t>
    <phoneticPr fontId="2" type="noConversion"/>
  </si>
  <si>
    <t>범양(최기추1)</t>
    <phoneticPr fontId="2" type="noConversion"/>
  </si>
  <si>
    <t>설치 및 시운전</t>
    <phoneticPr fontId="2" type="noConversion"/>
  </si>
  <si>
    <t xml:space="preserve">(S205,222003) TOWING BOOM 코멘트 처리 및 포장(H1197) #2상차 작업 </t>
    <phoneticPr fontId="2" type="noConversion"/>
  </si>
  <si>
    <t>6/2(월),6/4(목)~6/5(금)</t>
    <phoneticPr fontId="2" type="noConversion"/>
  </si>
  <si>
    <t>사전 점검</t>
    <phoneticPr fontId="2" type="noConversion"/>
  </si>
  <si>
    <t>6/4(수) ~
6/5(목)</t>
    <phoneticPr fontId="2" type="noConversion"/>
  </si>
  <si>
    <t>보트 시트 유격 발생 관련 추가 패드 설치 / 시운전 / 승조원 교육 / (TC) UP LIMIT 터치 시 모터 트립 되는 문제점 관련 점검 및 조치</t>
    <phoneticPr fontId="2" type="noConversion"/>
  </si>
  <si>
    <t>계약사항 / 문제점 점검 및 조치
진진 2M/D 50만원, 동아 2M/D 60만원 
조치 완료 후 동아 비용 별도 협의 필요(구매)</t>
    <phoneticPr fontId="2" type="noConversion"/>
  </si>
  <si>
    <t>보트 탑재 지원</t>
    <phoneticPr fontId="2" type="noConversion"/>
  </si>
  <si>
    <t>코멘트 처리 (STOPPER 설치 수정 용접, RUBBER설치, 도장수정 외)/ 자체테스트</t>
    <phoneticPr fontId="2" type="noConversion"/>
  </si>
  <si>
    <t>6/10(화)~
6/11(수)</t>
    <phoneticPr fontId="2" type="noConversion"/>
  </si>
  <si>
    <t>(T/B) 코멘트 처리 (BOOM SEAT용접 외)</t>
    <phoneticPr fontId="2" type="noConversion"/>
  </si>
  <si>
    <t>6/12(목)~
6/13(금)</t>
    <phoneticPr fontId="2" type="noConversion"/>
  </si>
  <si>
    <t>6/9(월)~
6/12(목)</t>
    <phoneticPr fontId="2" type="noConversion"/>
  </si>
  <si>
    <t>222003/GNN0018/P172/H1197</t>
    <phoneticPr fontId="2" type="noConversion"/>
  </si>
  <si>
    <t>RB/ML/DC</t>
    <phoneticPr fontId="2" type="noConversion"/>
  </si>
  <si>
    <t>(TOWING BOOM) 포장, (ML) 포장, (P172 RAIL) 포장, (#3) 코멘트 처리</t>
    <phoneticPr fontId="2" type="noConversion"/>
  </si>
  <si>
    <t>김해공장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</si>
  <si>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</si>
  <si>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</si>
  <si>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</si>
  <si>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</si>
  <si>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</si>
  <si>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</si>
  <si>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</si>
  <si>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ON BOARD 검사 입회</t>
    <phoneticPr fontId="2" type="noConversion"/>
  </si>
  <si>
    <t>우신(1')</t>
    <phoneticPr fontId="2" type="noConversion"/>
  </si>
  <si>
    <t>#3 포장</t>
    <phoneticPr fontId="2" type="noConversion"/>
  </si>
  <si>
    <t>DC</t>
    <phoneticPr fontId="2" type="noConversion"/>
  </si>
  <si>
    <t>6/16(월)~
6/19(수)</t>
    <phoneticPr fontId="2" type="noConversion"/>
  </si>
  <si>
    <t>6/20(목)~
6/21(금)</t>
    <phoneticPr fontId="2" type="noConversion"/>
  </si>
  <si>
    <t>S201</t>
    <phoneticPr fontId="2" type="noConversion"/>
  </si>
  <si>
    <t>6/17(화)~
6/20(금)</t>
    <phoneticPr fontId="2" type="noConversion"/>
  </si>
  <si>
    <t>외주(4)</t>
    <phoneticPr fontId="2" type="noConversion"/>
  </si>
  <si>
    <t>코멘트 처리 / 커미셔닝</t>
    <phoneticPr fontId="2" type="noConversion"/>
  </si>
  <si>
    <t>코멘트 처리(RAIL 그리스도포,RUBBER 설치, RAIL GAP 조절, 판넬 클리닝 외) / 
테스트 (브레이크 세팅 외)</t>
    <phoneticPr fontId="2" type="noConversion"/>
  </si>
  <si>
    <t>3. 생산담당 직영 연차</t>
  </si>
  <si>
    <t>(WINCH) 설치 및 시운전</t>
    <phoneticPr fontId="2" type="noConversion"/>
  </si>
  <si>
    <t>커미셔닝(메신저 와이어 길이 오류, 스토퍼 수정 재설치 외)</t>
    <phoneticPr fontId="2" type="noConversion"/>
  </si>
  <si>
    <t>코멘트 처리 (브레이크 조정, 가이드 롤러 교체 외)</t>
    <phoneticPr fontId="2" type="noConversion"/>
  </si>
  <si>
    <t>P178</t>
    <phoneticPr fontId="2" type="noConversion"/>
  </si>
  <si>
    <t>6/23(월)~
6/25(수)</t>
    <phoneticPr fontId="2" type="noConversion"/>
  </si>
  <si>
    <t>6/26(목)~
6/27(금)</t>
    <phoneticPr fontId="2" type="noConversion"/>
  </si>
  <si>
    <t>설치 / 시운전</t>
    <phoneticPr fontId="2" type="noConversion"/>
  </si>
  <si>
    <t>BR</t>
    <phoneticPr fontId="2" type="noConversion"/>
  </si>
  <si>
    <t>6/23(월)~
6/24(화)</t>
    <phoneticPr fontId="2" type="noConversion"/>
  </si>
  <si>
    <t>LAC</t>
    <phoneticPr fontId="2" type="noConversion"/>
  </si>
  <si>
    <t>PLATFORM 수정작업</t>
    <phoneticPr fontId="2" type="noConversion"/>
  </si>
  <si>
    <t>설치 / 수정 작업</t>
    <phoneticPr fontId="2" type="noConversion"/>
  </si>
  <si>
    <t xml:space="preserve">코멘트 사항 </t>
    <phoneticPr fontId="2" type="noConversion"/>
  </si>
  <si>
    <t>계약사항</t>
    <phoneticPr fontId="2" type="noConversion"/>
  </si>
  <si>
    <t>실행예산내</t>
    <phoneticPr fontId="2" type="noConversion"/>
  </si>
  <si>
    <t>창성쇼트</t>
    <phoneticPr fontId="2" type="noConversion"/>
  </si>
  <si>
    <t>6/25(수)~
6/27(금)</t>
    <phoneticPr fontId="2" type="noConversion"/>
  </si>
  <si>
    <t>(MAIN RAMP) HINGE 조립 외 포장</t>
    <phoneticPr fontId="2" type="noConversion"/>
  </si>
  <si>
    <t>와이어링 기술 지원</t>
    <phoneticPr fontId="2" type="noConversion"/>
  </si>
  <si>
    <t>우신(1)</t>
    <phoneticPr fontId="2" type="noConversion"/>
  </si>
  <si>
    <t>MANIFOLD 누유 관련 조치</t>
    <phoneticPr fontId="2" type="noConversion"/>
  </si>
  <si>
    <t>27주</t>
    <phoneticPr fontId="2" type="noConversion"/>
  </si>
  <si>
    <t>DOCKING HEAD RUBBER 교체</t>
    <phoneticPr fontId="2" type="noConversion"/>
  </si>
  <si>
    <t xml:space="preserve">인도후 </t>
    <phoneticPr fontId="2" type="noConversion"/>
  </si>
  <si>
    <t>박성용</t>
    <phoneticPr fontId="2" type="noConversion"/>
  </si>
  <si>
    <t>ON BOARD 검사 입회</t>
    <phoneticPr fontId="2" type="noConversion"/>
  </si>
  <si>
    <t>광양항</t>
    <phoneticPr fontId="2" type="noConversion"/>
  </si>
  <si>
    <t>우신(1)</t>
    <phoneticPr fontId="2" type="noConversion"/>
  </si>
  <si>
    <t>H4070</t>
    <phoneticPr fontId="2" type="noConversion"/>
  </si>
  <si>
    <t>PV</t>
    <phoneticPr fontId="2" type="noConversion"/>
  </si>
  <si>
    <t>인천항</t>
    <phoneticPr fontId="2" type="noConversion"/>
  </si>
  <si>
    <t>H4071</t>
    <phoneticPr fontId="2" type="noConversion"/>
  </si>
  <si>
    <t>박성용</t>
    <phoneticPr fontId="2" type="noConversion"/>
  </si>
  <si>
    <t>외주(1)</t>
    <phoneticPr fontId="2" type="noConversion"/>
  </si>
  <si>
    <t>PANC-H4071-PV-SP1</t>
  </si>
  <si>
    <t>HHI</t>
    <phoneticPr fontId="2" type="noConversion"/>
  </si>
  <si>
    <t>P169</t>
    <phoneticPr fontId="2" type="noConversion"/>
  </si>
  <si>
    <t>HHD</t>
    <phoneticPr fontId="2" type="noConversion"/>
  </si>
  <si>
    <t>씨앤엠(5)</t>
    <phoneticPr fontId="2" type="noConversion"/>
  </si>
  <si>
    <t>SLEWING LIMIT SWITCH(SHAFT&amp;GEAR포함) 신품 교체</t>
    <phoneticPr fontId="2" type="noConversion"/>
  </si>
  <si>
    <t xml:space="preserve">좌현 DOOR PANEL #1 수정 작업 및 설치 </t>
    <phoneticPr fontId="2" type="noConversion"/>
  </si>
  <si>
    <t>GNN0019</t>
    <phoneticPr fontId="2" type="noConversion"/>
  </si>
  <si>
    <t>RD</t>
    <phoneticPr fontId="2" type="noConversion"/>
  </si>
  <si>
    <t>재조립</t>
    <phoneticPr fontId="2" type="noConversion"/>
  </si>
  <si>
    <t>범양(최기추4)</t>
    <phoneticPr fontId="2" type="noConversion"/>
  </si>
  <si>
    <t>조립 / 설치 (용접)</t>
    <phoneticPr fontId="2" type="noConversion"/>
  </si>
  <si>
    <t>HOC-H7064-BR</t>
    <phoneticPr fontId="2" type="noConversion"/>
  </si>
  <si>
    <t>HOC-H7064-BR 재조립</t>
    <phoneticPr fontId="2" type="noConversion"/>
  </si>
  <si>
    <t>SKMT-GNN0019-RD 설치</t>
    <phoneticPr fontId="2" type="noConversion"/>
  </si>
  <si>
    <t>HHI-P178-HOC 조립</t>
    <phoneticPr fontId="2" type="noConversion"/>
  </si>
  <si>
    <t>HHI-P172-ML 자체테스트</t>
    <phoneticPr fontId="2" type="noConversion"/>
  </si>
  <si>
    <t>YNT-YN04-PV  조립</t>
    <phoneticPr fontId="2" type="noConversion"/>
  </si>
  <si>
    <t>HID-1566-ER 시운전</t>
    <phoneticPr fontId="2" type="noConversion"/>
  </si>
  <si>
    <t>HID-1566-ER 자체테스트</t>
    <phoneticPr fontId="2" type="noConversion"/>
  </si>
  <si>
    <t>H7064/SN2661</t>
    <phoneticPr fontId="2" type="noConversion"/>
  </si>
  <si>
    <t>BR/LAC</t>
    <phoneticPr fontId="2" type="noConversion"/>
  </si>
  <si>
    <t>송영국</t>
    <phoneticPr fontId="2" type="noConversion"/>
  </si>
  <si>
    <t>6/24(화)~
6/27(금)</t>
    <phoneticPr fontId="2" type="noConversion"/>
  </si>
  <si>
    <t>우신(2), HIO(4)</t>
    <phoneticPr fontId="2" type="noConversion"/>
  </si>
  <si>
    <t>설치 작업 (플랫폼,보강앵글,그레이팅탭홀 작업외)</t>
    <phoneticPr fontId="2" type="noConversion"/>
  </si>
  <si>
    <t>우신(2)</t>
    <phoneticPr fontId="2" type="noConversion"/>
  </si>
  <si>
    <t>H7064/P178</t>
    <phoneticPr fontId="2" type="noConversion"/>
  </si>
  <si>
    <t>BR/PE</t>
    <phoneticPr fontId="2" type="noConversion"/>
  </si>
  <si>
    <t xml:space="preserve">커플링 분해 / TRUNK 내부 GUIDE BAR 해체 </t>
    <phoneticPr fontId="2" type="noConversion"/>
  </si>
  <si>
    <t>진진(1), 우신(1)</t>
    <phoneticPr fontId="2" type="noConversion"/>
  </si>
  <si>
    <t>실행예산내</t>
    <phoneticPr fontId="2" type="noConversion"/>
  </si>
  <si>
    <t>진진(1), 디에스티(1)</t>
    <phoneticPr fontId="2" type="noConversion"/>
  </si>
  <si>
    <t>외주(4)</t>
    <phoneticPr fontId="2" type="noConversion"/>
  </si>
  <si>
    <t>7/1(화)~
7/4(금)</t>
    <phoneticPr fontId="2" type="noConversion"/>
  </si>
  <si>
    <t>커미셔닝(자체 웨이트 검사 외)</t>
    <phoneticPr fontId="2" type="noConversion"/>
  </si>
  <si>
    <t>커미셔닝 (유압 라인 체크 외 작동테스트)</t>
    <phoneticPr fontId="2" type="noConversion"/>
  </si>
  <si>
    <t>누유 조치 (컨트롤밸브 커버 교체)</t>
    <phoneticPr fontId="2" type="noConversion"/>
  </si>
  <si>
    <t>조립반 지원 (26주 긴급지원 추가분)</t>
    <phoneticPr fontId="2" type="noConversion"/>
  </si>
  <si>
    <t>GUIDE ROLLER#2 / CABLE GUIDE SUPPORT
수정품 설치 / 결선 수정</t>
    <phoneticPr fontId="2" type="noConversion"/>
  </si>
  <si>
    <t>포장반 지원 (26주 긴급지원 추가분)</t>
    <phoneticPr fontId="2" type="noConversion"/>
  </si>
  <si>
    <t>6/30(월)~7/1(화),
7/3(목)~7/4(금)</t>
    <phoneticPr fontId="2" type="noConversion"/>
  </si>
  <si>
    <t>도면 오작 (HOIST 주행 중 간섭으로 설계 변경)</t>
    <phoneticPr fontId="2" type="noConversion"/>
  </si>
  <si>
    <t>HHI</t>
    <phoneticPr fontId="2" type="noConversion"/>
  </si>
  <si>
    <t>진진(2)</t>
    <phoneticPr fontId="2" type="noConversion"/>
  </si>
  <si>
    <t>(P) 커미셔닝 
(리미트시트 위치 조정 / 케이블 타이 변경 외)</t>
    <phoneticPr fontId="2" type="noConversion"/>
  </si>
  <si>
    <t>(S) 커미셔닝 
(리미트시트 위치 조정 / 케이블 타이 변경 외)</t>
    <phoneticPr fontId="2" type="noConversion"/>
  </si>
  <si>
    <t>계약사항  (26주 긴급지원 추가분)</t>
    <phoneticPr fontId="2" type="noConversion"/>
  </si>
  <si>
    <t>긴급 조치 사항</t>
    <phoneticPr fontId="2" type="noConversion"/>
  </si>
  <si>
    <t>(MAIN RAMP) HINGE PIN 조립 외 납품준비</t>
    <phoneticPr fontId="2" type="noConversion"/>
  </si>
  <si>
    <t>MAIN RAMP, PULLY STAND 포장, 상차/ (P/D)포장</t>
    <phoneticPr fontId="2" type="noConversion"/>
  </si>
  <si>
    <t>창성/
김해공장</t>
    <phoneticPr fontId="2" type="noConversion"/>
  </si>
  <si>
    <r>
      <t xml:space="preserve">* </t>
    </r>
    <r>
      <rPr>
        <sz val="14"/>
        <color theme="1"/>
        <rFont val="돋움"/>
        <family val="3"/>
        <charset val="129"/>
      </rPr>
      <t>김은효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돋움"/>
        <family val="3"/>
        <charset val="129"/>
      </rPr>
      <t>주임</t>
    </r>
    <r>
      <rPr>
        <sz val="14"/>
        <color theme="1"/>
        <rFont val="Arial"/>
        <family val="2"/>
      </rPr>
      <t xml:space="preserve"> (A/S) : 6/23(</t>
    </r>
    <r>
      <rPr>
        <sz val="14"/>
        <color theme="1"/>
        <rFont val="돋움"/>
        <family val="3"/>
        <charset val="129"/>
      </rPr>
      <t>월</t>
    </r>
    <r>
      <rPr>
        <sz val="14"/>
        <color theme="1"/>
        <rFont val="Arial"/>
        <family val="2"/>
      </rPr>
      <t>)~6/27(</t>
    </r>
    <r>
      <rPr>
        <sz val="14"/>
        <color theme="1"/>
        <rFont val="돋움"/>
        <family val="3"/>
        <charset val="129"/>
      </rPr>
      <t>금</t>
    </r>
    <r>
      <rPr>
        <sz val="14"/>
        <color theme="1"/>
        <rFont val="Arial"/>
        <family val="2"/>
      </rPr>
      <t xml:space="preserve">) - </t>
    </r>
    <r>
      <rPr>
        <sz val="14"/>
        <color theme="1"/>
        <rFont val="돋움"/>
        <family val="3"/>
        <charset val="129"/>
      </rPr>
      <t>병원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돋움"/>
        <family val="3"/>
        <charset val="129"/>
      </rPr>
      <t>입원</t>
    </r>
    <phoneticPr fontId="2" type="noConversion"/>
  </si>
  <si>
    <t>실행예산내</t>
    <phoneticPr fontId="2" type="noConversion"/>
  </si>
  <si>
    <t>6/30(월)~
7/1(화)</t>
    <phoneticPr fontId="2" type="noConversion"/>
  </si>
  <si>
    <t>오일탱크 청소 / 실린더 앵글 해체 / 토르크 작업</t>
    <phoneticPr fontId="2" type="noConversion"/>
  </si>
  <si>
    <t>HIO(3)</t>
    <phoneticPr fontId="2" type="noConversion"/>
  </si>
  <si>
    <t>씨앤엠(1),진진(1)</t>
    <phoneticPr fontId="2" type="noConversion"/>
  </si>
  <si>
    <t>ML, HOC</t>
    <phoneticPr fontId="2" type="noConversion"/>
  </si>
  <si>
    <t>ML이탈방지 루버 2EA설치 &amp; 본선 자체테스트</t>
    <phoneticPr fontId="2" type="noConversion"/>
  </si>
  <si>
    <t>개인차</t>
    <phoneticPr fontId="2" type="noConversion"/>
  </si>
  <si>
    <t>S188</t>
    <phoneticPr fontId="2" type="noConversion"/>
  </si>
  <si>
    <t>커미셔닝(기계조립, 전기 CHECK)</t>
    <phoneticPr fontId="2" type="noConversion"/>
  </si>
  <si>
    <t>(SSM DOOR) LINK 설치</t>
    <phoneticPr fontId="2" type="noConversion"/>
  </si>
  <si>
    <t>HIO(1)</t>
    <phoneticPr fontId="2" type="noConversion"/>
  </si>
  <si>
    <t>WINCH 납품 준비(시트 조립 외)</t>
    <phoneticPr fontId="2" type="noConversion"/>
  </si>
  <si>
    <t>포장반 지원 (27주 긴급지원 추가분)</t>
    <phoneticPr fontId="2" type="noConversion"/>
  </si>
  <si>
    <t>7/7(월)~
7/11(금)</t>
    <phoneticPr fontId="2" type="noConversion"/>
  </si>
  <si>
    <t>김해공장/
창성</t>
    <phoneticPr fontId="2" type="noConversion"/>
  </si>
  <si>
    <t>조립반 지원</t>
    <phoneticPr fontId="2" type="noConversion"/>
  </si>
  <si>
    <t>시운전 / 자체테스트 지원</t>
    <phoneticPr fontId="2" type="noConversion"/>
  </si>
  <si>
    <t>7/7(월)~7/8(화)</t>
    <phoneticPr fontId="2" type="noConversion"/>
  </si>
  <si>
    <t>개정도 수정 작업(센서 시트 외)</t>
    <phoneticPr fontId="2" type="noConversion"/>
  </si>
  <si>
    <t>YN04</t>
    <phoneticPr fontId="2" type="noConversion"/>
  </si>
  <si>
    <t>조립</t>
    <phoneticPr fontId="2" type="noConversion"/>
  </si>
  <si>
    <t>BR</t>
    <phoneticPr fontId="2" type="noConversion"/>
  </si>
  <si>
    <t>(MOTOR) 특수성능 준비 작업</t>
    <phoneticPr fontId="2" type="noConversion"/>
  </si>
  <si>
    <t>JIB P/F 본체 간섭 관련 수정작업</t>
    <phoneticPr fontId="2" type="noConversion"/>
  </si>
  <si>
    <t>7/10(목)~
7/11(금)</t>
    <phoneticPr fontId="2" type="noConversion"/>
  </si>
  <si>
    <t>포장반 지원 (27주 긴급지원 추가분)- 도면 변경</t>
    <phoneticPr fontId="2" type="noConversion"/>
  </si>
  <si>
    <t>포장반 지원 - 도면 변경</t>
    <phoneticPr fontId="2" type="noConversion"/>
  </si>
  <si>
    <t>P172/H7064
SN2661</t>
    <phoneticPr fontId="2" type="noConversion"/>
  </si>
  <si>
    <t>ML/RAMP
/LAC</t>
    <phoneticPr fontId="2" type="noConversion"/>
  </si>
  <si>
    <t>포장 / HINGE PIN 조립 외 / P/D납품준비</t>
    <phoneticPr fontId="2" type="noConversion"/>
  </si>
  <si>
    <t>7/9(수)</t>
    <phoneticPr fontId="2" type="noConversion"/>
  </si>
  <si>
    <t>7/10(목)~7/11(금)</t>
    <phoneticPr fontId="2" type="noConversion"/>
  </si>
  <si>
    <t>범양(최기추2),HIO(2)</t>
    <phoneticPr fontId="2" type="noConversion"/>
  </si>
  <si>
    <r>
      <t xml:space="preserve">조립반 지원
</t>
    </r>
    <r>
      <rPr>
        <b/>
        <sz val="10"/>
        <rFont val="맑은 고딕"/>
        <family val="3"/>
        <charset val="129"/>
        <scheme val="minor"/>
      </rPr>
      <t>(장유승 기장 대만 출장에 다른 인력 보충)</t>
    </r>
    <phoneticPr fontId="2" type="noConversion"/>
  </si>
  <si>
    <t>7/7(월)~
7/11(금)</t>
    <phoneticPr fontId="2" type="noConversion"/>
  </si>
  <si>
    <t>범양(5)</t>
    <phoneticPr fontId="2" type="noConversion"/>
  </si>
  <si>
    <t>설치 기술 지원 (근접 센서 시트 설치 외)</t>
    <phoneticPr fontId="2" type="noConversion"/>
  </si>
  <si>
    <t>설치 기술 지원 (오전 안전교육 4시간 후 점검)</t>
    <phoneticPr fontId="2" type="noConversion"/>
  </si>
  <si>
    <t>품의서 후 발주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</si>
  <si>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</si>
  <si>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</si>
  <si>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</si>
  <si>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</si>
  <si>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</si>
  <si>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범양(최기추1)</t>
    <phoneticPr fontId="2" type="noConversion"/>
  </si>
  <si>
    <t>맨홀 OPEN 시 RING P/F 간섭 관련 수정 용접</t>
    <phoneticPr fontId="2" type="noConversion"/>
  </si>
  <si>
    <t>외주(1)</t>
    <phoneticPr fontId="2" type="noConversion"/>
  </si>
  <si>
    <t>(FLAP) 쇼트 검사 지원 (사상/용접)</t>
    <phoneticPr fontId="2" type="noConversion"/>
  </si>
  <si>
    <r>
      <t xml:space="preserve">검사 지원 </t>
    </r>
    <r>
      <rPr>
        <sz val="10"/>
        <color rgb="FF0000FF"/>
        <rFont val="맑은 고딕"/>
        <family val="3"/>
        <charset val="129"/>
        <scheme val="minor"/>
      </rPr>
      <t xml:space="preserve"> (실행예산내)</t>
    </r>
    <phoneticPr fontId="2" type="noConversion"/>
  </si>
  <si>
    <r>
      <t xml:space="preserve">계약사항 </t>
    </r>
    <r>
      <rPr>
        <sz val="10"/>
        <color rgb="FF0000FF"/>
        <rFont val="맑은 고딕"/>
        <family val="3"/>
        <charset val="129"/>
        <scheme val="minor"/>
      </rPr>
      <t>(실행예산내)</t>
    </r>
    <phoneticPr fontId="2" type="noConversion"/>
  </si>
  <si>
    <r>
      <t xml:space="preserve">조립반 지원 </t>
    </r>
    <r>
      <rPr>
        <sz val="10"/>
        <color rgb="FF0000FF"/>
        <rFont val="맑은 고딕"/>
        <family val="3"/>
        <charset val="129"/>
        <scheme val="minor"/>
      </rPr>
      <t>(실행예산내)</t>
    </r>
    <r>
      <rPr>
        <sz val="10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  <scheme val="minor"/>
      </rPr>
      <t>(HIO-&gt;장유승 기장 대만 출장에 다른 인력 보충)</t>
    </r>
    <phoneticPr fontId="2" type="noConversion"/>
  </si>
  <si>
    <t>진해해군</t>
    <phoneticPr fontId="2" type="noConversion"/>
  </si>
  <si>
    <t>무상</t>
    <phoneticPr fontId="2" type="noConversion"/>
  </si>
  <si>
    <t>HOC</t>
    <phoneticPr fontId="2" type="noConversion"/>
  </si>
  <si>
    <t>PANEL 본선 설치</t>
    <phoneticPr fontId="2" type="noConversion"/>
  </si>
  <si>
    <t>개인차</t>
    <phoneticPr fontId="2" type="noConversion"/>
  </si>
  <si>
    <t>우신(2), 동아(1)</t>
    <phoneticPr fontId="2" type="noConversion"/>
  </si>
  <si>
    <t>ML</t>
    <phoneticPr fontId="2" type="noConversion"/>
  </si>
  <si>
    <t>RB</t>
    <phoneticPr fontId="2" type="noConversion"/>
  </si>
  <si>
    <t>박성용</t>
    <phoneticPr fontId="2" type="noConversion"/>
  </si>
  <si>
    <t>동아(1)</t>
    <phoneticPr fontId="2" type="noConversion"/>
  </si>
  <si>
    <t>최용욱</t>
  </si>
  <si>
    <t>YN04</t>
  </si>
  <si>
    <t>조립 / 시운전 / 자체 테스트</t>
  </si>
  <si>
    <t>7/14(월)</t>
  </si>
  <si>
    <t>P178</t>
  </si>
  <si>
    <t>JIG 조립 및 납품 준비</t>
  </si>
  <si>
    <t>진성</t>
  </si>
  <si>
    <t>PE</t>
  </si>
  <si>
    <t>(KING POST, TRUNK) 쇼트 검사 지원 (사상/용접)</t>
  </si>
  <si>
    <t>S188</t>
  </si>
  <si>
    <t>BSR</t>
  </si>
  <si>
    <t>커미셔닝(기계조립, 전기 CHECK)</t>
  </si>
  <si>
    <t>우신(3)</t>
  </si>
  <si>
    <t>7/10(목)</t>
  </si>
  <si>
    <t>원격 비상정지 관련 조치</t>
  </si>
  <si>
    <t>7/11(금)</t>
  </si>
  <si>
    <t>GNN0017</t>
  </si>
  <si>
    <t>설치 기술 지원 / S.T.W</t>
  </si>
  <si>
    <t>SW</t>
  </si>
  <si>
    <t>RB/KT</t>
  </si>
  <si>
    <t>진진(6), 디에스티(2)</t>
  </si>
  <si>
    <t>커미셔닝(기계조립 외) / 검사입회</t>
  </si>
  <si>
    <t>P172</t>
  </si>
  <si>
    <t>우신(2), HIO(1)</t>
  </si>
  <si>
    <t>P169</t>
    <phoneticPr fontId="2" type="noConversion"/>
  </si>
  <si>
    <t>검사입회</t>
    <phoneticPr fontId="2" type="noConversion"/>
  </si>
  <si>
    <t>박성용</t>
    <phoneticPr fontId="2" type="noConversion"/>
  </si>
  <si>
    <t>외주(1)</t>
    <phoneticPr fontId="2" type="noConversion"/>
  </si>
  <si>
    <t>CNM(1)</t>
    <phoneticPr fontId="2" type="noConversion"/>
  </si>
  <si>
    <t>DST(1)</t>
    <phoneticPr fontId="2" type="noConversion"/>
  </si>
  <si>
    <t>홀 재시공 및 재설치</t>
    <phoneticPr fontId="2" type="noConversion"/>
  </si>
  <si>
    <r>
      <rPr>
        <sz val="10"/>
        <color rgb="FF000000"/>
        <rFont val="돋움"/>
        <family val="3"/>
        <charset val="129"/>
      </rPr>
      <t>우신</t>
    </r>
    <r>
      <rPr>
        <sz val="10"/>
        <color rgb="FF000000"/>
        <rFont val="Arial"/>
        <family val="2"/>
      </rPr>
      <t>(1)</t>
    </r>
    <phoneticPr fontId="2" type="noConversion"/>
  </si>
  <si>
    <t>홀 재시공 및 재설치 (터치업 페인트 준비)</t>
    <phoneticPr fontId="2" type="noConversion"/>
  </si>
  <si>
    <t>7/14(월)~</t>
  </si>
  <si>
    <t>7/18(금)</t>
  </si>
  <si>
    <t>범양(최기추5),</t>
  </si>
  <si>
    <t>  2,500,000</t>
  </si>
  <si>
    <t>조립반 지원 (실행예산 내)</t>
  </si>
  <si>
    <t>(장유승 기장 대만 출장에 다른 인력 보충)</t>
  </si>
  <si>
    <t>포장반 지원 (실행예산 내)</t>
  </si>
  <si>
    <t>쇼트 검사 지원  (실행예산 내)</t>
  </si>
  <si>
    <t>7/8(화),</t>
  </si>
  <si>
    <t>계약사항 (실행예산 내)- 27주 긴급지원</t>
  </si>
  <si>
    <t>7/16(수)</t>
  </si>
  <si>
    <t>커미셔닝(컨트롤스탠드 하부 고압 HOSE 연결 및</t>
  </si>
  <si>
    <t>BOAT SEAT 용접 / 시운전 외)</t>
  </si>
  <si>
    <t>  2,100,000</t>
  </si>
  <si>
    <t>7/17(목)</t>
  </si>
  <si>
    <t>  1,000,000</t>
  </si>
  <si>
    <t>계약사항 (실행예산 내)</t>
  </si>
  <si>
    <t>7/15(화)~</t>
  </si>
  <si>
    <t>김해공장</t>
    <phoneticPr fontId="2" type="noConversion"/>
  </si>
  <si>
    <t>SN2661</t>
  </si>
  <si>
    <t>LAC</t>
  </si>
  <si>
    <t>실린더 외 해체 지원</t>
  </si>
  <si>
    <t>HIO(2)</t>
  </si>
  <si>
    <t>7/19(토)</t>
  </si>
  <si>
    <t>H7064</t>
  </si>
  <si>
    <t>FLAP 납품지원</t>
  </si>
  <si>
    <t>HIO(1)</t>
  </si>
  <si>
    <t>7/21(월)~</t>
  </si>
  <si>
    <t>7/24(목)</t>
  </si>
  <si>
    <t>시운전 / 자체 테스트 / FAT 지원</t>
  </si>
  <si>
    <t>범양(최기추4),</t>
  </si>
  <si>
    <t>  1,500,000</t>
  </si>
  <si>
    <t>7/25(금)</t>
  </si>
  <si>
    <t>S201</t>
  </si>
  <si>
    <t>CS</t>
  </si>
  <si>
    <t>FAT 지원</t>
  </si>
  <si>
    <t>범양(최기추1)</t>
  </si>
  <si>
    <t>A/S</t>
    <phoneticPr fontId="2" type="noConversion"/>
  </si>
  <si>
    <t>7/21(월)</t>
  </si>
  <si>
    <t>모터 단자대 홀 수정품 및 CABLE GLAND 설치</t>
  </si>
  <si>
    <t>설계 오류-</t>
  </si>
  <si>
    <t>모터 단자대 홀 및 CABLE GAND 사이즈 오류</t>
  </si>
  <si>
    <t>SN2619/</t>
  </si>
  <si>
    <t>LIMIT STRIKE 길이 수정/ P/D 내부 케이블 보호 조치/ WIRE 꼬임 해결</t>
  </si>
  <si>
    <t>7/22(화)</t>
  </si>
  <si>
    <t>커미셔닝 - 리미트세팅, 결선 체크, 시운전 외</t>
  </si>
  <si>
    <t>(오전 8시 반까지 도착)</t>
  </si>
  <si>
    <t>진진(1), 동아(1)</t>
  </si>
  <si>
    <t>7/22(화)~</t>
  </si>
  <si>
    <t>7/23(수)</t>
  </si>
  <si>
    <t>코멘트 처리 / 검사 입회</t>
  </si>
  <si>
    <t>7/23(수)~</t>
  </si>
  <si>
    <t>수평 조정 / 자체테스트</t>
  </si>
  <si>
    <t>야전교육(정비창교육)</t>
  </si>
  <si>
    <t>박주성, 임상섭</t>
  </si>
  <si>
    <t>(선미) 전원 ON/OFF 작동 불가 &amp;</t>
  </si>
  <si>
    <t>(중간, 선미) 구리스 주입 불가 관련 점검</t>
  </si>
  <si>
    <t>보증 수리 사항</t>
  </si>
  <si>
    <t>7/28(월)</t>
  </si>
  <si>
    <t>용접 수정</t>
  </si>
  <si>
    <t>       250,000</t>
  </si>
  <si>
    <t>7/28(월)~</t>
  </si>
  <si>
    <t>7/29(화)</t>
  </si>
  <si>
    <t>WINCH 재설치 / 시운전 / FAT지원</t>
  </si>
  <si>
    <t>범양(최기추2)</t>
  </si>
  <si>
    <t>       500,000</t>
  </si>
  <si>
    <t>7/30(수)</t>
  </si>
  <si>
    <t>7/31(목)</t>
  </si>
  <si>
    <t>YN04/1566</t>
  </si>
  <si>
    <t>HH/PV/ER/ER</t>
  </si>
  <si>
    <t>    1,000,000</t>
  </si>
  <si>
    <t>5TON WHIGHT OVER LOAD 작동 TEST</t>
  </si>
  <si>
    <t>계약사항 - 30주 긴급지원</t>
  </si>
  <si>
    <t>보증 수리 사항 - 30주 긴급지원</t>
  </si>
  <si>
    <t>7/24(목)~</t>
  </si>
  <si>
    <t>결선 점검 / 검사 입회</t>
  </si>
  <si>
    <t>진진(2), 가야(1)</t>
  </si>
  <si>
    <t>       800,000</t>
  </si>
  <si>
    <t>(P)도킹루버헤드 교체 / (S) 카운터밸브 교체</t>
  </si>
  <si>
    <t>       300,000</t>
  </si>
  <si>
    <t>부산북항 마리나 디스펜서 설치현장</t>
  </si>
  <si>
    <t>부산항만</t>
  </si>
  <si>
    <t>AMP</t>
  </si>
  <si>
    <t>전기체크 및 시운전 (오전~)</t>
  </si>
  <si>
    <t>진진(1), 범양(1)</t>
  </si>
  <si>
    <t>       550,000</t>
  </si>
  <si>
    <t>보트 탑재 지원</t>
  </si>
  <si>
    <t>7/31(목)~</t>
  </si>
  <si>
    <t>8/2(토)</t>
  </si>
  <si>
    <t>P169</t>
  </si>
  <si>
    <t>HHD</t>
  </si>
  <si>
    <t>S.T.W (릴레이 추가 외)</t>
  </si>
  <si>
    <t>미정</t>
  </si>
  <si>
    <t>진진(3)</t>
  </si>
  <si>
    <t>       750,000</t>
  </si>
  <si>
    <t>8/6(수),8/8(금)</t>
  </si>
  <si>
    <t>ERC</t>
  </si>
  <si>
    <t>범양(최기추)(2)</t>
  </si>
  <si>
    <t>8/7(목)</t>
  </si>
  <si>
    <t>지그 도장 및 포장</t>
  </si>
  <si>
    <t>도장반 지원</t>
  </si>
  <si>
    <t>8/6(수),8/7(목),8/8(금),8/9(토)</t>
  </si>
  <si>
    <t>수정작업 및 설치</t>
  </si>
  <si>
    <t>HIO(5)</t>
  </si>
  <si>
    <t>8/6(수),8/9(토)</t>
  </si>
  <si>
    <t>도장 수정 및 포장</t>
  </si>
  <si>
    <t>8/6(수)</t>
  </si>
  <si>
    <t>OVERLOAD TEST</t>
  </si>
  <si>
    <t>진진</t>
  </si>
  <si>
    <t>8/8(금)</t>
  </si>
  <si>
    <t>왕건함</t>
  </si>
  <si>
    <t>(P) 작동유 수분유입 점검요청</t>
  </si>
  <si>
    <t>설치 기술지원</t>
  </si>
  <si>
    <t>CNM(1)</t>
  </si>
  <si>
    <t>8/9(토)</t>
  </si>
  <si>
    <t>8/11~12</t>
  </si>
  <si>
    <t>수출포장</t>
  </si>
  <si>
    <t>HIO</t>
  </si>
  <si>
    <t>8/11~16</t>
  </si>
  <si>
    <t>간섭부 수정, 시운전</t>
  </si>
  <si>
    <t>8/11~14</t>
  </si>
  <si>
    <t>범양(최기추)</t>
  </si>
  <si>
    <t>김해공장</t>
    <phoneticPr fontId="2" type="noConversion"/>
  </si>
  <si>
    <t>A/S</t>
    <phoneticPr fontId="2" type="noConversion"/>
  </si>
  <si>
    <t>인천항만</t>
  </si>
  <si>
    <t>IC02</t>
  </si>
  <si>
    <t>로드리미터 교체 (유상)</t>
  </si>
  <si>
    <t>-　</t>
  </si>
  <si>
    <t>범양</t>
  </si>
  <si>
    <t> 구매담당 발주 </t>
  </si>
  <si>
    <t>유상 A/S</t>
  </si>
  <si>
    <t>8/13(수)</t>
  </si>
  <si>
    <t>OT 검사입회 (휠하우스 조작 및 비상정지 시험) -AM 10시 평가-</t>
  </si>
  <si>
    <t>계약 사항</t>
  </si>
  <si>
    <t>8/14(목)</t>
  </si>
  <si>
    <t>ML/RB</t>
  </si>
  <si>
    <t>코멘트 조치</t>
  </si>
  <si>
    <t>우신</t>
  </si>
  <si>
    <t>락리미트 관련 회로 점검 
(열림 작동시 EMDP 작동 관련)</t>
    <phoneticPr fontId="2" type="noConversion"/>
  </si>
  <si>
    <t>코멘트 조치 및 검사준비</t>
    <phoneticPr fontId="2" type="noConversion"/>
  </si>
  <si>
    <t>광양
일반부두</t>
    <phoneticPr fontId="2" type="noConversion"/>
  </si>
  <si>
    <t>KC</t>
    <phoneticPr fontId="2" type="noConversion"/>
  </si>
  <si>
    <t>시동 OFF시 붐 처짐 현상 점검/조치</t>
    <phoneticPr fontId="2" type="noConversion"/>
  </si>
  <si>
    <t>RCS SCREEN 커미셔닝</t>
    <phoneticPr fontId="2" type="noConversion"/>
  </si>
  <si>
    <t>KT/RB</t>
    <phoneticPr fontId="2" type="noConversion"/>
  </si>
  <si>
    <t>8/18~22</t>
    <phoneticPr fontId="2" type="noConversion"/>
  </si>
  <si>
    <t>조립/설치/시운전</t>
    <phoneticPr fontId="2" type="noConversion"/>
  </si>
  <si>
    <t>범양(5)-최기추</t>
    <phoneticPr fontId="2" type="noConversion"/>
  </si>
  <si>
    <t>8/13~14</t>
    <phoneticPr fontId="2" type="noConversion"/>
  </si>
  <si>
    <t>Pully stand 전로/JB/센서 설치</t>
    <phoneticPr fontId="2" type="noConversion"/>
  </si>
  <si>
    <t>도면 변경</t>
    <phoneticPr fontId="2" type="noConversion"/>
  </si>
  <si>
    <t>8/20~21</t>
    <phoneticPr fontId="2" type="noConversion"/>
  </si>
  <si>
    <t>해상시운전 (1박2일)</t>
    <phoneticPr fontId="2" type="noConversion"/>
  </si>
  <si>
    <t>S202</t>
    <phoneticPr fontId="2" type="noConversion"/>
  </si>
  <si>
    <t>8/19~20</t>
    <phoneticPr fontId="2" type="noConversion"/>
  </si>
  <si>
    <t>8/21~22</t>
    <phoneticPr fontId="2" type="noConversion"/>
  </si>
  <si>
    <t>작동이상 점검 (8:30 해군의집)</t>
    <phoneticPr fontId="2" type="noConversion"/>
  </si>
  <si>
    <t>SSM RCS DOOR 기어이탈 및 녹발청 조치</t>
    <phoneticPr fontId="2" type="noConversion"/>
  </si>
  <si>
    <t>3017함(동해) 크레인 와이어 안전검사</t>
    <phoneticPr fontId="2" type="noConversion"/>
  </si>
  <si>
    <t>aux cranr 25톤 수정 작업</t>
    <phoneticPr fontId="2" type="noConversion"/>
  </si>
  <si>
    <t>코멘트사항 - 34주 긴급지원</t>
    <phoneticPr fontId="2" type="noConversion"/>
  </si>
  <si>
    <t>계약 사항 - 34주 긴급지원</t>
    <phoneticPr fontId="2" type="noConversion"/>
  </si>
  <si>
    <t>PV/CMR</t>
    <phoneticPr fontId="2" type="noConversion"/>
  </si>
  <si>
    <t>RSC/HHD</t>
  </si>
  <si>
    <t>코멘트사항</t>
    <phoneticPr fontId="2" type="noConversion"/>
  </si>
  <si>
    <t>SWN0290</t>
    <phoneticPr fontId="2" type="noConversion"/>
  </si>
  <si>
    <t>PA56</t>
    <phoneticPr fontId="2" type="noConversion"/>
  </si>
  <si>
    <t>L/cylinder 해체</t>
    <phoneticPr fontId="2" type="noConversion"/>
  </si>
  <si>
    <t>cylinder 설치</t>
    <phoneticPr fontId="2" type="noConversion"/>
  </si>
  <si>
    <t>8/25(월)~8/29(금)</t>
    <phoneticPr fontId="2" type="noConversion"/>
  </si>
  <si>
    <t>8/25(월)~8/27(수)</t>
    <phoneticPr fontId="2" type="noConversion"/>
  </si>
  <si>
    <t>8/28(목)~8/29(금)</t>
    <phoneticPr fontId="2" type="noConversion"/>
  </si>
  <si>
    <t>HIO(5)</t>
    <phoneticPr fontId="2" type="noConversion"/>
  </si>
  <si>
    <t>34주 지원내역</t>
    <phoneticPr fontId="2" type="noConversion"/>
  </si>
  <si>
    <t>검사지원/코멘트조치</t>
    <phoneticPr fontId="2" type="noConversion"/>
  </si>
  <si>
    <t>8/19일(화)~8/20(수)</t>
    <phoneticPr fontId="2" type="noConversion"/>
  </si>
  <si>
    <t>8/20일(수)~8/21(목)</t>
    <phoneticPr fontId="2" type="noConversion"/>
  </si>
  <si>
    <t>보트시트 현장 맞춤 작업 및 갭실측</t>
    <phoneticPr fontId="2" type="noConversion"/>
  </si>
  <si>
    <t>와이어 꼬임 조치</t>
    <phoneticPr fontId="2" type="noConversion"/>
  </si>
  <si>
    <t>정기보증수리</t>
    <phoneticPr fontId="2" type="noConversion"/>
  </si>
  <si>
    <t>구매담당발주</t>
    <phoneticPr fontId="2" type="noConversion"/>
  </si>
  <si>
    <t>Maker 결선 작업</t>
    <phoneticPr fontId="2" type="noConversion"/>
  </si>
  <si>
    <t>AS &amp; CLAIM 주간 조치 계획(2026년)</t>
    <phoneticPr fontId="2" type="noConversion"/>
  </si>
  <si>
    <t>2주</t>
    <phoneticPr fontId="2" type="noConversion"/>
  </si>
  <si>
    <t>6주</t>
    <phoneticPr fontId="2" type="noConversion"/>
  </si>
  <si>
    <t>인도전</t>
    <phoneticPr fontId="2" type="noConversion"/>
  </si>
  <si>
    <t>무상</t>
    <phoneticPr fontId="2" type="noConversion"/>
  </si>
  <si>
    <t>RB/ML</t>
    <phoneticPr fontId="2" type="noConversion"/>
  </si>
  <si>
    <t>가야(1)</t>
    <phoneticPr fontId="2" type="noConversion"/>
  </si>
  <si>
    <t>LIMIT 설치 / Seat와 Pad 결합용 Nut 교체</t>
    <phoneticPr fontId="2" type="noConversion"/>
  </si>
  <si>
    <t>1주</t>
    <phoneticPr fontId="2" type="noConversion"/>
  </si>
  <si>
    <t>P173</t>
    <phoneticPr fontId="2" type="noConversion"/>
  </si>
  <si>
    <t>ML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</si>
  <si>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</si>
  <si>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</si>
  <si>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</si>
  <si>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출입신청서류,자재,그라인더,용접기? 챙기기
REPORT 전달 / 신동수선임님께 연락하기</t>
    <phoneticPr fontId="2" type="noConversion"/>
  </si>
  <si>
    <t>P179</t>
    <phoneticPr fontId="2" type="noConversion"/>
  </si>
  <si>
    <t>A/S</t>
    <phoneticPr fontId="2" type="noConversion"/>
  </si>
  <si>
    <t>인도전</t>
    <phoneticPr fontId="2" type="noConversion"/>
  </si>
  <si>
    <t>SKMT</t>
    <phoneticPr fontId="2" type="noConversion"/>
  </si>
  <si>
    <t>RCS</t>
    <phoneticPr fontId="2" type="noConversion"/>
  </si>
  <si>
    <t>진진(3)</t>
    <phoneticPr fontId="2" type="noConversion"/>
  </si>
  <si>
    <t>인도전</t>
    <phoneticPr fontId="2" type="noConversion"/>
  </si>
  <si>
    <t>SHI</t>
    <phoneticPr fontId="2" type="noConversion"/>
  </si>
  <si>
    <t>SN2661</t>
    <phoneticPr fontId="2" type="noConversion"/>
  </si>
  <si>
    <t>SN2661</t>
    <phoneticPr fontId="2" type="noConversion"/>
  </si>
  <si>
    <t>LAC</t>
    <phoneticPr fontId="2" type="noConversion"/>
  </si>
  <si>
    <t>LAC</t>
    <phoneticPr fontId="2" type="noConversion"/>
  </si>
  <si>
    <t>우신(2),동아(3)</t>
    <phoneticPr fontId="2" type="noConversion"/>
  </si>
  <si>
    <t>김민수 su.kim@samsung.com
010-2440-4559
출입신청 하기/안전교육메일 보내기</t>
    <phoneticPr fontId="2" type="noConversion"/>
  </si>
  <si>
    <t>인도후</t>
    <phoneticPr fontId="2" type="noConversion"/>
  </si>
  <si>
    <t>진해해군</t>
    <phoneticPr fontId="2" type="noConversion"/>
  </si>
  <si>
    <t>PTCHD/
ROVL</t>
    <phoneticPr fontId="2" type="noConversion"/>
  </si>
  <si>
    <t>CNM(1),가야(1)</t>
    <phoneticPr fontId="2" type="noConversion"/>
  </si>
  <si>
    <t>A/S</t>
    <phoneticPr fontId="2" type="noConversion"/>
  </si>
  <si>
    <t>TC</t>
    <phoneticPr fontId="2" type="noConversion"/>
  </si>
  <si>
    <t>업리미트 교체,슬로윙리미트 점검</t>
    <phoneticPr fontId="2" type="noConversion"/>
  </si>
  <si>
    <t>우신(2)</t>
    <phoneticPr fontId="2" type="noConversion"/>
  </si>
  <si>
    <t>인도전</t>
    <phoneticPr fontId="2" type="noConversion"/>
  </si>
  <si>
    <t>GNN0017</t>
    <phoneticPr fontId="2" type="noConversion"/>
  </si>
  <si>
    <t>HHD</t>
    <phoneticPr fontId="2" type="noConversion"/>
  </si>
  <si>
    <t>박성용</t>
    <phoneticPr fontId="2" type="noConversion"/>
  </si>
  <si>
    <t>CNM(1)</t>
    <phoneticPr fontId="2" type="noConversion"/>
  </si>
  <si>
    <t>진해해군</t>
    <phoneticPr fontId="2" type="noConversion"/>
  </si>
  <si>
    <t>S099</t>
    <phoneticPr fontId="2" type="noConversion"/>
  </si>
  <si>
    <t>S099</t>
    <phoneticPr fontId="2" type="noConversion"/>
  </si>
  <si>
    <t>WC</t>
    <phoneticPr fontId="2" type="noConversion"/>
  </si>
  <si>
    <t>WC</t>
    <phoneticPr fontId="2" type="noConversion"/>
  </si>
  <si>
    <t>도지성</t>
    <phoneticPr fontId="2" type="noConversion"/>
  </si>
  <si>
    <t>무상</t>
    <phoneticPr fontId="2" type="noConversion"/>
  </si>
  <si>
    <t>9080</t>
    <phoneticPr fontId="2" type="noConversion"/>
  </si>
  <si>
    <t>출입신청완료
010-7395-1700 / 6급 박성민</t>
    <phoneticPr fontId="2" type="noConversion"/>
  </si>
  <si>
    <t>A/S</t>
    <phoneticPr fontId="2" type="noConversion"/>
  </si>
  <si>
    <t>GNN0017</t>
    <phoneticPr fontId="2" type="noConversion"/>
  </si>
  <si>
    <t>CNM(1)</t>
    <phoneticPr fontId="2" type="noConversion"/>
  </si>
  <si>
    <t>부산항
5부두</t>
    <phoneticPr fontId="2" type="noConversion"/>
  </si>
  <si>
    <t>SWN0284</t>
    <phoneticPr fontId="2" type="noConversion"/>
  </si>
  <si>
    <t>KT/RB</t>
    <phoneticPr fontId="2" type="noConversion"/>
  </si>
  <si>
    <t>무상</t>
    <phoneticPr fontId="2" type="noConversion"/>
  </si>
  <si>
    <t>RB</t>
    <phoneticPr fontId="2" type="noConversion"/>
  </si>
  <si>
    <t>주</t>
    <phoneticPr fontId="2" type="noConversion"/>
  </si>
  <si>
    <t>담당자</t>
    <phoneticPr fontId="2" type="noConversion"/>
  </si>
  <si>
    <t>유/무상</t>
    <phoneticPr fontId="2" type="noConversion"/>
  </si>
  <si>
    <t>차량</t>
    <phoneticPr fontId="2" type="noConversion"/>
  </si>
  <si>
    <t>출장인원</t>
    <phoneticPr fontId="2" type="noConversion"/>
  </si>
  <si>
    <t>직영연차</t>
    <phoneticPr fontId="2" type="noConversion"/>
  </si>
  <si>
    <t>비고</t>
    <phoneticPr fontId="2" type="noConversion"/>
  </si>
  <si>
    <t>2주</t>
    <phoneticPr fontId="2" type="noConversion"/>
  </si>
  <si>
    <t>A/S</t>
    <phoneticPr fontId="2" type="noConversion"/>
  </si>
  <si>
    <t>인도후</t>
    <phoneticPr fontId="2" type="noConversion"/>
  </si>
  <si>
    <t>CNM(1),우신(5)</t>
    <phoneticPr fontId="2" type="noConversion"/>
  </si>
  <si>
    <t>무상</t>
    <phoneticPr fontId="2" type="noConversion"/>
  </si>
  <si>
    <t>장현환 책임 010-7103-9818
출입신청하기/교육신청하기</t>
    <phoneticPr fontId="2" type="noConversion"/>
  </si>
  <si>
    <t>포항신항만</t>
    <phoneticPr fontId="2" type="noConversion"/>
  </si>
  <si>
    <t>DK</t>
    <phoneticPr fontId="2" type="noConversion"/>
  </si>
  <si>
    <t>DST(1)</t>
    <phoneticPr fontId="2" type="noConversion"/>
  </si>
  <si>
    <t>인도전</t>
    <phoneticPr fontId="2" type="noConversion"/>
  </si>
  <si>
    <t>HHD</t>
    <phoneticPr fontId="2" type="noConversion"/>
  </si>
  <si>
    <t>공식검사</t>
    <phoneticPr fontId="2" type="noConversion"/>
  </si>
  <si>
    <t>박성용</t>
    <phoneticPr fontId="2" type="noConversion"/>
  </si>
  <si>
    <t>CNM(1)</t>
    <phoneticPr fontId="2" type="noConversion"/>
  </si>
  <si>
    <t>SWN0283
(무궁화42호)</t>
    <phoneticPr fontId="2" type="noConversion"/>
  </si>
  <si>
    <t>RB</t>
    <phoneticPr fontId="2" type="noConversion"/>
  </si>
  <si>
    <t>직영연차</t>
    <phoneticPr fontId="2" type="noConversion"/>
  </si>
  <si>
    <t>비고</t>
    <phoneticPr fontId="2" type="noConversion"/>
  </si>
  <si>
    <t>53주</t>
    <phoneticPr fontId="2" type="noConversion"/>
  </si>
  <si>
    <t>A/S</t>
    <phoneticPr fontId="2" type="noConversion"/>
  </si>
  <si>
    <t>HJSC</t>
    <phoneticPr fontId="2" type="noConversion"/>
  </si>
  <si>
    <t>S205</t>
    <phoneticPr fontId="2" type="noConversion"/>
  </si>
  <si>
    <t>KT</t>
    <phoneticPr fontId="2" type="noConversion"/>
  </si>
  <si>
    <t>근접리미트 설치 및 결선</t>
    <phoneticPr fontId="2" type="noConversion"/>
  </si>
  <si>
    <t>우신(1),범양(1)</t>
    <phoneticPr fontId="2" type="noConversion"/>
  </si>
  <si>
    <t>장유승</t>
    <phoneticPr fontId="2" type="noConversion"/>
  </si>
  <si>
    <t>김지훈 부장님  010-2997-6258
출입신청완료(장충효 차장님)</t>
    <phoneticPr fontId="2" type="noConversion"/>
  </si>
  <si>
    <t>인도전</t>
    <phoneticPr fontId="2" type="noConversion"/>
  </si>
  <si>
    <t>SN2661</t>
    <phoneticPr fontId="2" type="noConversion"/>
  </si>
  <si>
    <t>탑재</t>
    <phoneticPr fontId="2" type="noConversion"/>
  </si>
  <si>
    <t>P169</t>
    <phoneticPr fontId="2" type="noConversion"/>
  </si>
  <si>
    <t>코멘트 작업</t>
    <phoneticPr fontId="2" type="noConversion"/>
  </si>
  <si>
    <t>CNM(2),우신(2),동아(1)</t>
    <phoneticPr fontId="2" type="noConversion"/>
  </si>
  <si>
    <t>이재양책임님  010-8906-0921
출입신청완료 , REPORT, 출입서류 전달하기</t>
    <phoneticPr fontId="2" type="noConversion"/>
  </si>
  <si>
    <r>
      <rPr>
        <b/>
        <sz val="9"/>
        <color rgb="FF000000"/>
        <rFont val="돋움"/>
        <family val="3"/>
        <charset val="129"/>
      </rPr>
      <t>비용청구</t>
    </r>
    <r>
      <rPr>
        <b/>
        <sz val="9"/>
        <color rgb="FF000000"/>
        <rFont val="Arial"/>
        <family val="2"/>
      </rPr>
      <t xml:space="preserve"> X</t>
    </r>
    <phoneticPr fontId="2" type="noConversion"/>
  </si>
  <si>
    <t>RB/KT</t>
    <phoneticPr fontId="2" type="noConversion"/>
  </si>
  <si>
    <r>
      <t xml:space="preserve">BOAT DAVIT 인수 시운전 작동 / 근접리미트 결선
</t>
    </r>
    <r>
      <rPr>
        <b/>
        <sz val="10"/>
        <color theme="1"/>
        <rFont val="맑은 고딕"/>
        <family val="3"/>
        <charset val="129"/>
        <scheme val="minor"/>
      </rPr>
      <t>9시 승선</t>
    </r>
    <phoneticPr fontId="2" type="noConversion"/>
  </si>
  <si>
    <t>박성용</t>
    <phoneticPr fontId="2" type="noConversion"/>
  </si>
  <si>
    <t>범양(1)</t>
    <phoneticPr fontId="2" type="noConversion"/>
  </si>
  <si>
    <t>김지훈 부장님  010-2997-6258
출입신청완료(한달) / REPORT 전달</t>
    <phoneticPr fontId="2" type="noConversion"/>
  </si>
  <si>
    <t>SHI</t>
    <phoneticPr fontId="2" type="noConversion"/>
  </si>
  <si>
    <t>LAC</t>
    <phoneticPr fontId="2" type="noConversion"/>
  </si>
  <si>
    <t>이시맥,박주성</t>
    <phoneticPr fontId="2" type="noConversion"/>
  </si>
  <si>
    <t xml:space="preserve">선장부 선장2과 박은식 프로(페데스탈)
010-5461-9345 </t>
    <phoneticPr fontId="2" type="noConversion"/>
  </si>
  <si>
    <r>
      <t xml:space="preserve">UP LIMIT 문제(TOUCH BAR 조절)/로드리미터 점검
</t>
    </r>
    <r>
      <rPr>
        <b/>
        <strike/>
        <sz val="10"/>
        <color theme="1"/>
        <rFont val="맑은 고딕"/>
        <family val="3"/>
        <charset val="129"/>
        <scheme val="minor"/>
      </rPr>
      <t>해군의집 시간 : 8:30 / 드릴필요함 / 접지장비</t>
    </r>
    <phoneticPr fontId="2" type="noConversion"/>
  </si>
  <si>
    <t>신한(1),우신(1)</t>
    <phoneticPr fontId="2" type="noConversion"/>
  </si>
  <si>
    <t>장신후 중사 010-5067-9827
12/30~31중 요청옴/출입신청완료</t>
    <phoneticPr fontId="2" type="noConversion"/>
  </si>
  <si>
    <t>CNM(1),동아(1)</t>
    <phoneticPr fontId="2" type="noConversion"/>
  </si>
  <si>
    <t>장현환 책임 010-7103-9818
12/29~31일 ,출입,교육신청 완료
REPORT 확인(서명 포함)</t>
    <phoneticPr fontId="2" type="noConversion"/>
  </si>
  <si>
    <t>CNM만 청구</t>
    <phoneticPr fontId="2" type="noConversion"/>
  </si>
  <si>
    <t>실린더 배관 PIPE 소음 작업
(8시 승선)</t>
    <phoneticPr fontId="2" type="noConversion"/>
  </si>
  <si>
    <t>무상</t>
    <phoneticPr fontId="2" type="noConversion"/>
  </si>
  <si>
    <t>인도전</t>
    <phoneticPr fontId="2" type="noConversion"/>
  </si>
  <si>
    <t>S205</t>
    <phoneticPr fontId="2" type="noConversion"/>
  </si>
  <si>
    <t>좌현 라이트 단선으로 인하여 교체</t>
    <phoneticPr fontId="2" type="noConversion"/>
  </si>
  <si>
    <t>김지훈 부장님  010-2997-6258
출입신청 완료</t>
    <phoneticPr fontId="2" type="noConversion"/>
  </si>
  <si>
    <t>명판 부착 작업</t>
    <phoneticPr fontId="2" type="noConversion"/>
  </si>
  <si>
    <t>성동</t>
    <phoneticPr fontId="2" type="noConversion"/>
  </si>
  <si>
    <t>성동</t>
    <phoneticPr fontId="2" type="noConversion"/>
  </si>
  <si>
    <t>교육</t>
    <phoneticPr fontId="2" type="noConversion"/>
  </si>
  <si>
    <t>동아(1),범양(1),
HIO(1)</t>
    <phoneticPr fontId="2" type="noConversion"/>
  </si>
  <si>
    <t>양혜성 책임 010 9928 1358
출입신청/교육신청해야함</t>
    <phoneticPr fontId="2" type="noConversion"/>
  </si>
  <si>
    <t>신정</t>
    <phoneticPr fontId="2" type="noConversion"/>
  </si>
  <si>
    <t>A/S</t>
    <phoneticPr fontId="2" type="noConversion"/>
  </si>
  <si>
    <t>KN</t>
    <phoneticPr fontId="2" type="noConversion"/>
  </si>
  <si>
    <t>시운전
(8시까지 도착)</t>
    <phoneticPr fontId="2" type="noConversion"/>
  </si>
  <si>
    <t>탁현종 과장 010-9317-7637
Report 전달 / 출입자 명단 보냄</t>
    <phoneticPr fontId="2" type="noConversion"/>
  </si>
  <si>
    <t>반출예정(김해공장)
(1시 30분 해군의집)</t>
    <phoneticPr fontId="2" type="noConversion"/>
  </si>
  <si>
    <t>출입신청완료
010-7395-1700 / 6급 박성민</t>
    <phoneticPr fontId="2" type="noConversion"/>
  </si>
  <si>
    <t>53주</t>
    <phoneticPr fontId="2" type="noConversion"/>
  </si>
  <si>
    <t>작업</t>
    <phoneticPr fontId="2" type="noConversion"/>
  </si>
  <si>
    <t>검사종류 / 고객요청사항</t>
    <phoneticPr fontId="2" type="noConversion"/>
  </si>
  <si>
    <t>장소</t>
    <phoneticPr fontId="2" type="noConversion"/>
  </si>
  <si>
    <t>김해공장</t>
    <phoneticPr fontId="2" type="noConversion"/>
  </si>
  <si>
    <t>ERC</t>
    <phoneticPr fontId="2" type="noConversion"/>
  </si>
  <si>
    <t>설치</t>
    <phoneticPr fontId="2" type="noConversion"/>
  </si>
  <si>
    <t>우신(1)</t>
    <phoneticPr fontId="2" type="noConversion"/>
  </si>
  <si>
    <t>52주 - 긴급지원</t>
    <phoneticPr fontId="2" type="noConversion"/>
  </si>
  <si>
    <t>P179</t>
    <phoneticPr fontId="2" type="noConversion"/>
  </si>
  <si>
    <t>KT</t>
    <phoneticPr fontId="2" type="noConversion"/>
  </si>
  <si>
    <t>조립</t>
    <phoneticPr fontId="2" type="noConversion"/>
  </si>
  <si>
    <t>우신(1)</t>
    <phoneticPr fontId="2" type="noConversion"/>
  </si>
  <si>
    <t>FAT</t>
    <phoneticPr fontId="2" type="noConversion"/>
  </si>
  <si>
    <t>HIO(1),
범양-최기추(1)</t>
    <phoneticPr fontId="2" type="noConversion"/>
  </si>
  <si>
    <t>SWN0294</t>
    <phoneticPr fontId="2" type="noConversion"/>
  </si>
  <si>
    <t>FDC</t>
    <phoneticPr fontId="2" type="noConversion"/>
  </si>
  <si>
    <t>HIO(1)</t>
    <phoneticPr fontId="2" type="noConversion"/>
  </si>
  <si>
    <t>포장</t>
    <phoneticPr fontId="2" type="noConversion"/>
  </si>
  <si>
    <t>범양-최기추(1)</t>
    <phoneticPr fontId="2" type="noConversion"/>
  </si>
  <si>
    <t>김해공장 지원 소계</t>
    <phoneticPr fontId="2" type="noConversion"/>
  </si>
  <si>
    <t>A/S</t>
    <phoneticPr fontId="2" type="noConversion"/>
  </si>
  <si>
    <t>구매부서발주</t>
    <phoneticPr fontId="2" type="noConversion"/>
  </si>
  <si>
    <t>계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</si>
  <si>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</si>
  <si>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</si>
  <si>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</si>
  <si>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S205</t>
    <phoneticPr fontId="2" type="noConversion"/>
  </si>
  <si>
    <t>JB 설치 및 결선</t>
    <phoneticPr fontId="2" type="noConversion"/>
  </si>
  <si>
    <t>박성용</t>
    <phoneticPr fontId="2" type="noConversion"/>
  </si>
  <si>
    <t>무상</t>
    <phoneticPr fontId="2" type="noConversion"/>
  </si>
  <si>
    <t>코멘트사항</t>
    <phoneticPr fontId="2" type="noConversion"/>
  </si>
  <si>
    <t>52주 추가</t>
    <phoneticPr fontId="2" type="noConversion"/>
  </si>
  <si>
    <t>박성용</t>
    <phoneticPr fontId="2" type="noConversion"/>
  </si>
  <si>
    <t>범양(1)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</si>
  <si>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</si>
  <si>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</si>
  <si>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</si>
  <si>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탑재</t>
    <phoneticPr fontId="2" type="noConversion"/>
  </si>
  <si>
    <t>이시맥</t>
    <phoneticPr fontId="2" type="noConversion"/>
  </si>
  <si>
    <t>계약사항</t>
    <phoneticPr fontId="2" type="noConversion"/>
  </si>
  <si>
    <t>합계</t>
    <phoneticPr fontId="2" type="noConversion"/>
  </si>
  <si>
    <t>인도후</t>
    <phoneticPr fontId="2" type="noConversion"/>
  </si>
  <si>
    <t>진해해군</t>
    <phoneticPr fontId="2" type="noConversion"/>
  </si>
  <si>
    <t>이순신함</t>
    <phoneticPr fontId="2" type="noConversion"/>
  </si>
  <si>
    <t>RB</t>
    <phoneticPr fontId="2" type="noConversion"/>
  </si>
  <si>
    <t>UP LIMIT 문제(TOUCH BAR 조절)/로드리미터 점검</t>
    <phoneticPr fontId="2" type="noConversion"/>
  </si>
  <si>
    <t>UP LIMIT 문제(TOUCH BAR 조절)/로드리미터 점검</t>
    <phoneticPr fontId="2" type="noConversion"/>
  </si>
  <si>
    <t>신한(1)</t>
    <phoneticPr fontId="2" type="noConversion"/>
  </si>
  <si>
    <t>SKMT</t>
    <phoneticPr fontId="2" type="noConversion"/>
  </si>
  <si>
    <t>GNN0017</t>
    <phoneticPr fontId="2" type="noConversion"/>
  </si>
  <si>
    <t xml:space="preserve">스크린 연동제어 문제 </t>
    <phoneticPr fontId="2" type="noConversion"/>
  </si>
  <si>
    <t>동아(1)</t>
    <phoneticPr fontId="2" type="noConversion"/>
  </si>
  <si>
    <t>KN</t>
    <phoneticPr fontId="2" type="noConversion"/>
  </si>
  <si>
    <t>실린더 배관 PIPE 소음 작업</t>
    <phoneticPr fontId="2" type="noConversion"/>
  </si>
  <si>
    <t>성동</t>
    <phoneticPr fontId="2" type="noConversion"/>
  </si>
  <si>
    <t>BR</t>
    <phoneticPr fontId="2" type="noConversion"/>
  </si>
  <si>
    <t>점검</t>
    <phoneticPr fontId="2" type="noConversion"/>
  </si>
  <si>
    <t>동아(1),범양(1)</t>
    <phoneticPr fontId="2" type="noConversion"/>
  </si>
  <si>
    <t>엔코더 교체 작업</t>
    <phoneticPr fontId="2" type="noConversion"/>
  </si>
  <si>
    <t>BR</t>
    <phoneticPr fontId="2" type="noConversion"/>
  </si>
  <si>
    <t>WIRE ROPE GUIDE 위치 이동 설치 및 RAMP 점검</t>
    <phoneticPr fontId="2" type="noConversion"/>
  </si>
  <si>
    <t>코멘트사항</t>
    <phoneticPr fontId="2" type="noConversion"/>
  </si>
  <si>
    <t>시운전</t>
    <phoneticPr fontId="2" type="noConversion"/>
  </si>
  <si>
    <t>진진(1)</t>
    <phoneticPr fontId="2" type="noConversion"/>
  </si>
  <si>
    <t>A/S 소계</t>
    <phoneticPr fontId="2" type="noConversion"/>
  </si>
  <si>
    <t>**2023-12-22</t>
    <phoneticPr fontId="2" type="noConversion"/>
  </si>
  <si>
    <t>우신 AMP 3명</t>
    <phoneticPr fontId="2" type="noConversion"/>
  </si>
  <si>
    <t>&gt; 실행예산에서</t>
    <phoneticPr fontId="2" type="noConversion"/>
  </si>
  <si>
    <t>범양 AMP 1명</t>
    <phoneticPr fontId="2" type="noConversion"/>
  </si>
  <si>
    <t>&gt; '0016 51주차로 정산 (1MD 남음)</t>
    <phoneticPr fontId="2" type="noConversion"/>
  </si>
  <si>
    <t>PA31진진 13명</t>
    <phoneticPr fontId="2" type="noConversion"/>
  </si>
  <si>
    <t>12/18~22</t>
    <phoneticPr fontId="2" type="noConversion"/>
  </si>
  <si>
    <t>&gt; 실행예산 잔여소진 + 200만원 실행예산처리(초과사유 : 설계불량) 후  A/S로 처리 (95만원)</t>
    <phoneticPr fontId="2" type="noConversion"/>
  </si>
  <si>
    <t>ㄴ4MD 차주추가 예정</t>
    <phoneticPr fontId="2" type="noConversion"/>
  </si>
  <si>
    <t>DST 구매발주</t>
    <phoneticPr fontId="2" type="noConversion"/>
  </si>
  <si>
    <t>주</t>
    <phoneticPr fontId="2" type="noConversion"/>
  </si>
  <si>
    <t>담당자</t>
    <phoneticPr fontId="2" type="noConversion"/>
  </si>
  <si>
    <t>유/무상</t>
    <phoneticPr fontId="2" type="noConversion"/>
  </si>
  <si>
    <t>출장인원</t>
    <phoneticPr fontId="2" type="noConversion"/>
  </si>
  <si>
    <t>비고</t>
    <phoneticPr fontId="2" type="noConversion"/>
  </si>
  <si>
    <t>우신(1),범양(1)</t>
    <phoneticPr fontId="2" type="noConversion"/>
  </si>
  <si>
    <t>HHI-P179-RB 납품
HHI-P179-KT 설치</t>
    <phoneticPr fontId="2" type="noConversion"/>
  </si>
  <si>
    <t>HSHI-8262-ERC FAT
HID-1569-ERC 기계 조립</t>
    <phoneticPr fontId="2" type="noConversion"/>
  </si>
  <si>
    <t>HHI</t>
    <phoneticPr fontId="2" type="noConversion"/>
  </si>
  <si>
    <t>P169</t>
    <phoneticPr fontId="2" type="noConversion"/>
  </si>
  <si>
    <t>HHD</t>
    <phoneticPr fontId="2" type="noConversion"/>
  </si>
  <si>
    <t>코멘트 작업</t>
    <phoneticPr fontId="2" type="noConversion"/>
  </si>
  <si>
    <t>CNM(2),우신(2),동아(1)</t>
    <phoneticPr fontId="2" type="noConversion"/>
  </si>
  <si>
    <t>HWE-SWNP0294-FDC 설치
HHI-P179-KT 유압셋팅</t>
    <phoneticPr fontId="2" type="noConversion"/>
  </si>
  <si>
    <t>BOAT DAVIT 인수 시운전 작동</t>
    <phoneticPr fontId="2" type="noConversion"/>
  </si>
  <si>
    <t>HSHI-8262-ERC 포장
HOC-7062-RD 시운전 준비</t>
    <phoneticPr fontId="2" type="noConversion"/>
  </si>
  <si>
    <t>이순신함</t>
    <phoneticPr fontId="2" type="noConversion"/>
  </si>
  <si>
    <t>신한(1),우신(1)</t>
    <phoneticPr fontId="2" type="noConversion"/>
  </si>
  <si>
    <t>HSHI-8262-ERC 납품</t>
    <phoneticPr fontId="2" type="noConversion"/>
  </si>
  <si>
    <t>GNN0017</t>
    <phoneticPr fontId="2" type="noConversion"/>
  </si>
  <si>
    <t>RB/HHD</t>
    <phoneticPr fontId="2" type="noConversion"/>
  </si>
  <si>
    <t xml:space="preserve">작동 불가능/스크린 연동제어 문제 </t>
    <phoneticPr fontId="2" type="noConversion"/>
  </si>
  <si>
    <t>CNM(1),동아(1)</t>
    <phoneticPr fontId="2" type="noConversion"/>
  </si>
  <si>
    <t>성동</t>
    <phoneticPr fontId="2" type="noConversion"/>
  </si>
  <si>
    <t>동아(1),범양(1),
HIO(1)</t>
    <phoneticPr fontId="2" type="noConversion"/>
  </si>
  <si>
    <t>신정</t>
    <phoneticPr fontId="2" type="noConversion"/>
  </si>
  <si>
    <t>HHI-P179-KT 시운전</t>
    <phoneticPr fontId="2" type="noConversion"/>
  </si>
  <si>
    <t>S099</t>
    <phoneticPr fontId="2" type="noConversion"/>
  </si>
  <si>
    <t>WC</t>
    <phoneticPr fontId="2" type="noConversion"/>
  </si>
  <si>
    <t>반출예정(김해공장)</t>
    <phoneticPr fontId="2" type="noConversion"/>
  </si>
  <si>
    <t>도지성</t>
    <phoneticPr fontId="2" type="noConversion"/>
  </si>
  <si>
    <t>엔코더 교체, 커버작업 및 와이어교체
WIRE ROPE GUIDE 위치 이동 설치 및 RAMP 점검</t>
    <phoneticPr fontId="2" type="noConversion"/>
  </si>
  <si>
    <t>SHI-SN2651-HH 포장</t>
    <phoneticPr fontId="2" type="noConversion"/>
  </si>
  <si>
    <t>LWN-H2519-DC 해체</t>
    <phoneticPr fontId="2" type="noConversion"/>
  </si>
  <si>
    <t>SKMT-GNN0018-ML 조립</t>
    <phoneticPr fontId="2" type="noConversion"/>
  </si>
  <si>
    <t>CSBC-H1197-DC 설치</t>
    <phoneticPr fontId="2" type="noConversion"/>
  </si>
  <si>
    <t>KN-222003-KT FAT</t>
    <phoneticPr fontId="2" type="noConversion"/>
  </si>
  <si>
    <t>HJSC-S199-CS 조립</t>
    <phoneticPr fontId="2" type="noConversion"/>
  </si>
  <si>
    <t>SKMT-GNN0018-RD 자체테스트</t>
    <phoneticPr fontId="2" type="noConversion"/>
  </si>
  <si>
    <t>박성용,유상신,이시맥
,박해식,송영국,유봉현</t>
    <phoneticPr fontId="2" type="noConversion"/>
  </si>
  <si>
    <t>RB,HHD</t>
    <phoneticPr fontId="2" type="noConversion"/>
  </si>
  <si>
    <t>동아(1)</t>
    <phoneticPr fontId="2" type="noConversion"/>
  </si>
  <si>
    <t>김지훈 부장님  010-2997-6258
출입신청 완료</t>
    <phoneticPr fontId="2" type="noConversion"/>
  </si>
  <si>
    <t>1주</t>
    <phoneticPr fontId="2" type="noConversion"/>
  </si>
  <si>
    <t>RAMP 수정작업</t>
    <phoneticPr fontId="2" type="noConversion"/>
  </si>
  <si>
    <t>상부센서 오작동 / 격납고 손잡이 고정핀 / 
격납고 문 컨트롤 판넬 작동 불량</t>
    <phoneticPr fontId="2" type="noConversion"/>
  </si>
  <si>
    <t>온보드 테스트(자체점검)</t>
    <phoneticPr fontId="2" type="noConversion"/>
  </si>
  <si>
    <t>입고 예정</t>
    <phoneticPr fontId="2" type="noConversion"/>
  </si>
  <si>
    <t>HHI-P179-KT 시운전
HID-1569-ERC 조립</t>
    <phoneticPr fontId="2" type="noConversion"/>
  </si>
  <si>
    <t>HWE-SWNP0294-FDC 설치(1대)
HHI-P179-KT 자체TEST</t>
    <phoneticPr fontId="2" type="noConversion"/>
  </si>
  <si>
    <t>HHI-P179-KT FAT</t>
    <phoneticPr fontId="2" type="noConversion"/>
  </si>
  <si>
    <t>HHI-P178-PE 자체TEST
HHI-P179-KT 포장</t>
    <phoneticPr fontId="2" type="noConversion"/>
  </si>
  <si>
    <t>HOC-7062-RD 시운전(전기)</t>
    <phoneticPr fontId="2" type="noConversion"/>
  </si>
  <si>
    <t>우신(2)</t>
    <phoneticPr fontId="2" type="noConversion"/>
  </si>
  <si>
    <t>동아(3)</t>
    <phoneticPr fontId="2" type="noConversion"/>
  </si>
  <si>
    <t>1/7~8</t>
    <phoneticPr fontId="2" type="noConversion"/>
  </si>
  <si>
    <t>코멘트사항</t>
    <phoneticPr fontId="2" type="noConversion"/>
  </si>
  <si>
    <t>계약사항</t>
    <phoneticPr fontId="2" type="noConversion"/>
  </si>
  <si>
    <t>코멘트사항</t>
    <phoneticPr fontId="2" type="noConversion"/>
  </si>
  <si>
    <t>보증수리사항</t>
    <phoneticPr fontId="2" type="noConversion"/>
  </si>
  <si>
    <t>코멘트사항</t>
    <phoneticPr fontId="2" type="noConversion"/>
  </si>
  <si>
    <t>코멘트사항</t>
    <phoneticPr fontId="2" type="noConversion"/>
  </si>
  <si>
    <t>1/5~1/9</t>
    <phoneticPr fontId="2" type="noConversion"/>
  </si>
  <si>
    <t>1/5~1/7</t>
    <phoneticPr fontId="2" type="noConversion"/>
  </si>
  <si>
    <t>1/8~1/9</t>
    <phoneticPr fontId="2" type="noConversion"/>
  </si>
  <si>
    <t>범양-최기추(5)</t>
    <phoneticPr fontId="2" type="noConversion"/>
  </si>
  <si>
    <t>ERC</t>
    <phoneticPr fontId="2" type="noConversion"/>
  </si>
  <si>
    <t>조립</t>
    <phoneticPr fontId="2" type="noConversion"/>
  </si>
  <si>
    <t>P179</t>
  </si>
  <si>
    <t>KT</t>
    <phoneticPr fontId="2" type="noConversion"/>
  </si>
  <si>
    <t>시운전 / TEST 준비</t>
    <phoneticPr fontId="2" type="noConversion"/>
  </si>
  <si>
    <t>포장</t>
    <phoneticPr fontId="2" type="noConversion"/>
  </si>
  <si>
    <t>조립</t>
    <phoneticPr fontId="2" type="noConversion"/>
  </si>
  <si>
    <t>1/5~1/9</t>
    <phoneticPr fontId="2" type="noConversion"/>
  </si>
  <si>
    <t>HIO(5)</t>
    <phoneticPr fontId="2" type="noConversion"/>
  </si>
  <si>
    <t>CNM(2)</t>
    <phoneticPr fontId="2" type="noConversion"/>
  </si>
  <si>
    <t>010-4820-0037 김요한 갑판장님
출입신청 / 작업 결과 확인하기</t>
    <phoneticPr fontId="2" type="noConversion"/>
  </si>
  <si>
    <t>장현환 책임 010-7103-9818
출입신청하기/교육신청확인</t>
    <phoneticPr fontId="2" type="noConversion"/>
  </si>
  <si>
    <t>제주해경</t>
    <phoneticPr fontId="2" type="noConversion"/>
  </si>
  <si>
    <t>A/S</t>
    <phoneticPr fontId="2" type="noConversion"/>
  </si>
  <si>
    <t>인도후</t>
    <phoneticPr fontId="2" type="noConversion"/>
  </si>
  <si>
    <t>RB</t>
    <phoneticPr fontId="2" type="noConversion"/>
  </si>
  <si>
    <t>진진(2)</t>
    <phoneticPr fontId="2" type="noConversion"/>
  </si>
  <si>
    <t>BOLTING TRAY 추가 작업 +  Earhting 추가</t>
    <phoneticPr fontId="2" type="noConversion"/>
  </si>
  <si>
    <t>덴소 테이핑작업,KT RUBBER 파손 교체 /
DAVIT 하부 RUBBER 파손 점검</t>
    <phoneticPr fontId="2" type="noConversion"/>
  </si>
  <si>
    <t>덴소 테이핑작업,KT RUBBER 파손 교체 /
DAVIT 하부 RUBBER 파손 점검</t>
    <phoneticPr fontId="2" type="noConversion"/>
  </si>
  <si>
    <t>HHD 포토센서 교체 / RB 스크린 연동 기능 점검</t>
    <phoneticPr fontId="2" type="noConversion"/>
  </si>
  <si>
    <t>RCS/ML</t>
    <phoneticPr fontId="2" type="noConversion"/>
  </si>
  <si>
    <t>RCS/ML</t>
    <phoneticPr fontId="2" type="noConversion"/>
  </si>
  <si>
    <t>PEDESTAL CABLE 결선 작업</t>
    <phoneticPr fontId="2" type="noConversion"/>
  </si>
  <si>
    <t>BOLTING TRAY 추가 작업 +  Earhting 추가 / 
PEDESTAL CABLE 결선 작업</t>
    <phoneticPr fontId="2" type="noConversion"/>
  </si>
  <si>
    <t>김해공장</t>
    <phoneticPr fontId="2" type="noConversion"/>
  </si>
  <si>
    <t>9/1~9/3</t>
    <phoneticPr fontId="2" type="noConversion"/>
  </si>
  <si>
    <t>9/1~9/3</t>
    <phoneticPr fontId="2" type="noConversion"/>
  </si>
  <si>
    <t>TNG026</t>
    <phoneticPr fontId="2" type="noConversion"/>
  </si>
  <si>
    <t>RB</t>
    <phoneticPr fontId="2" type="noConversion"/>
  </si>
  <si>
    <t>포장 지원</t>
    <phoneticPr fontId="2" type="noConversion"/>
  </si>
  <si>
    <t>이광형</t>
    <phoneticPr fontId="2" type="noConversion"/>
  </si>
  <si>
    <t>9/4~9/5</t>
    <phoneticPr fontId="2" type="noConversion"/>
  </si>
  <si>
    <t>P178</t>
    <phoneticPr fontId="2" type="noConversion"/>
  </si>
  <si>
    <t>HOC</t>
    <phoneticPr fontId="2" type="noConversion"/>
  </si>
  <si>
    <t>포장 지원</t>
    <phoneticPr fontId="2" type="noConversion"/>
  </si>
  <si>
    <t>9/1~9/5</t>
    <phoneticPr fontId="2" type="noConversion"/>
  </si>
  <si>
    <t>P178</t>
    <phoneticPr fontId="2" type="noConversion"/>
  </si>
  <si>
    <t>조립</t>
    <phoneticPr fontId="2" type="noConversion"/>
  </si>
  <si>
    <t>HIO(5)</t>
    <phoneticPr fontId="2" type="noConversion"/>
  </si>
  <si>
    <t>PA56</t>
    <phoneticPr fontId="2" type="noConversion"/>
  </si>
  <si>
    <t>설치/시운전</t>
    <phoneticPr fontId="2" type="noConversion"/>
  </si>
  <si>
    <t>이광형</t>
    <phoneticPr fontId="2" type="noConversion"/>
  </si>
  <si>
    <t>범양(3)-최기추</t>
    <phoneticPr fontId="2" type="noConversion"/>
  </si>
  <si>
    <t>PA57</t>
    <phoneticPr fontId="2" type="noConversion"/>
  </si>
  <si>
    <t>범양(2)-최기추</t>
    <phoneticPr fontId="2" type="noConversion"/>
  </si>
  <si>
    <t>A/S</t>
    <phoneticPr fontId="2" type="noConversion"/>
  </si>
  <si>
    <t>인도전</t>
    <phoneticPr fontId="2" type="noConversion"/>
  </si>
  <si>
    <t>H7064</t>
    <phoneticPr fontId="2" type="noConversion"/>
  </si>
  <si>
    <t>BR</t>
    <phoneticPr fontId="2" type="noConversion"/>
  </si>
  <si>
    <t>감김 동작 불능 조치</t>
    <phoneticPr fontId="2" type="noConversion"/>
  </si>
  <si>
    <t>동아(1)</t>
    <phoneticPr fontId="2" type="noConversion"/>
  </si>
  <si>
    <t>무상</t>
    <phoneticPr fontId="2" type="noConversion"/>
  </si>
  <si>
    <t>구매부서발주</t>
    <phoneticPr fontId="2" type="noConversion"/>
  </si>
  <si>
    <t>코멘트사항 - 35주 긴급지원</t>
    <phoneticPr fontId="2" type="noConversion"/>
  </si>
  <si>
    <t>8/30(토)</t>
    <phoneticPr fontId="2" type="noConversion"/>
  </si>
  <si>
    <t>SHI</t>
    <phoneticPr fontId="2" type="noConversion"/>
  </si>
  <si>
    <t>SN2619</t>
    <phoneticPr fontId="2" type="noConversion"/>
  </si>
  <si>
    <t>PV/HH</t>
    <phoneticPr fontId="2" type="noConversion"/>
  </si>
  <si>
    <t>드레인 벨브 누유</t>
    <phoneticPr fontId="2" type="noConversion"/>
  </si>
  <si>
    <t>우신(2)</t>
    <phoneticPr fontId="2" type="noConversion"/>
  </si>
  <si>
    <t>계약사항 - 35주 긴급지원</t>
    <phoneticPr fontId="2" type="noConversion"/>
  </si>
  <si>
    <t>SKMT</t>
    <phoneticPr fontId="2" type="noConversion"/>
  </si>
  <si>
    <t>GNN0017</t>
    <phoneticPr fontId="2" type="noConversion"/>
  </si>
  <si>
    <t>RD</t>
    <phoneticPr fontId="2" type="noConversion"/>
  </si>
  <si>
    <t>고속단정 받침대(FENDER)부분 수정
(Bolt&amp;Pad 자재 챙길 것)</t>
    <phoneticPr fontId="2" type="noConversion"/>
  </si>
  <si>
    <t>박성용</t>
    <phoneticPr fontId="2" type="noConversion"/>
  </si>
  <si>
    <t>HIO(1)</t>
    <phoneticPr fontId="2" type="noConversion"/>
  </si>
  <si>
    <t>HJSC</t>
    <phoneticPr fontId="2" type="noConversion"/>
  </si>
  <si>
    <t>S205</t>
    <phoneticPr fontId="2" type="noConversion"/>
  </si>
  <si>
    <t>KT/RB</t>
    <phoneticPr fontId="2" type="noConversion"/>
  </si>
  <si>
    <t>DECK CRANE STW 및 작동 검사 /
 DAVIT STW 및 작동 검사</t>
    <phoneticPr fontId="2" type="noConversion"/>
  </si>
  <si>
    <t>박성용,고태용</t>
    <phoneticPr fontId="2" type="noConversion"/>
  </si>
  <si>
    <t>우신(1)</t>
    <phoneticPr fontId="2" type="noConversion"/>
  </si>
  <si>
    <t>계약사항</t>
    <phoneticPr fontId="2" type="noConversion"/>
  </si>
  <si>
    <t>S204/S205</t>
    <phoneticPr fontId="2" type="noConversion"/>
  </si>
  <si>
    <t xml:space="preserve"> 휠하우스 결선 바뀜 수정 / 
S205 라인 및 기능 체크</t>
    <phoneticPr fontId="2" type="noConversion"/>
  </si>
  <si>
    <t>코멘트사항</t>
    <phoneticPr fontId="2" type="noConversion"/>
  </si>
  <si>
    <t>KT</t>
    <phoneticPr fontId="2" type="noConversion"/>
  </si>
  <si>
    <t>검사 입회</t>
    <phoneticPr fontId="2" type="noConversion"/>
  </si>
  <si>
    <t>김해공장</t>
    <phoneticPr fontId="2" type="noConversion"/>
  </si>
  <si>
    <t>9/8~9/12</t>
    <phoneticPr fontId="2" type="noConversion"/>
  </si>
  <si>
    <t>ERC</t>
    <phoneticPr fontId="2" type="noConversion"/>
  </si>
  <si>
    <t>HIO(5)</t>
    <phoneticPr fontId="2" type="noConversion"/>
  </si>
  <si>
    <t>9/8~9/12</t>
    <phoneticPr fontId="2" type="noConversion"/>
  </si>
  <si>
    <t>P178</t>
    <phoneticPr fontId="2" type="noConversion"/>
  </si>
  <si>
    <t>HIO(5)</t>
    <phoneticPr fontId="2" type="noConversion"/>
  </si>
  <si>
    <t>9/8~9/10</t>
    <phoneticPr fontId="2" type="noConversion"/>
  </si>
  <si>
    <t>YN05</t>
    <phoneticPr fontId="2" type="noConversion"/>
  </si>
  <si>
    <t>YN05</t>
    <phoneticPr fontId="2" type="noConversion"/>
  </si>
  <si>
    <t>설치/시운전/조립</t>
    <phoneticPr fontId="2" type="noConversion"/>
  </si>
  <si>
    <t>범양(3)-최기추</t>
    <phoneticPr fontId="2" type="noConversion"/>
  </si>
  <si>
    <t>9/11~9/12</t>
    <phoneticPr fontId="2" type="noConversion"/>
  </si>
  <si>
    <t>P173</t>
    <phoneticPr fontId="2" type="noConversion"/>
  </si>
  <si>
    <t>ML</t>
    <phoneticPr fontId="2" type="noConversion"/>
  </si>
  <si>
    <t>설치/시운전</t>
    <phoneticPr fontId="2" type="noConversion"/>
  </si>
  <si>
    <t>이광형</t>
    <phoneticPr fontId="2" type="noConversion"/>
  </si>
  <si>
    <t>범양(2)-최기추</t>
    <phoneticPr fontId="2" type="noConversion"/>
  </si>
  <si>
    <t>A/S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</si>
  <si>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</si>
  <si>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</si>
  <si>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</si>
  <si>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RB</t>
    <phoneticPr fontId="2" type="noConversion"/>
  </si>
  <si>
    <t>DECK CRANE STW 및 작동 검사 /
 DAVIT STW 및 작동 검사</t>
    <phoneticPr fontId="2" type="noConversion"/>
  </si>
  <si>
    <t>박성용</t>
    <phoneticPr fontId="2" type="noConversion"/>
  </si>
  <si>
    <t>DST(1)</t>
    <phoneticPr fontId="2" type="noConversion"/>
  </si>
  <si>
    <t>무상</t>
    <phoneticPr fontId="2" type="noConversion"/>
  </si>
  <si>
    <t>구매부서발주</t>
    <phoneticPr fontId="2" type="noConversion"/>
  </si>
  <si>
    <t>코멘트사항 - 36주 긴급지원</t>
    <phoneticPr fontId="2" type="noConversion"/>
  </si>
  <si>
    <t>인도전</t>
    <phoneticPr fontId="2" type="noConversion"/>
  </si>
  <si>
    <t>SW</t>
    <phoneticPr fontId="2" type="noConversion"/>
  </si>
  <si>
    <t>SWN0283</t>
    <phoneticPr fontId="2" type="noConversion"/>
  </si>
  <si>
    <t>RB</t>
    <phoneticPr fontId="2" type="noConversion"/>
  </si>
  <si>
    <t>코멘트 작업(군산항 2부두 23번 선적)6.5T/9T</t>
    <phoneticPr fontId="2" type="noConversion"/>
  </si>
  <si>
    <r>
      <rPr>
        <sz val="10"/>
        <color rgb="FF000000"/>
        <rFont val="돋움"/>
        <family val="3"/>
        <charset val="129"/>
      </rPr>
      <t>우신</t>
    </r>
    <r>
      <rPr>
        <sz val="10"/>
        <color rgb="FF000000"/>
        <rFont val="Arial"/>
        <family val="3"/>
        <charset val="129"/>
      </rPr>
      <t>(1)</t>
    </r>
    <phoneticPr fontId="2" type="noConversion"/>
  </si>
  <si>
    <t>A/S</t>
    <phoneticPr fontId="2" type="noConversion"/>
  </si>
  <si>
    <t>인도전</t>
    <phoneticPr fontId="2" type="noConversion"/>
  </si>
  <si>
    <t>HOC</t>
    <phoneticPr fontId="2" type="noConversion"/>
  </si>
  <si>
    <t>H7064</t>
    <phoneticPr fontId="2" type="noConversion"/>
  </si>
  <si>
    <t>BR</t>
    <phoneticPr fontId="2" type="noConversion"/>
  </si>
  <si>
    <t>전체 라인 CHECK 및 동작 TEST</t>
    <phoneticPr fontId="2" type="noConversion"/>
  </si>
  <si>
    <t>동아JT</t>
    <phoneticPr fontId="2" type="noConversion"/>
  </si>
  <si>
    <t>무상</t>
    <phoneticPr fontId="2" type="noConversion"/>
  </si>
  <si>
    <t>구매부서발주</t>
    <phoneticPr fontId="2" type="noConversion"/>
  </si>
  <si>
    <t>코멘트사항 - 36주 긴급지원</t>
    <phoneticPr fontId="2" type="noConversion"/>
  </si>
  <si>
    <t>A/S</t>
    <phoneticPr fontId="2" type="noConversion"/>
  </si>
  <si>
    <t>SKMT</t>
    <phoneticPr fontId="2" type="noConversion"/>
  </si>
  <si>
    <t>HHD</t>
    <phoneticPr fontId="2" type="noConversion"/>
  </si>
  <si>
    <t>코멘트 조치</t>
    <phoneticPr fontId="2" type="noConversion"/>
  </si>
  <si>
    <t>우신(1)</t>
    <phoneticPr fontId="2" type="noConversion"/>
  </si>
  <si>
    <t>코멘트사항 - 36주 긴급지원</t>
    <phoneticPr fontId="2" type="noConversion"/>
  </si>
  <si>
    <t>인도전</t>
    <phoneticPr fontId="2" type="noConversion"/>
  </si>
  <si>
    <t>RD</t>
    <phoneticPr fontId="2" type="noConversion"/>
  </si>
  <si>
    <t>Cradle Sheet P.E PAD 설치예정</t>
    <phoneticPr fontId="2" type="noConversion"/>
  </si>
  <si>
    <t>박성용</t>
    <phoneticPr fontId="2" type="noConversion"/>
  </si>
  <si>
    <t>HIO(1)</t>
    <phoneticPr fontId="2" type="noConversion"/>
  </si>
  <si>
    <t>무상</t>
    <phoneticPr fontId="2" type="noConversion"/>
  </si>
  <si>
    <t>S205</t>
    <phoneticPr fontId="2" type="noConversion"/>
  </si>
  <si>
    <t>RB</t>
    <phoneticPr fontId="2" type="noConversion"/>
  </si>
  <si>
    <t>검사 준비</t>
    <phoneticPr fontId="2" type="noConversion"/>
  </si>
  <si>
    <t>DST(1)</t>
    <phoneticPr fontId="2" type="noConversion"/>
  </si>
  <si>
    <t>계약사항 / DST-구매부서발주</t>
    <phoneticPr fontId="2" type="noConversion"/>
  </si>
  <si>
    <t>HOC</t>
    <phoneticPr fontId="2" type="noConversion"/>
  </si>
  <si>
    <t>H7064</t>
    <phoneticPr fontId="2" type="noConversion"/>
  </si>
  <si>
    <t>BR</t>
    <phoneticPr fontId="2" type="noConversion"/>
  </si>
  <si>
    <t>로드셀 인디게이터 설치</t>
    <phoneticPr fontId="2" type="noConversion"/>
  </si>
  <si>
    <t>우신(2)</t>
    <phoneticPr fontId="2" type="noConversion"/>
  </si>
  <si>
    <t>HJSC</t>
    <phoneticPr fontId="2" type="noConversion"/>
  </si>
  <si>
    <t>S205</t>
    <phoneticPr fontId="2" type="noConversion"/>
  </si>
  <si>
    <t>검사 준비</t>
    <phoneticPr fontId="2" type="noConversion"/>
  </si>
  <si>
    <t>우신(2)</t>
    <phoneticPr fontId="2" type="noConversion"/>
  </si>
  <si>
    <t>무상</t>
    <phoneticPr fontId="2" type="noConversion"/>
  </si>
  <si>
    <t>계약사항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</si>
  <si>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</si>
  <si>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</si>
  <si>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</si>
  <si>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RB</t>
    <phoneticPr fontId="2" type="noConversion"/>
  </si>
  <si>
    <t>검사 준비(화기작업)</t>
    <phoneticPr fontId="2" type="noConversion"/>
  </si>
  <si>
    <t>박주성</t>
    <phoneticPr fontId="2" type="noConversion"/>
  </si>
  <si>
    <t>진진(4)</t>
    <phoneticPr fontId="2" type="noConversion"/>
  </si>
  <si>
    <t>계약사항</t>
    <phoneticPr fontId="2" type="noConversion"/>
  </si>
  <si>
    <t>인도전</t>
    <phoneticPr fontId="2" type="noConversion"/>
  </si>
  <si>
    <t>HJSC</t>
    <phoneticPr fontId="2" type="noConversion"/>
  </si>
  <si>
    <t>S205</t>
    <phoneticPr fontId="2" type="noConversion"/>
  </si>
  <si>
    <t>검사 준비</t>
    <phoneticPr fontId="2" type="noConversion"/>
  </si>
  <si>
    <t>우신(1)</t>
    <phoneticPr fontId="2" type="noConversion"/>
  </si>
  <si>
    <t>무상</t>
    <phoneticPr fontId="2" type="noConversion"/>
  </si>
  <si>
    <t>A/S</t>
    <phoneticPr fontId="2" type="noConversion"/>
  </si>
  <si>
    <t>인도전</t>
    <phoneticPr fontId="2" type="noConversion"/>
  </si>
  <si>
    <t>우신(1)</t>
    <phoneticPr fontId="2" type="noConversion"/>
  </si>
  <si>
    <t>계약사항</t>
    <phoneticPr fontId="2" type="noConversion"/>
  </si>
  <si>
    <t>9/15
9/17~9/19</t>
    <phoneticPr fontId="2" type="noConversion"/>
  </si>
  <si>
    <t>ERC</t>
    <phoneticPr fontId="2" type="noConversion"/>
  </si>
  <si>
    <t>이광형</t>
    <phoneticPr fontId="2" type="noConversion"/>
  </si>
  <si>
    <t>9/15~9/19</t>
    <phoneticPr fontId="2" type="noConversion"/>
  </si>
  <si>
    <t>P173</t>
    <phoneticPr fontId="2" type="noConversion"/>
  </si>
  <si>
    <t>설치/시운전</t>
    <phoneticPr fontId="2" type="noConversion"/>
  </si>
  <si>
    <t>이광형</t>
    <phoneticPr fontId="2" type="noConversion"/>
  </si>
  <si>
    <t>범양(5)-최기추</t>
    <phoneticPr fontId="2" type="noConversion"/>
  </si>
  <si>
    <t>A/S</t>
    <phoneticPr fontId="2" type="noConversion"/>
  </si>
  <si>
    <t>HJSC</t>
    <phoneticPr fontId="2" type="noConversion"/>
  </si>
  <si>
    <t>판넬 소스 램프 작동 체크 및 
비상엔진 내부 결선 누락</t>
    <phoneticPr fontId="2" type="noConversion"/>
  </si>
  <si>
    <t>가야(1)</t>
    <phoneticPr fontId="2" type="noConversion"/>
  </si>
  <si>
    <t>구매부서발주</t>
    <phoneticPr fontId="2" type="noConversion"/>
  </si>
  <si>
    <t>코멘트사항 - 37주 긴급지원</t>
    <phoneticPr fontId="2" type="noConversion"/>
  </si>
  <si>
    <t>S205</t>
    <phoneticPr fontId="2" type="noConversion"/>
  </si>
  <si>
    <t>검사 입회</t>
    <phoneticPr fontId="2" type="noConversion"/>
  </si>
  <si>
    <t>박성용</t>
    <phoneticPr fontId="2" type="noConversion"/>
  </si>
  <si>
    <t>DST(1)</t>
    <phoneticPr fontId="2" type="noConversion"/>
  </si>
  <si>
    <t>무상</t>
    <phoneticPr fontId="2" type="noConversion"/>
  </si>
  <si>
    <t>코멘트사항 - 37주 긴급지원</t>
    <phoneticPr fontId="2" type="noConversion"/>
  </si>
  <si>
    <t>인도전</t>
    <phoneticPr fontId="2" type="noConversion"/>
  </si>
  <si>
    <t>진해해군</t>
    <phoneticPr fontId="2" type="noConversion"/>
  </si>
  <si>
    <t>이순신함</t>
    <phoneticPr fontId="2" type="noConversion"/>
  </si>
  <si>
    <t>RB</t>
    <phoneticPr fontId="2" type="noConversion"/>
  </si>
  <si>
    <t>조종기 누수로 인한 작동불가 조치</t>
    <phoneticPr fontId="2" type="noConversion"/>
  </si>
  <si>
    <t>동아(1)</t>
    <phoneticPr fontId="2" type="noConversion"/>
  </si>
  <si>
    <t>무상</t>
    <phoneticPr fontId="2" type="noConversion"/>
  </si>
  <si>
    <t>구매부서발주</t>
    <phoneticPr fontId="2" type="noConversion"/>
  </si>
  <si>
    <t>코멘트사항 - 37주 긴급지원</t>
    <phoneticPr fontId="2" type="noConversion"/>
  </si>
  <si>
    <t>9/15~9/19</t>
    <phoneticPr fontId="2" type="noConversion"/>
  </si>
  <si>
    <t>인도후</t>
    <phoneticPr fontId="2" type="noConversion"/>
  </si>
  <si>
    <t>독도함</t>
    <phoneticPr fontId="2" type="noConversion"/>
  </si>
  <si>
    <t>독도함</t>
    <phoneticPr fontId="2" type="noConversion"/>
  </si>
  <si>
    <t>계선기 해체작업</t>
    <phoneticPr fontId="2" type="noConversion"/>
  </si>
  <si>
    <t>HIO(9)</t>
    <phoneticPr fontId="2" type="noConversion"/>
  </si>
  <si>
    <t>인도후</t>
    <phoneticPr fontId="2" type="noConversion"/>
  </si>
  <si>
    <t>광양항</t>
    <phoneticPr fontId="2" type="noConversion"/>
  </si>
  <si>
    <t>S192</t>
    <phoneticPr fontId="2" type="noConversion"/>
  </si>
  <si>
    <t>DC</t>
    <phoneticPr fontId="2" type="noConversion"/>
  </si>
  <si>
    <t>로드셀 컨트롤러 점검</t>
    <phoneticPr fontId="2" type="noConversion"/>
  </si>
  <si>
    <t>가야기전(1),
신한전자(1)</t>
    <phoneticPr fontId="2" type="noConversion"/>
  </si>
  <si>
    <t>무상</t>
    <phoneticPr fontId="2" type="noConversion"/>
  </si>
  <si>
    <t>구매부서발주</t>
    <phoneticPr fontId="2" type="noConversion"/>
  </si>
  <si>
    <t>코멘트사항</t>
    <phoneticPr fontId="2" type="noConversion"/>
  </si>
  <si>
    <t>진진(2)</t>
    <phoneticPr fontId="2" type="noConversion"/>
  </si>
  <si>
    <t>코멘트사항</t>
    <phoneticPr fontId="2" type="noConversion"/>
  </si>
  <si>
    <t>9/16~9/17</t>
    <phoneticPr fontId="2" type="noConversion"/>
  </si>
  <si>
    <t>SKMT</t>
    <phoneticPr fontId="2" type="noConversion"/>
  </si>
  <si>
    <t>ML</t>
    <phoneticPr fontId="2" type="noConversion"/>
  </si>
  <si>
    <t>설치</t>
    <phoneticPr fontId="2" type="noConversion"/>
  </si>
  <si>
    <t>박성용</t>
    <phoneticPr fontId="2" type="noConversion"/>
  </si>
  <si>
    <t>우신(2)</t>
    <phoneticPr fontId="2" type="noConversion"/>
  </si>
  <si>
    <t>계약사항</t>
    <phoneticPr fontId="2" type="noConversion"/>
  </si>
  <si>
    <t>진해해군</t>
    <phoneticPr fontId="2" type="noConversion"/>
  </si>
  <si>
    <t>시스템 안정화 점검</t>
    <phoneticPr fontId="2" type="noConversion"/>
  </si>
  <si>
    <t>박성용</t>
    <phoneticPr fontId="2" type="noConversion"/>
  </si>
  <si>
    <t>동아(1)</t>
    <phoneticPr fontId="2" type="noConversion"/>
  </si>
  <si>
    <t>구매부서발주</t>
    <phoneticPr fontId="2" type="noConversion"/>
  </si>
  <si>
    <t>OAC</t>
    <phoneticPr fontId="2" type="noConversion"/>
  </si>
  <si>
    <t>25T 감속기 누유</t>
    <phoneticPr fontId="2" type="noConversion"/>
  </si>
  <si>
    <t>박성용</t>
    <phoneticPr fontId="2" type="noConversion"/>
  </si>
  <si>
    <t>우신(1)</t>
    <phoneticPr fontId="2" type="noConversion"/>
  </si>
  <si>
    <t>코멘트사항</t>
    <phoneticPr fontId="2" type="noConversion"/>
  </si>
  <si>
    <t>김해공장</t>
    <phoneticPr fontId="2" type="noConversion"/>
  </si>
  <si>
    <t>P179</t>
    <phoneticPr fontId="2" type="noConversion"/>
  </si>
  <si>
    <t>파운데이션 상차</t>
    <phoneticPr fontId="2" type="noConversion"/>
  </si>
  <si>
    <t>9/23~9/26</t>
    <phoneticPr fontId="2" type="noConversion"/>
  </si>
  <si>
    <t>도장 및 명판작업</t>
    <phoneticPr fontId="2" type="noConversion"/>
  </si>
  <si>
    <t>이광형</t>
    <phoneticPr fontId="2" type="noConversion"/>
  </si>
  <si>
    <t>우신(4)</t>
    <phoneticPr fontId="2" type="noConversion"/>
  </si>
  <si>
    <t>9/22~9/26</t>
    <phoneticPr fontId="2" type="noConversion"/>
  </si>
  <si>
    <t>9/22~9/26</t>
    <phoneticPr fontId="2" type="noConversion"/>
  </si>
  <si>
    <t>PA57</t>
    <phoneticPr fontId="2" type="noConversion"/>
  </si>
  <si>
    <t>BR</t>
    <phoneticPr fontId="2" type="noConversion"/>
  </si>
  <si>
    <t>이광형</t>
    <phoneticPr fontId="2" type="noConversion"/>
  </si>
  <si>
    <t>범양(5)-최기추</t>
    <phoneticPr fontId="2" type="noConversion"/>
  </si>
  <si>
    <t>SKMT</t>
    <phoneticPr fontId="2" type="noConversion"/>
  </si>
  <si>
    <t>GNN0018</t>
    <phoneticPr fontId="2" type="noConversion"/>
  </si>
  <si>
    <t>설치</t>
    <phoneticPr fontId="2" type="noConversion"/>
  </si>
  <si>
    <t>계약사항 - 38주 긴급지원</t>
    <phoneticPr fontId="2" type="noConversion"/>
  </si>
  <si>
    <t>HOC</t>
    <phoneticPr fontId="2" type="noConversion"/>
  </si>
  <si>
    <t>OAC</t>
    <phoneticPr fontId="2" type="noConversion"/>
  </si>
  <si>
    <t>25T 감속기 누유 외 20T 피니언 그리스 등</t>
    <phoneticPr fontId="2" type="noConversion"/>
  </si>
  <si>
    <t>우신(2)</t>
    <phoneticPr fontId="2" type="noConversion"/>
  </si>
  <si>
    <t>코멘트사항 - 38주 긴급지원</t>
    <phoneticPr fontId="2" type="noConversion"/>
  </si>
  <si>
    <t>20T 어퍼 내부 압력센서 케이블 정리 외</t>
    <phoneticPr fontId="2" type="noConversion"/>
  </si>
  <si>
    <t>우신(1)</t>
    <phoneticPr fontId="2" type="noConversion"/>
  </si>
  <si>
    <t>유상</t>
    <phoneticPr fontId="2" type="noConversion"/>
  </si>
  <si>
    <t>계선기 해체작업</t>
    <phoneticPr fontId="2" type="noConversion"/>
  </si>
  <si>
    <t>박주성</t>
    <phoneticPr fontId="2" type="noConversion"/>
  </si>
  <si>
    <t>HIO(10)</t>
    <phoneticPr fontId="2" type="noConversion"/>
  </si>
  <si>
    <t>유상</t>
    <phoneticPr fontId="2" type="noConversion"/>
  </si>
  <si>
    <t>외주정비</t>
    <phoneticPr fontId="2" type="noConversion"/>
  </si>
  <si>
    <t>9/24~9/25</t>
    <phoneticPr fontId="2" type="noConversion"/>
  </si>
  <si>
    <t>HOC</t>
    <phoneticPr fontId="2" type="noConversion"/>
  </si>
  <si>
    <t>No1 Aux crane 2T 시운전</t>
    <phoneticPr fontId="2" type="noConversion"/>
  </si>
  <si>
    <t>TP(2)</t>
    <phoneticPr fontId="2" type="noConversion"/>
  </si>
  <si>
    <t>유상</t>
    <phoneticPr fontId="2" type="noConversion"/>
  </si>
  <si>
    <t>보증 수리 사항</t>
    <phoneticPr fontId="2" type="noConversion"/>
  </si>
  <si>
    <t>9/26~9/27</t>
    <phoneticPr fontId="2" type="noConversion"/>
  </si>
  <si>
    <t>HOC</t>
    <phoneticPr fontId="2" type="noConversion"/>
  </si>
  <si>
    <t>OAC</t>
    <phoneticPr fontId="2" type="noConversion"/>
  </si>
  <si>
    <t>No1 Aux crane 2T 시운전</t>
    <phoneticPr fontId="2" type="noConversion"/>
  </si>
  <si>
    <t>이시맥</t>
    <phoneticPr fontId="2" type="noConversion"/>
  </si>
  <si>
    <t>TP(2),동아(2)</t>
    <phoneticPr fontId="2" type="noConversion"/>
  </si>
  <si>
    <t>보증 수리 사항</t>
    <phoneticPr fontId="2" type="noConversion"/>
  </si>
  <si>
    <t>9/24~9/25</t>
    <phoneticPr fontId="2" type="noConversion"/>
  </si>
  <si>
    <t>H7064</t>
    <phoneticPr fontId="2" type="noConversion"/>
  </si>
  <si>
    <t>BR</t>
    <phoneticPr fontId="2" type="noConversion"/>
  </si>
  <si>
    <t>Sheave 변형 조치</t>
    <phoneticPr fontId="2" type="noConversion"/>
  </si>
  <si>
    <t>우신(2)</t>
    <phoneticPr fontId="2" type="noConversion"/>
  </si>
  <si>
    <t>대변항</t>
    <phoneticPr fontId="2" type="noConversion"/>
  </si>
  <si>
    <t>SWN0281</t>
    <phoneticPr fontId="2" type="noConversion"/>
  </si>
  <si>
    <t>DOCKING LEG RUBBER 교체
(오전요청)</t>
    <phoneticPr fontId="2" type="noConversion"/>
  </si>
  <si>
    <t>김해공장</t>
    <phoneticPr fontId="2" type="noConversion"/>
  </si>
  <si>
    <t>9/29~10/2</t>
    <phoneticPr fontId="2" type="noConversion"/>
  </si>
  <si>
    <t>PA56</t>
    <phoneticPr fontId="2" type="noConversion"/>
  </si>
  <si>
    <t>포장</t>
    <phoneticPr fontId="2" type="noConversion"/>
  </si>
  <si>
    <t>HIO(3)</t>
    <phoneticPr fontId="2" type="noConversion"/>
  </si>
  <si>
    <t>9/29~10/2</t>
    <phoneticPr fontId="2" type="noConversion"/>
  </si>
  <si>
    <t>PE</t>
    <phoneticPr fontId="2" type="noConversion"/>
  </si>
  <si>
    <t>HIO(3)</t>
    <phoneticPr fontId="2" type="noConversion"/>
  </si>
  <si>
    <t>9/29~10/2</t>
    <phoneticPr fontId="2" type="noConversion"/>
  </si>
  <si>
    <t>ERC</t>
    <phoneticPr fontId="2" type="noConversion"/>
  </si>
  <si>
    <t>설치</t>
    <phoneticPr fontId="2" type="noConversion"/>
  </si>
  <si>
    <t>이광형</t>
    <phoneticPr fontId="2" type="noConversion"/>
  </si>
  <si>
    <t>범양(4)-최기추</t>
    <phoneticPr fontId="2" type="noConversion"/>
  </si>
  <si>
    <t>인도전</t>
    <phoneticPr fontId="2" type="noConversion"/>
  </si>
  <si>
    <t>HHI</t>
    <phoneticPr fontId="2" type="noConversion"/>
  </si>
  <si>
    <t>P173</t>
    <phoneticPr fontId="2" type="noConversion"/>
  </si>
  <si>
    <t>ML</t>
    <phoneticPr fontId="2" type="noConversion"/>
  </si>
  <si>
    <t>설치</t>
    <phoneticPr fontId="2" type="noConversion"/>
  </si>
  <si>
    <t>계약사항 - 39주 긴급지원</t>
    <phoneticPr fontId="2" type="noConversion"/>
  </si>
  <si>
    <t>HOC</t>
    <phoneticPr fontId="2" type="noConversion"/>
  </si>
  <si>
    <t>BR</t>
    <phoneticPr fontId="2" type="noConversion"/>
  </si>
  <si>
    <t>상도 페인트 작업</t>
    <phoneticPr fontId="2" type="noConversion"/>
  </si>
  <si>
    <t>A/S</t>
    <phoneticPr fontId="2" type="noConversion"/>
  </si>
  <si>
    <t>BR</t>
    <phoneticPr fontId="2" type="noConversion"/>
  </si>
  <si>
    <t>시스템 안정화 및 모터 속도 셋팅</t>
    <phoneticPr fontId="2" type="noConversion"/>
  </si>
  <si>
    <t>동아(2)</t>
    <phoneticPr fontId="2" type="noConversion"/>
  </si>
  <si>
    <t>코멘트사항</t>
    <phoneticPr fontId="2" type="noConversion"/>
  </si>
  <si>
    <t>HJSC</t>
    <phoneticPr fontId="2" type="noConversion"/>
  </si>
  <si>
    <t>독도함</t>
    <phoneticPr fontId="2" type="noConversion"/>
  </si>
  <si>
    <t>소형 계선기 , 권양기 반출</t>
    <phoneticPr fontId="2" type="noConversion"/>
  </si>
  <si>
    <t>HIO(2)</t>
    <phoneticPr fontId="2" type="noConversion"/>
  </si>
  <si>
    <t>유상</t>
    <phoneticPr fontId="2" type="noConversion"/>
  </si>
  <si>
    <t>외주 정비</t>
    <phoneticPr fontId="2" type="noConversion"/>
  </si>
  <si>
    <t>S204/S188</t>
    <phoneticPr fontId="2" type="noConversion"/>
  </si>
  <si>
    <t>BR</t>
    <phoneticPr fontId="2" type="noConversion"/>
  </si>
  <si>
    <t>박주성</t>
    <phoneticPr fontId="2" type="noConversion"/>
  </si>
  <si>
    <t>우신(1)</t>
    <phoneticPr fontId="2" type="noConversion"/>
  </si>
  <si>
    <t>SHI</t>
    <phoneticPr fontId="2" type="noConversion"/>
  </si>
  <si>
    <t>HH/PV/CMR</t>
    <phoneticPr fontId="2" type="noConversion"/>
  </si>
  <si>
    <t>코멘트 조치</t>
    <phoneticPr fontId="2" type="noConversion"/>
  </si>
  <si>
    <t>김해공장</t>
    <phoneticPr fontId="2" type="noConversion"/>
  </si>
  <si>
    <t>10/3~4</t>
    <phoneticPr fontId="2" type="noConversion"/>
  </si>
  <si>
    <t>H1017</t>
    <phoneticPr fontId="2" type="noConversion"/>
  </si>
  <si>
    <t>포장</t>
    <phoneticPr fontId="2" type="noConversion"/>
  </si>
  <si>
    <t>HIO(4)</t>
    <phoneticPr fontId="2" type="noConversion"/>
  </si>
  <si>
    <t>HIO(4)</t>
    <phoneticPr fontId="2" type="noConversion"/>
  </si>
  <si>
    <t>40주 긴급지원</t>
    <phoneticPr fontId="2" type="noConversion"/>
  </si>
  <si>
    <t>10/10~11</t>
    <phoneticPr fontId="2" type="noConversion"/>
  </si>
  <si>
    <t>H1017</t>
    <phoneticPr fontId="2" type="noConversion"/>
  </si>
  <si>
    <t>RB</t>
    <phoneticPr fontId="2" type="noConversion"/>
  </si>
  <si>
    <t>HIO(2)</t>
    <phoneticPr fontId="2" type="noConversion"/>
  </si>
  <si>
    <t>OAC</t>
    <phoneticPr fontId="2" type="noConversion"/>
  </si>
  <si>
    <t>25T CCTV 설치</t>
    <phoneticPr fontId="2" type="noConversion"/>
  </si>
  <si>
    <t>유상</t>
    <phoneticPr fontId="2" type="noConversion"/>
  </si>
  <si>
    <t>계약사항 - 40주 긴급지원</t>
    <phoneticPr fontId="2" type="noConversion"/>
  </si>
  <si>
    <t>10/8~9</t>
    <phoneticPr fontId="2" type="noConversion"/>
  </si>
  <si>
    <t>HOC</t>
    <phoneticPr fontId="2" type="noConversion"/>
  </si>
  <si>
    <t>20T 누유조치</t>
    <phoneticPr fontId="2" type="noConversion"/>
  </si>
  <si>
    <t>김영민</t>
    <phoneticPr fontId="2" type="noConversion"/>
  </si>
  <si>
    <t>우신(6)</t>
    <phoneticPr fontId="2" type="noConversion"/>
  </si>
  <si>
    <t>유상</t>
    <phoneticPr fontId="2" type="noConversion"/>
  </si>
  <si>
    <t>김해공장</t>
    <phoneticPr fontId="2" type="noConversion"/>
  </si>
  <si>
    <t>10/13~17</t>
    <phoneticPr fontId="2" type="noConversion"/>
  </si>
  <si>
    <t>SN2661</t>
    <phoneticPr fontId="2" type="noConversion"/>
  </si>
  <si>
    <t>SN2661</t>
    <phoneticPr fontId="2" type="noConversion"/>
  </si>
  <si>
    <t>LAC</t>
    <phoneticPr fontId="2" type="noConversion"/>
  </si>
  <si>
    <t>포장</t>
    <phoneticPr fontId="2" type="noConversion"/>
  </si>
  <si>
    <t>HIO(5)</t>
    <phoneticPr fontId="2" type="noConversion"/>
  </si>
  <si>
    <t>10/13~17</t>
    <phoneticPr fontId="2" type="noConversion"/>
  </si>
  <si>
    <t>P178</t>
    <phoneticPr fontId="2" type="noConversion"/>
  </si>
  <si>
    <t>PE</t>
    <phoneticPr fontId="2" type="noConversion"/>
  </si>
  <si>
    <t>조립</t>
    <phoneticPr fontId="2" type="noConversion"/>
  </si>
  <si>
    <t>10/14~16</t>
    <phoneticPr fontId="2" type="noConversion"/>
  </si>
  <si>
    <t>덴소 작업</t>
    <phoneticPr fontId="2" type="noConversion"/>
  </si>
  <si>
    <t>베스트솔루션(12)</t>
    <phoneticPr fontId="2" type="noConversion"/>
  </si>
  <si>
    <t>PA56</t>
    <phoneticPr fontId="2" type="noConversion"/>
  </si>
  <si>
    <t>이광형</t>
    <phoneticPr fontId="2" type="noConversion"/>
  </si>
  <si>
    <t>10/13~15</t>
    <phoneticPr fontId="2" type="noConversion"/>
  </si>
  <si>
    <t>HOC</t>
    <phoneticPr fontId="2" type="noConversion"/>
  </si>
  <si>
    <t>H7064</t>
    <phoneticPr fontId="2" type="noConversion"/>
  </si>
  <si>
    <t>동조 기능 이상 조치</t>
    <phoneticPr fontId="2" type="noConversion"/>
  </si>
  <si>
    <t>동아(6)</t>
    <phoneticPr fontId="2" type="noConversion"/>
  </si>
  <si>
    <t>구매부서발주</t>
    <phoneticPr fontId="2" type="noConversion"/>
  </si>
  <si>
    <t>10/13~14</t>
    <phoneticPr fontId="2" type="noConversion"/>
  </si>
  <si>
    <t>SHI</t>
    <phoneticPr fontId="2" type="noConversion"/>
  </si>
  <si>
    <t>SN2619</t>
    <phoneticPr fontId="2" type="noConversion"/>
  </si>
  <si>
    <t>HH</t>
    <phoneticPr fontId="2" type="noConversion"/>
  </si>
  <si>
    <t>UP LIMIT 동작 조치</t>
    <phoneticPr fontId="2" type="noConversion"/>
  </si>
  <si>
    <t>DST(4)</t>
    <phoneticPr fontId="2" type="noConversion"/>
  </si>
  <si>
    <t>구매부서발주</t>
    <phoneticPr fontId="2" type="noConversion"/>
  </si>
  <si>
    <t>10/15~17</t>
    <phoneticPr fontId="2" type="noConversion"/>
  </si>
  <si>
    <t>SW</t>
    <phoneticPr fontId="2" type="noConversion"/>
  </si>
  <si>
    <t>SWN0284</t>
    <phoneticPr fontId="2" type="noConversion"/>
  </si>
  <si>
    <t>KT/RB</t>
    <phoneticPr fontId="2" type="noConversion"/>
  </si>
  <si>
    <t>박성용</t>
    <phoneticPr fontId="2" type="noConversion"/>
  </si>
  <si>
    <t>가야(3),DST(3)</t>
    <phoneticPr fontId="2" type="noConversion"/>
  </si>
  <si>
    <t>10/20~25</t>
    <phoneticPr fontId="2" type="noConversion"/>
  </si>
  <si>
    <t>YN05</t>
    <phoneticPr fontId="2" type="noConversion"/>
  </si>
  <si>
    <t>PV</t>
    <phoneticPr fontId="2" type="noConversion"/>
  </si>
  <si>
    <t>조립</t>
    <phoneticPr fontId="2" type="noConversion"/>
  </si>
  <si>
    <t>10/20,25</t>
    <phoneticPr fontId="2" type="noConversion"/>
  </si>
  <si>
    <t>P178</t>
    <phoneticPr fontId="2" type="noConversion"/>
  </si>
  <si>
    <t>PE</t>
    <phoneticPr fontId="2" type="noConversion"/>
  </si>
  <si>
    <t>HIO(1)</t>
    <phoneticPr fontId="2" type="noConversion"/>
  </si>
  <si>
    <t>HJSC</t>
    <phoneticPr fontId="2" type="noConversion"/>
  </si>
  <si>
    <t>KT</t>
    <phoneticPr fontId="2" type="noConversion"/>
  </si>
  <si>
    <t>REST PAD 설치/도장보수요청/온보드 검사 전 CHECK</t>
    <phoneticPr fontId="2" type="noConversion"/>
  </si>
  <si>
    <t>계약사항</t>
    <phoneticPr fontId="2" type="noConversion"/>
  </si>
  <si>
    <t>10/20~21</t>
    <phoneticPr fontId="2" type="noConversion"/>
  </si>
  <si>
    <t>2T 20T 25T 크레인 파킹포지션셋팅</t>
    <phoneticPr fontId="2" type="noConversion"/>
  </si>
  <si>
    <t>유상</t>
    <phoneticPr fontId="2" type="noConversion"/>
  </si>
  <si>
    <t>외주 정비</t>
    <phoneticPr fontId="2" type="noConversion"/>
  </si>
  <si>
    <t>인도후</t>
    <phoneticPr fontId="2" type="noConversion"/>
  </si>
  <si>
    <t>CS</t>
    <phoneticPr fontId="2" type="noConversion"/>
  </si>
  <si>
    <t>CAPSTAN 해체 후 반출</t>
    <phoneticPr fontId="2" type="noConversion"/>
  </si>
  <si>
    <t>박주성</t>
    <phoneticPr fontId="2" type="noConversion"/>
  </si>
  <si>
    <t>HIO(1)</t>
    <phoneticPr fontId="2" type="noConversion"/>
  </si>
  <si>
    <t>10/21~23</t>
    <phoneticPr fontId="2" type="noConversion"/>
  </si>
  <si>
    <t>독도함</t>
    <phoneticPr fontId="2" type="noConversion"/>
  </si>
  <si>
    <t>주갑판 계선기 함해체</t>
    <phoneticPr fontId="2" type="noConversion"/>
  </si>
  <si>
    <t>박주성</t>
    <phoneticPr fontId="2" type="noConversion"/>
  </si>
  <si>
    <t>HIO(6)</t>
    <phoneticPr fontId="2" type="noConversion"/>
  </si>
  <si>
    <t>계약사항</t>
    <phoneticPr fontId="2" type="noConversion"/>
  </si>
  <si>
    <t>10/22~23</t>
    <phoneticPr fontId="2" type="noConversion"/>
  </si>
  <si>
    <t>온보드 검사</t>
    <phoneticPr fontId="2" type="noConversion"/>
  </si>
  <si>
    <t>박성용</t>
    <phoneticPr fontId="2" type="noConversion"/>
  </si>
  <si>
    <t>무상</t>
    <phoneticPr fontId="2" type="noConversion"/>
  </si>
  <si>
    <t>계약사항</t>
    <phoneticPr fontId="2" type="noConversion"/>
  </si>
  <si>
    <t>S187</t>
    <phoneticPr fontId="2" type="noConversion"/>
  </si>
  <si>
    <t>BSR</t>
    <phoneticPr fontId="2" type="noConversion"/>
  </si>
  <si>
    <t>스턴 램프 하강 작동 작업</t>
    <phoneticPr fontId="2" type="noConversion"/>
  </si>
  <si>
    <t>범양(1)</t>
    <phoneticPr fontId="2" type="noConversion"/>
  </si>
  <si>
    <t>코멘트 사항</t>
    <phoneticPr fontId="2" type="noConversion"/>
  </si>
  <si>
    <t>PV/HH</t>
    <phoneticPr fontId="2" type="noConversion"/>
  </si>
  <si>
    <t>와어어 꼬임 현상 외 코멘트 작업</t>
    <phoneticPr fontId="2" type="noConversion"/>
  </si>
  <si>
    <t>코멘트 사항</t>
    <phoneticPr fontId="2" type="noConversion"/>
  </si>
  <si>
    <t>10/18~19</t>
    <phoneticPr fontId="2" type="noConversion"/>
  </si>
  <si>
    <t>사외작업</t>
    <phoneticPr fontId="2" type="noConversion"/>
  </si>
  <si>
    <t>창성</t>
    <phoneticPr fontId="2" type="noConversion"/>
  </si>
  <si>
    <t>PA56</t>
    <phoneticPr fontId="2" type="noConversion"/>
  </si>
  <si>
    <t>전처리 검사 지원</t>
    <phoneticPr fontId="2" type="noConversion"/>
  </si>
  <si>
    <t>43주 긴급 지원</t>
    <phoneticPr fontId="2" type="noConversion"/>
  </si>
  <si>
    <t>43주 긴급 지원</t>
    <phoneticPr fontId="2" type="noConversion"/>
  </si>
  <si>
    <t>10/25~26</t>
    <phoneticPr fontId="2" type="noConversion"/>
  </si>
  <si>
    <t>창성</t>
    <phoneticPr fontId="2" type="noConversion"/>
  </si>
  <si>
    <t>전처리 검사 지원</t>
    <phoneticPr fontId="2" type="noConversion"/>
  </si>
  <si>
    <t>우신(8)</t>
    <phoneticPr fontId="2" type="noConversion"/>
  </si>
  <si>
    <t>10/27~31</t>
    <phoneticPr fontId="2" type="noConversion"/>
  </si>
  <si>
    <t>PA57</t>
    <phoneticPr fontId="2" type="noConversion"/>
  </si>
  <si>
    <t>조립 / FAT</t>
    <phoneticPr fontId="2" type="noConversion"/>
  </si>
  <si>
    <t>10/27~31</t>
    <phoneticPr fontId="2" type="noConversion"/>
  </si>
  <si>
    <t>PA57</t>
    <phoneticPr fontId="2" type="noConversion"/>
  </si>
  <si>
    <t>10/29~31</t>
    <phoneticPr fontId="2" type="noConversion"/>
  </si>
  <si>
    <t>PV</t>
    <phoneticPr fontId="2" type="noConversion"/>
  </si>
  <si>
    <t>해체</t>
    <phoneticPr fontId="2" type="noConversion"/>
  </si>
  <si>
    <t>이광형</t>
    <phoneticPr fontId="2" type="noConversion"/>
  </si>
  <si>
    <t>HIO(3)</t>
    <phoneticPr fontId="2" type="noConversion"/>
  </si>
  <si>
    <t>OAC</t>
    <phoneticPr fontId="2" type="noConversion"/>
  </si>
  <si>
    <t>시운전 / 2T 20T 25T 크레인 파킹포지션셋팅</t>
    <phoneticPr fontId="2" type="noConversion"/>
  </si>
  <si>
    <t>이시맥</t>
    <phoneticPr fontId="2" type="noConversion"/>
  </si>
  <si>
    <t>계약사항 - 43주 긴급지원</t>
    <phoneticPr fontId="2" type="noConversion"/>
  </si>
  <si>
    <t>S189</t>
    <phoneticPr fontId="2" type="noConversion"/>
  </si>
  <si>
    <t>S189</t>
    <phoneticPr fontId="2" type="noConversion"/>
  </si>
  <si>
    <t>BSR</t>
    <phoneticPr fontId="2" type="noConversion"/>
  </si>
  <si>
    <t>커미셔닝</t>
    <phoneticPr fontId="2" type="noConversion"/>
  </si>
  <si>
    <t>범양(1)</t>
    <phoneticPr fontId="2" type="noConversion"/>
  </si>
  <si>
    <t>대변항</t>
    <phoneticPr fontId="2" type="noConversion"/>
  </si>
  <si>
    <t>SWN0281
(무궁화22호)</t>
    <phoneticPr fontId="2" type="noConversion"/>
  </si>
  <si>
    <t>RB</t>
    <phoneticPr fontId="2" type="noConversion"/>
  </si>
  <si>
    <t>좌현 링크 손잡이 파손 교체 외</t>
    <phoneticPr fontId="2" type="noConversion"/>
  </si>
  <si>
    <t>H7064</t>
    <phoneticPr fontId="2" type="noConversion"/>
  </si>
  <si>
    <t>자동장력 체크 및 로타리 시스템 200:1→100:1 조율
/ 매뉴얼 작동 요청</t>
    <phoneticPr fontId="2" type="noConversion"/>
  </si>
  <si>
    <t>H7064</t>
    <phoneticPr fontId="2" type="noConversion"/>
  </si>
  <si>
    <t>동아(2)</t>
    <phoneticPr fontId="2" type="noConversion"/>
  </si>
  <si>
    <t>인도후</t>
    <phoneticPr fontId="2" type="noConversion"/>
  </si>
  <si>
    <t>주갑판 계선기 함해체</t>
    <phoneticPr fontId="2" type="noConversion"/>
  </si>
  <si>
    <t>박주성</t>
    <phoneticPr fontId="2" type="noConversion"/>
  </si>
  <si>
    <t>HIO(2)</t>
    <phoneticPr fontId="2" type="noConversion"/>
  </si>
  <si>
    <t>이순신함</t>
    <phoneticPr fontId="2" type="noConversion"/>
  </si>
  <si>
    <t>Down Point Setting / 인디게이터 점검 /
좌현 DAVIT 전동기와 계전기쪽에 절연 (8:30)</t>
    <phoneticPr fontId="2" type="noConversion"/>
  </si>
  <si>
    <t>동아(1),신한(1)</t>
    <phoneticPr fontId="2" type="noConversion"/>
  </si>
  <si>
    <t>P178</t>
    <phoneticPr fontId="2" type="noConversion"/>
  </si>
  <si>
    <t>트롤리 설치 작업 / 좌현 크레인 방향표시 오류</t>
    <phoneticPr fontId="2" type="noConversion"/>
  </si>
  <si>
    <t>박주성</t>
    <phoneticPr fontId="2" type="noConversion"/>
  </si>
  <si>
    <t>우신(2)</t>
    <phoneticPr fontId="2" type="noConversion"/>
  </si>
  <si>
    <t>HHI</t>
    <phoneticPr fontId="2" type="noConversion"/>
  </si>
  <si>
    <t>P178</t>
    <phoneticPr fontId="2" type="noConversion"/>
  </si>
  <si>
    <t>트롤리 설치 재결선 작업</t>
    <phoneticPr fontId="2" type="noConversion"/>
  </si>
  <si>
    <t>박주성</t>
    <phoneticPr fontId="2" type="noConversion"/>
  </si>
  <si>
    <t>동아(1)</t>
    <phoneticPr fontId="2" type="noConversion"/>
  </si>
  <si>
    <t>우신(2)</t>
    <phoneticPr fontId="2" type="noConversion"/>
  </si>
  <si>
    <t>부산신항
(HPNT)</t>
    <phoneticPr fontId="2" type="noConversion"/>
  </si>
  <si>
    <t>MR</t>
    <phoneticPr fontId="2" type="noConversion"/>
  </si>
  <si>
    <t>HOIST CABLE REEL 장력 불량</t>
    <phoneticPr fontId="2" type="noConversion"/>
  </si>
  <si>
    <t>한국기전(2)</t>
    <phoneticPr fontId="2" type="noConversion"/>
  </si>
  <si>
    <t>유상</t>
    <phoneticPr fontId="2" type="noConversion"/>
  </si>
  <si>
    <t>11/1~11/2</t>
    <phoneticPr fontId="2" type="noConversion"/>
  </si>
  <si>
    <t>HIO(9)</t>
    <phoneticPr fontId="2" type="noConversion"/>
  </si>
  <si>
    <t>44주 긴급지원</t>
    <phoneticPr fontId="2" type="noConversion"/>
  </si>
  <si>
    <t>11/4~5</t>
    <phoneticPr fontId="2" type="noConversion"/>
  </si>
  <si>
    <t>SN2661</t>
    <phoneticPr fontId="2" type="noConversion"/>
  </si>
  <si>
    <t>LAC</t>
    <phoneticPr fontId="2" type="noConversion"/>
  </si>
  <si>
    <t>HIO(2)</t>
    <phoneticPr fontId="2" type="noConversion"/>
  </si>
  <si>
    <t>BR</t>
    <phoneticPr fontId="2" type="noConversion"/>
  </si>
  <si>
    <t>포장</t>
    <phoneticPr fontId="2" type="noConversion"/>
  </si>
  <si>
    <t>HIO(1)</t>
    <phoneticPr fontId="2" type="noConversion"/>
  </si>
  <si>
    <t>11/6~7</t>
    <phoneticPr fontId="2" type="noConversion"/>
  </si>
  <si>
    <t>PV/ER/HH</t>
    <phoneticPr fontId="2" type="noConversion"/>
  </si>
  <si>
    <t>보수도장</t>
    <phoneticPr fontId="2" type="noConversion"/>
  </si>
  <si>
    <t>HIO(2)</t>
    <phoneticPr fontId="2" type="noConversion"/>
  </si>
  <si>
    <t>11/6~7</t>
    <phoneticPr fontId="2" type="noConversion"/>
  </si>
  <si>
    <t>YN05</t>
    <phoneticPr fontId="2" type="noConversion"/>
  </si>
  <si>
    <t>PV/ER/HH</t>
    <phoneticPr fontId="2" type="noConversion"/>
  </si>
  <si>
    <t>A/S</t>
    <phoneticPr fontId="2" type="noConversion"/>
  </si>
  <si>
    <t>매뉴얼 작동 요청</t>
    <phoneticPr fontId="2" type="noConversion"/>
  </si>
  <si>
    <t>계약사항 - 44주 긴급지원</t>
    <phoneticPr fontId="2" type="noConversion"/>
  </si>
  <si>
    <t>자동장력 체크 및 로타리 시스템 200:1→100:1 조율</t>
    <phoneticPr fontId="2" type="noConversion"/>
  </si>
  <si>
    <t>동아(2)</t>
    <phoneticPr fontId="2" type="noConversion"/>
  </si>
  <si>
    <t>코멘트조치</t>
    <phoneticPr fontId="2" type="noConversion"/>
  </si>
  <si>
    <t>자동장력 체크 및 로타리 시스템 200:1→100:1 조율</t>
    <phoneticPr fontId="2" type="noConversion"/>
  </si>
  <si>
    <t>코멘트조치</t>
    <phoneticPr fontId="2" type="noConversion"/>
  </si>
  <si>
    <t>HHI</t>
    <phoneticPr fontId="2" type="noConversion"/>
  </si>
  <si>
    <t>P169</t>
    <phoneticPr fontId="2" type="noConversion"/>
  </si>
  <si>
    <t>HOC/ML
/PE</t>
    <phoneticPr fontId="2" type="noConversion"/>
  </si>
  <si>
    <t>그랜드 확인 및 와이어 터짐 / 코멘트 조치 / 탑재</t>
    <phoneticPr fontId="2" type="noConversion"/>
  </si>
  <si>
    <t>범양(1),HIO(1)</t>
    <phoneticPr fontId="2" type="noConversion"/>
  </si>
  <si>
    <t>코멘트조치/계약사항</t>
    <phoneticPr fontId="2" type="noConversion"/>
  </si>
  <si>
    <t>인도후</t>
    <phoneticPr fontId="2" type="noConversion"/>
  </si>
  <si>
    <t>7060
(강화도함)</t>
    <phoneticPr fontId="2" type="noConversion"/>
  </si>
  <si>
    <t>WD/CS
/TC/ROVL</t>
    <phoneticPr fontId="2" type="noConversion"/>
  </si>
  <si>
    <t>WD/CS
/TC/ROVL</t>
    <phoneticPr fontId="2" type="noConversion"/>
  </si>
  <si>
    <t>크레인 붐 하부 누유 외 코멘트조치</t>
    <phoneticPr fontId="2" type="noConversion"/>
  </si>
  <si>
    <t>보증수리</t>
    <phoneticPr fontId="2" type="noConversion"/>
  </si>
  <si>
    <t>작동 검사(FAT) 오후 13시30분</t>
    <phoneticPr fontId="2" type="noConversion"/>
  </si>
  <si>
    <t>7060
(강화도함)</t>
    <phoneticPr fontId="2" type="noConversion"/>
  </si>
  <si>
    <t>WD/CS
/TC/ROVL</t>
    <phoneticPr fontId="2" type="noConversion"/>
  </si>
  <si>
    <t>좌현 앵카 제자리 불가 외 코멘트 조치</t>
    <phoneticPr fontId="2" type="noConversion"/>
  </si>
  <si>
    <t>좌현 앵카 제자리 불가 외 코멘트 조치</t>
    <phoneticPr fontId="2" type="noConversion"/>
  </si>
  <si>
    <t>보증수리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</si>
  <si>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</si>
  <si>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</si>
  <si>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</si>
  <si>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페데스탈 및 스타터판넬 코멘트 조치</t>
    <phoneticPr fontId="2" type="noConversion"/>
  </si>
  <si>
    <t>김해공장</t>
    <phoneticPr fontId="2" type="noConversion"/>
  </si>
  <si>
    <t>PA57</t>
    <phoneticPr fontId="2" type="noConversion"/>
  </si>
  <si>
    <t>FLAP 가조립</t>
    <phoneticPr fontId="2" type="noConversion"/>
  </si>
  <si>
    <t>45주 긴급지원</t>
    <phoneticPr fontId="2" type="noConversion"/>
  </si>
  <si>
    <t>11/10~14</t>
    <phoneticPr fontId="2" type="noConversion"/>
  </si>
  <si>
    <t>조립</t>
    <phoneticPr fontId="2" type="noConversion"/>
  </si>
  <si>
    <t>11/10~12</t>
    <phoneticPr fontId="2" type="noConversion"/>
  </si>
  <si>
    <t>PV/ER/HH</t>
    <phoneticPr fontId="2" type="noConversion"/>
  </si>
  <si>
    <t>HIO(3)</t>
    <phoneticPr fontId="2" type="noConversion"/>
  </si>
  <si>
    <t>11/13~14</t>
    <phoneticPr fontId="2" type="noConversion"/>
  </si>
  <si>
    <t>조립</t>
    <phoneticPr fontId="2" type="noConversion"/>
  </si>
  <si>
    <t xml:space="preserve">로드리미터 교체 </t>
    <phoneticPr fontId="2" type="noConversion"/>
  </si>
  <si>
    <t>코멘트사항 - 45주 긴급지원</t>
    <phoneticPr fontId="2" type="noConversion"/>
  </si>
  <si>
    <t>HHI</t>
    <phoneticPr fontId="2" type="noConversion"/>
  </si>
  <si>
    <t>P173</t>
    <phoneticPr fontId="2" type="noConversion"/>
  </si>
  <si>
    <t>본선 설치 /
브레이크 와이어 끝단 수축튜브 작업</t>
    <phoneticPr fontId="2" type="noConversion"/>
  </si>
  <si>
    <t>자동장력 체크</t>
    <phoneticPr fontId="2" type="noConversion"/>
  </si>
  <si>
    <t>동아(1)</t>
    <phoneticPr fontId="2" type="noConversion"/>
  </si>
  <si>
    <t>코멘트조치</t>
    <phoneticPr fontId="2" type="noConversion"/>
  </si>
  <si>
    <t>시운전 및 코멘트 조치</t>
    <phoneticPr fontId="2" type="noConversion"/>
  </si>
  <si>
    <t>이시맥</t>
    <phoneticPr fontId="2" type="noConversion"/>
  </si>
  <si>
    <t>TP(1),동아(1)</t>
    <phoneticPr fontId="2" type="noConversion"/>
  </si>
  <si>
    <t>유상</t>
    <phoneticPr fontId="2" type="noConversion"/>
  </si>
  <si>
    <t>S204</t>
    <phoneticPr fontId="2" type="noConversion"/>
  </si>
  <si>
    <t>INVERTER 수리</t>
    <phoneticPr fontId="2" type="noConversion"/>
  </si>
  <si>
    <t>아이파워(1)</t>
    <phoneticPr fontId="2" type="noConversion"/>
  </si>
  <si>
    <t>코멘트조치</t>
    <phoneticPr fontId="2" type="noConversion"/>
  </si>
  <si>
    <t>7060
(강화도함)</t>
    <phoneticPr fontId="2" type="noConversion"/>
  </si>
  <si>
    <t>WD/CS
/TC/ROVL</t>
    <phoneticPr fontId="2" type="noConversion"/>
  </si>
  <si>
    <t>수중무인탐사기(ROV) LARS 해수쿨러 누유 
외 코멘트 조치</t>
    <phoneticPr fontId="2" type="noConversion"/>
  </si>
  <si>
    <t>수중무인탐사기(ROV) LARS 해수쿨러 누유 
외 코멘트 조치</t>
    <phoneticPr fontId="2" type="noConversion"/>
  </si>
  <si>
    <t>코멘트조치</t>
    <phoneticPr fontId="2" type="noConversion"/>
  </si>
  <si>
    <t>7060
(강화도함)</t>
    <phoneticPr fontId="2" type="noConversion"/>
  </si>
  <si>
    <t>동아(1),DST(1)</t>
    <phoneticPr fontId="2" type="noConversion"/>
  </si>
  <si>
    <t>코멘트조치</t>
    <phoneticPr fontId="2" type="noConversion"/>
  </si>
  <si>
    <t>우현 크레인 리모컨 비상작동 버튼 불량 /
우현 모터 전선케이블 연결부 소손</t>
    <phoneticPr fontId="2" type="noConversion"/>
  </si>
  <si>
    <t>HAT 평가</t>
    <phoneticPr fontId="2" type="noConversion"/>
  </si>
  <si>
    <t>우신(1)</t>
    <phoneticPr fontId="2" type="noConversion"/>
  </si>
  <si>
    <t>창성</t>
    <phoneticPr fontId="2" type="noConversion"/>
  </si>
  <si>
    <t>수정 작업</t>
    <phoneticPr fontId="2" type="noConversion"/>
  </si>
  <si>
    <t>HIO(1)</t>
    <phoneticPr fontId="2" type="noConversion"/>
  </si>
  <si>
    <t>46주 긴급지원</t>
    <phoneticPr fontId="2" type="noConversion"/>
  </si>
  <si>
    <t>진성마린</t>
    <phoneticPr fontId="2" type="noConversion"/>
  </si>
  <si>
    <t>P179</t>
    <phoneticPr fontId="2" type="noConversion"/>
  </si>
  <si>
    <t>PE</t>
    <phoneticPr fontId="2" type="noConversion"/>
  </si>
  <si>
    <t>전처리 검사</t>
    <phoneticPr fontId="2" type="noConversion"/>
  </si>
  <si>
    <t>11/18~20</t>
    <phoneticPr fontId="2" type="noConversion"/>
  </si>
  <si>
    <t>11/17~18</t>
    <phoneticPr fontId="2" type="noConversion"/>
  </si>
  <si>
    <t>ER/HH/PE</t>
    <phoneticPr fontId="2" type="noConversion"/>
  </si>
  <si>
    <t>포장</t>
    <phoneticPr fontId="2" type="noConversion"/>
  </si>
  <si>
    <t>HIO(2)</t>
    <phoneticPr fontId="2" type="noConversion"/>
  </si>
  <si>
    <t>11/19~21</t>
    <phoneticPr fontId="2" type="noConversion"/>
  </si>
  <si>
    <t>PA57</t>
    <phoneticPr fontId="2" type="noConversion"/>
  </si>
  <si>
    <t>HIO(3)</t>
    <phoneticPr fontId="2" type="noConversion"/>
  </si>
  <si>
    <t>KN</t>
    <phoneticPr fontId="2" type="noConversion"/>
  </si>
  <si>
    <t>222003
(3020함)</t>
    <phoneticPr fontId="2" type="noConversion"/>
  </si>
  <si>
    <t>222003
(3020함)</t>
    <phoneticPr fontId="2" type="noConversion"/>
  </si>
  <si>
    <t>RB/KT</t>
    <phoneticPr fontId="2" type="noConversion"/>
  </si>
  <si>
    <t>커미셔닝</t>
    <phoneticPr fontId="2" type="noConversion"/>
  </si>
  <si>
    <t>DST(2)</t>
    <phoneticPr fontId="2" type="noConversion"/>
  </si>
  <si>
    <t>계약 사항 - 46주 긴급지원</t>
    <phoneticPr fontId="2" type="noConversion"/>
  </si>
  <si>
    <t>SHI</t>
    <phoneticPr fontId="2" type="noConversion"/>
  </si>
  <si>
    <t>LAC</t>
    <phoneticPr fontId="2" type="noConversion"/>
  </si>
  <si>
    <t>Starter panel Power line 결선 작업</t>
    <phoneticPr fontId="2" type="noConversion"/>
  </si>
  <si>
    <t>코멘트사항 - 46주 긴급지원</t>
    <phoneticPr fontId="2" type="noConversion"/>
  </si>
  <si>
    <t>RB/KT</t>
    <phoneticPr fontId="2" type="noConversion"/>
  </si>
  <si>
    <t>커미셔닝</t>
    <phoneticPr fontId="2" type="noConversion"/>
  </si>
  <si>
    <t>계약 사항 - 46주 긴급지원</t>
    <phoneticPr fontId="2" type="noConversion"/>
  </si>
  <si>
    <t>페데스탈 플랫폼 그레이팅클립 체결 외</t>
    <phoneticPr fontId="2" type="noConversion"/>
  </si>
  <si>
    <t>코멘트사항 - 46주 긴급지원</t>
    <phoneticPr fontId="2" type="noConversion"/>
  </si>
  <si>
    <t>KN</t>
    <phoneticPr fontId="2" type="noConversion"/>
  </si>
  <si>
    <t>222003
(3020함)</t>
    <phoneticPr fontId="2" type="noConversion"/>
  </si>
  <si>
    <t>RB/KT</t>
    <phoneticPr fontId="2" type="noConversion"/>
  </si>
  <si>
    <t>커미셔닝 / 장비 사전 점검</t>
    <phoneticPr fontId="2" type="noConversion"/>
  </si>
  <si>
    <t>코멘트사항 - 46주 긴급지원</t>
    <phoneticPr fontId="2" type="noConversion"/>
  </si>
  <si>
    <t>HHI</t>
    <phoneticPr fontId="2" type="noConversion"/>
  </si>
  <si>
    <t>검사(해양사업부)</t>
    <phoneticPr fontId="2" type="noConversion"/>
  </si>
  <si>
    <t>DSS</t>
    <phoneticPr fontId="2" type="noConversion"/>
  </si>
  <si>
    <t>SB687</t>
    <phoneticPr fontId="2" type="noConversion"/>
  </si>
  <si>
    <t>커미셔닝</t>
    <phoneticPr fontId="2" type="noConversion"/>
  </si>
  <si>
    <t>KN</t>
    <phoneticPr fontId="2" type="noConversion"/>
  </si>
  <si>
    <t xml:space="preserve"> 콘트롤스탠드의 비상 정지 버튼 커버가 파손  / 
밧데리 결선</t>
    <phoneticPr fontId="2" type="noConversion"/>
  </si>
  <si>
    <t>가야(1)</t>
    <phoneticPr fontId="2" type="noConversion"/>
  </si>
  <si>
    <t>HJSC</t>
    <phoneticPr fontId="2" type="noConversion"/>
  </si>
  <si>
    <t>S205</t>
    <phoneticPr fontId="2" type="noConversion"/>
  </si>
  <si>
    <t>자동장력 작업</t>
    <phoneticPr fontId="2" type="noConversion"/>
  </si>
  <si>
    <t>RB</t>
    <phoneticPr fontId="2" type="noConversion"/>
  </si>
  <si>
    <t>자동장력 작업</t>
    <phoneticPr fontId="2" type="noConversion"/>
  </si>
  <si>
    <t>222003
(3020함)</t>
    <phoneticPr fontId="2" type="noConversion"/>
  </si>
  <si>
    <t>KN</t>
    <phoneticPr fontId="2" type="noConversion"/>
  </si>
  <si>
    <t>시운전</t>
    <phoneticPr fontId="2" type="noConversion"/>
  </si>
  <si>
    <t>DST(1)</t>
    <phoneticPr fontId="2" type="noConversion"/>
  </si>
  <si>
    <t>11/19~20</t>
    <phoneticPr fontId="2" type="noConversion"/>
  </si>
  <si>
    <t>SW</t>
    <phoneticPr fontId="2" type="noConversion"/>
  </si>
  <si>
    <t>SWN0289</t>
    <phoneticPr fontId="2" type="noConversion"/>
  </si>
  <si>
    <t>온보드 테스트 및 승조원 교육</t>
    <phoneticPr fontId="2" type="noConversion"/>
  </si>
  <si>
    <t>온보드 테스트 및 승조원 교육</t>
    <phoneticPr fontId="2" type="noConversion"/>
  </si>
  <si>
    <t>동아(2)</t>
    <phoneticPr fontId="2" type="noConversion"/>
  </si>
  <si>
    <t>11/19~20</t>
    <phoneticPr fontId="2" type="noConversion"/>
  </si>
  <si>
    <t>SW</t>
    <phoneticPr fontId="2" type="noConversion"/>
  </si>
  <si>
    <t>LAC</t>
    <phoneticPr fontId="2" type="noConversion"/>
  </si>
  <si>
    <t xml:space="preserve"> Cable 결선을 위한 수평 Cable tray가 추가 외</t>
    <phoneticPr fontId="2" type="noConversion"/>
  </si>
  <si>
    <t>KT</t>
    <phoneticPr fontId="2" type="noConversion"/>
  </si>
  <si>
    <t>JB 설치 및 결선작업 / (ON/OFF 셀렉트 스위치 설치 
(리미트 해제용)</t>
    <phoneticPr fontId="2" type="noConversion"/>
  </si>
  <si>
    <t>동아(1)</t>
    <phoneticPr fontId="2" type="noConversion"/>
  </si>
  <si>
    <t>KT</t>
    <phoneticPr fontId="2" type="noConversion"/>
  </si>
  <si>
    <t>JB 설치 및 결선작업 / (ON/OFF 셀렉트 스위치 설치 
(리미트 해제용)</t>
    <phoneticPr fontId="2" type="noConversion"/>
  </si>
  <si>
    <t>김해공장</t>
    <phoneticPr fontId="2" type="noConversion"/>
  </si>
  <si>
    <t>11/21~22</t>
    <phoneticPr fontId="2" type="noConversion"/>
  </si>
  <si>
    <t>더베스트(4)</t>
    <phoneticPr fontId="2" type="noConversion"/>
  </si>
  <si>
    <t>47주 긴급지원</t>
    <phoneticPr fontId="2" type="noConversion"/>
  </si>
  <si>
    <t>11/26~28</t>
    <phoneticPr fontId="2" type="noConversion"/>
  </si>
  <si>
    <t>P179</t>
    <phoneticPr fontId="2" type="noConversion"/>
  </si>
  <si>
    <t>조립</t>
    <phoneticPr fontId="2" type="noConversion"/>
  </si>
  <si>
    <t>탑재/시운전/해체</t>
    <phoneticPr fontId="2" type="noConversion"/>
  </si>
  <si>
    <t>HIO(2)</t>
    <phoneticPr fontId="2" type="noConversion"/>
  </si>
  <si>
    <t>KN</t>
    <phoneticPr fontId="2" type="noConversion"/>
  </si>
  <si>
    <t xml:space="preserve"> 콘트롤스탠드의 비상 정지 버튼 커버가 파손  / 
밧데리 결선</t>
    <phoneticPr fontId="2" type="noConversion"/>
  </si>
  <si>
    <t>코멘트사항 - 47주 긴급지원</t>
    <phoneticPr fontId="2" type="noConversion"/>
  </si>
  <si>
    <t>DSS</t>
    <phoneticPr fontId="2" type="noConversion"/>
  </si>
  <si>
    <t>SB687</t>
    <phoneticPr fontId="2" type="noConversion"/>
  </si>
  <si>
    <t xml:space="preserve"> 언로딩솔 스위치가 파손 교체 외 코멘트 작업</t>
    <phoneticPr fontId="2" type="noConversion"/>
  </si>
  <si>
    <t>TP(1)</t>
    <phoneticPr fontId="2" type="noConversion"/>
  </si>
  <si>
    <t>코멘트사항 - 47주 긴급지원</t>
    <phoneticPr fontId="2" type="noConversion"/>
  </si>
  <si>
    <t>SR24001
(6325정)</t>
    <phoneticPr fontId="2" type="noConversion"/>
  </si>
  <si>
    <t>외주정비 및 정비품 회수</t>
    <phoneticPr fontId="2" type="noConversion"/>
  </si>
  <si>
    <t>계약 사항 - 47주 긴급지원</t>
    <phoneticPr fontId="2" type="noConversion"/>
  </si>
  <si>
    <t>계약 사항 - 47주 긴급지원</t>
    <phoneticPr fontId="2" type="noConversion"/>
  </si>
  <si>
    <t>222003
(3020함)</t>
    <phoneticPr fontId="2" type="noConversion"/>
  </si>
  <si>
    <t xml:space="preserve">보트 단정 준비 및 크레들 시트 용접 </t>
    <phoneticPr fontId="2" type="noConversion"/>
  </si>
  <si>
    <t>코멘트사항 - 47주 긴급지원</t>
    <phoneticPr fontId="2" type="noConversion"/>
  </si>
  <si>
    <t>DSS</t>
    <phoneticPr fontId="2" type="noConversion"/>
  </si>
  <si>
    <t>SB687</t>
    <phoneticPr fontId="2" type="noConversion"/>
  </si>
  <si>
    <t xml:space="preserve"> 언로딩솔 스위치 교체 (220V)</t>
    <phoneticPr fontId="2" type="noConversion"/>
  </si>
  <si>
    <t>TP(1)</t>
    <phoneticPr fontId="2" type="noConversion"/>
  </si>
  <si>
    <t>코멘트사항 - 47주 긴급지원</t>
    <phoneticPr fontId="2" type="noConversion"/>
  </si>
  <si>
    <t>KN</t>
    <phoneticPr fontId="2" type="noConversion"/>
  </si>
  <si>
    <t>RB/KT</t>
    <phoneticPr fontId="2" type="noConversion"/>
  </si>
  <si>
    <t>검사 준비</t>
    <phoneticPr fontId="2" type="noConversion"/>
  </si>
  <si>
    <t>우신(3)</t>
    <phoneticPr fontId="2" type="noConversion"/>
  </si>
  <si>
    <t>2T 풍속계 충돌방지 연장 외 코멘트 작업</t>
    <phoneticPr fontId="2" type="noConversion"/>
  </si>
  <si>
    <t>우신(1)</t>
    <phoneticPr fontId="2" type="noConversion"/>
  </si>
  <si>
    <t>코멘트조치- 47주 긴급지원</t>
    <phoneticPr fontId="2" type="noConversion"/>
  </si>
  <si>
    <t>DSS</t>
    <phoneticPr fontId="2" type="noConversion"/>
  </si>
  <si>
    <t>SB687</t>
    <phoneticPr fontId="2" type="noConversion"/>
  </si>
  <si>
    <t>검사 / 보트 탑재(시트 용접)</t>
    <phoneticPr fontId="2" type="noConversion"/>
  </si>
  <si>
    <t>박성용,김동명</t>
    <phoneticPr fontId="2" type="noConversion"/>
  </si>
  <si>
    <t>11/24~28</t>
    <phoneticPr fontId="2" type="noConversion"/>
  </si>
  <si>
    <t>BSR</t>
    <phoneticPr fontId="2" type="noConversion"/>
  </si>
  <si>
    <t>검사 준비</t>
    <phoneticPr fontId="2" type="noConversion"/>
  </si>
  <si>
    <t>S189</t>
    <phoneticPr fontId="2" type="noConversion"/>
  </si>
  <si>
    <t>검사 준비</t>
    <phoneticPr fontId="2" type="noConversion"/>
  </si>
  <si>
    <t>11/24~25</t>
    <phoneticPr fontId="2" type="noConversion"/>
  </si>
  <si>
    <t>222003
(3020함)</t>
    <phoneticPr fontId="2" type="noConversion"/>
  </si>
  <si>
    <t>RB/KT</t>
    <phoneticPr fontId="2" type="noConversion"/>
  </si>
  <si>
    <t>커미셔닝 / 검사</t>
    <phoneticPr fontId="2" type="noConversion"/>
  </si>
  <si>
    <t>인도후</t>
    <phoneticPr fontId="2" type="noConversion"/>
  </si>
  <si>
    <t>7060
(강화도함)</t>
    <phoneticPr fontId="2" type="noConversion"/>
  </si>
  <si>
    <t>CS/TC</t>
    <phoneticPr fontId="2" type="noConversion"/>
  </si>
  <si>
    <t>크레인 유리 세정용 워셔액 노즐 및 와이퍼 수리 외</t>
    <phoneticPr fontId="2" type="noConversion"/>
  </si>
  <si>
    <t>동아(1)</t>
    <phoneticPr fontId="2" type="noConversion"/>
  </si>
  <si>
    <t>보증수리사항</t>
    <phoneticPr fontId="2" type="noConversion"/>
  </si>
  <si>
    <t>7060
(강화도함)</t>
    <phoneticPr fontId="2" type="noConversion"/>
  </si>
  <si>
    <t>TC</t>
    <phoneticPr fontId="2" type="noConversion"/>
  </si>
  <si>
    <t>붐 반출</t>
    <phoneticPr fontId="2" type="noConversion"/>
  </si>
  <si>
    <t>이광형,박해식</t>
    <phoneticPr fontId="2" type="noConversion"/>
  </si>
  <si>
    <t>이광형,박해식</t>
    <phoneticPr fontId="2" type="noConversion"/>
  </si>
  <si>
    <t>우현 앵카 제자리 제한
(토르크리미트 재작업 예정) 외</t>
    <phoneticPr fontId="2" type="noConversion"/>
  </si>
  <si>
    <t>보증수리사항</t>
    <phoneticPr fontId="2" type="noConversion"/>
  </si>
  <si>
    <t>WD/CS
/TC/ROVL</t>
    <phoneticPr fontId="2" type="noConversion"/>
  </si>
  <si>
    <t>수중무인탐사기(ROV) LARS 해수쿨러 누유 외</t>
    <phoneticPr fontId="2" type="noConversion"/>
  </si>
  <si>
    <t>보증수리사항</t>
    <phoneticPr fontId="2" type="noConversion"/>
  </si>
  <si>
    <t>크레인 붐대 안착거치대 파손 및 탈락 외 점검</t>
    <phoneticPr fontId="2" type="noConversion"/>
  </si>
  <si>
    <t>도장</t>
    <phoneticPr fontId="2" type="noConversion"/>
  </si>
  <si>
    <t>45주 긴급지원</t>
    <phoneticPr fontId="2" type="noConversion"/>
  </si>
  <si>
    <t>SWNP0294</t>
    <phoneticPr fontId="2" type="noConversion"/>
  </si>
  <si>
    <t>FDC</t>
    <phoneticPr fontId="2" type="noConversion"/>
  </si>
  <si>
    <t>추가 전로 설치</t>
    <phoneticPr fontId="2" type="noConversion"/>
  </si>
  <si>
    <t>45주 긴급지원</t>
    <phoneticPr fontId="2" type="noConversion"/>
  </si>
  <si>
    <t>45주 긴급지원</t>
    <phoneticPr fontId="2" type="noConversion"/>
  </si>
  <si>
    <t>창성</t>
    <phoneticPr fontId="2" type="noConversion"/>
  </si>
  <si>
    <t>PA57</t>
    <phoneticPr fontId="2" type="noConversion"/>
  </si>
  <si>
    <t>아놀드 조립</t>
    <phoneticPr fontId="2" type="noConversion"/>
  </si>
  <si>
    <t>12/2~3</t>
    <phoneticPr fontId="2" type="noConversion"/>
  </si>
  <si>
    <t>더베스트(4)</t>
    <phoneticPr fontId="2" type="noConversion"/>
  </si>
  <si>
    <t>HIO(1)</t>
    <phoneticPr fontId="2" type="noConversion"/>
  </si>
  <si>
    <t>12/3~5</t>
    <phoneticPr fontId="2" type="noConversion"/>
  </si>
  <si>
    <t>12/3~5</t>
    <phoneticPr fontId="2" type="noConversion"/>
  </si>
  <si>
    <t>검사준비</t>
    <phoneticPr fontId="2" type="noConversion"/>
  </si>
  <si>
    <t>계약사항 - 48주 긴급지원</t>
    <phoneticPr fontId="2" type="noConversion"/>
  </si>
  <si>
    <t>20T 와이어 꼬임 / 25T 도어 크로저 추가</t>
    <phoneticPr fontId="2" type="noConversion"/>
  </si>
  <si>
    <t>코멘트사항 - 48주 긴급지원</t>
    <phoneticPr fontId="2" type="noConversion"/>
  </si>
  <si>
    <t>SKMT</t>
    <phoneticPr fontId="2" type="noConversion"/>
  </si>
  <si>
    <t>HLG</t>
    <phoneticPr fontId="2" type="noConversion"/>
  </si>
  <si>
    <t>승조원 교육</t>
    <phoneticPr fontId="2" type="noConversion"/>
  </si>
  <si>
    <t>CNM(1)</t>
    <phoneticPr fontId="2" type="noConversion"/>
  </si>
  <si>
    <t>SKMT</t>
    <phoneticPr fontId="2" type="noConversion"/>
  </si>
  <si>
    <t>GNN0016</t>
    <phoneticPr fontId="2" type="noConversion"/>
  </si>
  <si>
    <t>KT</t>
    <phoneticPr fontId="2" type="noConversion"/>
  </si>
  <si>
    <t>크레인 붐대 안착거치대 파손 및 탈락 외 점검</t>
    <phoneticPr fontId="2" type="noConversion"/>
  </si>
  <si>
    <t>보증수리사항</t>
    <phoneticPr fontId="2" type="noConversion"/>
  </si>
  <si>
    <t>OAC</t>
    <phoneticPr fontId="2" type="noConversion"/>
  </si>
  <si>
    <t>DOOR 파손 작업 및 명판교체 외 점검</t>
    <phoneticPr fontId="2" type="noConversion"/>
  </si>
  <si>
    <t>TC</t>
    <phoneticPr fontId="2" type="noConversion"/>
  </si>
  <si>
    <t xml:space="preserve"> 크레인 유리 세정용 워셔액 노즐 파손 교체 외</t>
    <phoneticPr fontId="2" type="noConversion"/>
  </si>
  <si>
    <t>보증수리사항</t>
    <phoneticPr fontId="2" type="noConversion"/>
  </si>
  <si>
    <t>인도후</t>
    <phoneticPr fontId="2" type="noConversion"/>
  </si>
  <si>
    <t>7060
(강화도함)</t>
    <phoneticPr fontId="2" type="noConversion"/>
  </si>
  <si>
    <t>CS</t>
    <phoneticPr fontId="2" type="noConversion"/>
  </si>
  <si>
    <t>좌현 계선기 커넥터 교체 및 전체라인 점검</t>
    <phoneticPr fontId="2" type="noConversion"/>
  </si>
  <si>
    <t>7060
(강화도함)</t>
    <phoneticPr fontId="2" type="noConversion"/>
  </si>
  <si>
    <t>PTCHD</t>
    <phoneticPr fontId="2" type="noConversion"/>
  </si>
  <si>
    <t>하부 센서 및 상부 센서의 오작동</t>
    <phoneticPr fontId="2" type="noConversion"/>
  </si>
  <si>
    <t>CNM(1)</t>
    <phoneticPr fontId="2" type="noConversion"/>
  </si>
  <si>
    <t>보증수리사항</t>
    <phoneticPr fontId="2" type="noConversion"/>
  </si>
  <si>
    <t>TC</t>
    <phoneticPr fontId="2" type="noConversion"/>
  </si>
  <si>
    <t>크레인 해체</t>
    <phoneticPr fontId="2" type="noConversion"/>
  </si>
  <si>
    <t>12/2,4</t>
    <phoneticPr fontId="2" type="noConversion"/>
  </si>
  <si>
    <t>S189</t>
    <phoneticPr fontId="2" type="noConversion"/>
  </si>
  <si>
    <t>BSR</t>
    <phoneticPr fontId="2" type="noConversion"/>
  </si>
  <si>
    <t>커미셔닝</t>
    <phoneticPr fontId="2" type="noConversion"/>
  </si>
  <si>
    <t>범양(2)</t>
    <phoneticPr fontId="2" type="noConversion"/>
  </si>
  <si>
    <t>S189</t>
    <phoneticPr fontId="2" type="noConversion"/>
  </si>
  <si>
    <t>커미셔닝</t>
    <phoneticPr fontId="2" type="noConversion"/>
  </si>
  <si>
    <t>12/4~5</t>
    <phoneticPr fontId="2" type="noConversion"/>
  </si>
  <si>
    <t>SKMT</t>
    <phoneticPr fontId="2" type="noConversion"/>
  </si>
  <si>
    <t>GNN0016</t>
    <phoneticPr fontId="2" type="noConversion"/>
  </si>
  <si>
    <t>크레인 붐대 안착거치대 파손 및 탈락 외</t>
    <phoneticPr fontId="2" type="noConversion"/>
  </si>
  <si>
    <t>보증수리사항</t>
    <phoneticPr fontId="2" type="noConversion"/>
  </si>
  <si>
    <t>12/4~5</t>
    <phoneticPr fontId="2" type="noConversion"/>
  </si>
  <si>
    <t>GNN0016</t>
    <phoneticPr fontId="2" type="noConversion"/>
  </si>
  <si>
    <t>KT</t>
    <phoneticPr fontId="2" type="noConversion"/>
  </si>
  <si>
    <t>크레인 붐대 안착거치대 파손 및 탈락 외</t>
    <phoneticPr fontId="2" type="noConversion"/>
  </si>
  <si>
    <t>DST(2)</t>
    <phoneticPr fontId="2" type="noConversion"/>
  </si>
  <si>
    <t>GNN0018</t>
    <phoneticPr fontId="2" type="noConversion"/>
  </si>
  <si>
    <t>ML</t>
    <phoneticPr fontId="2" type="noConversion"/>
  </si>
  <si>
    <r>
      <t xml:space="preserve">설치 검사 </t>
    </r>
    <r>
      <rPr>
        <b/>
        <sz val="10"/>
        <rFont val="맑은 고딕"/>
        <family val="3"/>
        <charset val="129"/>
        <scheme val="minor"/>
      </rPr>
      <t>(13:30)</t>
    </r>
    <phoneticPr fontId="2" type="noConversion"/>
  </si>
  <si>
    <t>S204</t>
    <phoneticPr fontId="2" type="noConversion"/>
  </si>
  <si>
    <t>CYLINDER GUIDE BAR 교체</t>
    <phoneticPr fontId="2" type="noConversion"/>
  </si>
  <si>
    <t>49주 긴급지원</t>
    <phoneticPr fontId="2" type="noConversion"/>
  </si>
  <si>
    <t>49주 긴급지원</t>
    <phoneticPr fontId="2" type="noConversion"/>
  </si>
  <si>
    <t>HPU 포장 / 덴소</t>
  </si>
  <si>
    <t>더베스트(2)</t>
    <phoneticPr fontId="2" type="noConversion"/>
  </si>
  <si>
    <t>더베스트(2)</t>
    <phoneticPr fontId="2" type="noConversion"/>
  </si>
  <si>
    <t>12/10~12</t>
    <phoneticPr fontId="2" type="noConversion"/>
  </si>
  <si>
    <t>12/10~12</t>
    <phoneticPr fontId="2" type="noConversion"/>
  </si>
  <si>
    <t>P179</t>
    <phoneticPr fontId="2" type="noConversion"/>
  </si>
  <si>
    <t>포장</t>
    <phoneticPr fontId="2" type="noConversion"/>
  </si>
  <si>
    <t>222003
(3020함)</t>
    <phoneticPr fontId="2" type="noConversion"/>
  </si>
  <si>
    <t>크레들 시트 작업 및 BATTERY 전선 불량 /
코멘트 작업</t>
    <phoneticPr fontId="2" type="noConversion"/>
  </si>
  <si>
    <t>코멘트사항 - 49주 긴급지원</t>
    <phoneticPr fontId="2" type="noConversion"/>
  </si>
  <si>
    <t>크레인 작업</t>
    <phoneticPr fontId="2" type="noConversion"/>
  </si>
  <si>
    <t>크레인 작업</t>
    <phoneticPr fontId="2" type="noConversion"/>
  </si>
  <si>
    <t>박해식</t>
    <phoneticPr fontId="2" type="noConversion"/>
  </si>
  <si>
    <t>보증수리사항 - 49주 긴급지원</t>
    <phoneticPr fontId="2" type="noConversion"/>
  </si>
  <si>
    <t>박해식</t>
    <phoneticPr fontId="2" type="noConversion"/>
  </si>
  <si>
    <t>범양(1)</t>
    <phoneticPr fontId="2" type="noConversion"/>
  </si>
  <si>
    <t>보증수리사항 - 49주 긴급지원</t>
    <phoneticPr fontId="2" type="noConversion"/>
  </si>
  <si>
    <t>SN2651</t>
    <phoneticPr fontId="2" type="noConversion"/>
  </si>
  <si>
    <t>PV</t>
    <phoneticPr fontId="2" type="noConversion"/>
  </si>
  <si>
    <t>크레인 리모트 컨트롤러 이상</t>
    <phoneticPr fontId="2" type="noConversion"/>
  </si>
  <si>
    <t>SN2651</t>
    <phoneticPr fontId="2" type="noConversion"/>
  </si>
  <si>
    <t>락킹테스트 (10:00)</t>
    <phoneticPr fontId="2" type="noConversion"/>
  </si>
  <si>
    <t>계약사항</t>
    <phoneticPr fontId="2" type="noConversion"/>
  </si>
  <si>
    <t>12/08~12/09</t>
    <phoneticPr fontId="2" type="noConversion"/>
  </si>
  <si>
    <t>TC</t>
    <phoneticPr fontId="2" type="noConversion"/>
  </si>
  <si>
    <t>크레인 작업</t>
    <phoneticPr fontId="2" type="noConversion"/>
  </si>
  <si>
    <t>부산대변항</t>
    <phoneticPr fontId="2" type="noConversion"/>
  </si>
  <si>
    <t>SWN0280
(무궁화21호)</t>
    <phoneticPr fontId="2" type="noConversion"/>
  </si>
  <si>
    <t>좌현 RUBBER 교체 / 우현 윤활유 누유</t>
    <phoneticPr fontId="2" type="noConversion"/>
  </si>
  <si>
    <t>DSS</t>
    <phoneticPr fontId="2" type="noConversion"/>
  </si>
  <si>
    <t>SB687</t>
    <phoneticPr fontId="2" type="noConversion"/>
  </si>
  <si>
    <t>Light 교체 / HPU 보조 전기모터 언로딩 솔 확인/
비상 작업 유압 라인 확인</t>
    <phoneticPr fontId="2" type="noConversion"/>
  </si>
  <si>
    <t>가야(1),TP(1)</t>
    <phoneticPr fontId="2" type="noConversion"/>
  </si>
  <si>
    <t>P178</t>
    <phoneticPr fontId="2" type="noConversion"/>
  </si>
  <si>
    <t>블록 스탑 와이어 길이 조정</t>
    <phoneticPr fontId="2" type="noConversion"/>
  </si>
  <si>
    <t>CNM(1)</t>
    <phoneticPr fontId="2" type="noConversion"/>
  </si>
  <si>
    <t>성동</t>
    <phoneticPr fontId="2" type="noConversion"/>
  </si>
  <si>
    <t>2번모터 와이서 속도 조절</t>
    <phoneticPr fontId="2" type="noConversion"/>
  </si>
  <si>
    <t>동아</t>
    <phoneticPr fontId="2" type="noConversion"/>
  </si>
  <si>
    <t>P169</t>
    <phoneticPr fontId="2" type="noConversion"/>
  </si>
  <si>
    <t>검사 (08시/17시 통선)</t>
    <phoneticPr fontId="2" type="noConversion"/>
  </si>
  <si>
    <t>BSR</t>
    <phoneticPr fontId="2" type="noConversion"/>
  </si>
  <si>
    <t>YN05</t>
    <phoneticPr fontId="2" type="noConversion"/>
  </si>
  <si>
    <t>컨테이너 상차</t>
    <phoneticPr fontId="2" type="noConversion"/>
  </si>
  <si>
    <t>50주 긴급지원</t>
    <phoneticPr fontId="2" type="noConversion"/>
  </si>
  <si>
    <t>HPU 덴소 및 포장</t>
    <phoneticPr fontId="2" type="noConversion"/>
  </si>
  <si>
    <t>더베스트(2)</t>
    <phoneticPr fontId="2" type="noConversion"/>
  </si>
  <si>
    <t>50주 긴급지원</t>
    <phoneticPr fontId="2" type="noConversion"/>
  </si>
  <si>
    <t>12/16~17</t>
    <phoneticPr fontId="2" type="noConversion"/>
  </si>
  <si>
    <t>DAVIT 덴소 및 포장</t>
    <phoneticPr fontId="2" type="noConversion"/>
  </si>
  <si>
    <t>더베스트(4)</t>
    <phoneticPr fontId="2" type="noConversion"/>
  </si>
  <si>
    <t>P179</t>
    <phoneticPr fontId="2" type="noConversion"/>
  </si>
  <si>
    <t>KT</t>
    <phoneticPr fontId="2" type="noConversion"/>
  </si>
  <si>
    <t>HIO(1)</t>
    <phoneticPr fontId="2" type="noConversion"/>
  </si>
  <si>
    <t>HIO(1)</t>
    <phoneticPr fontId="2" type="noConversion"/>
  </si>
  <si>
    <t>BSR</t>
    <phoneticPr fontId="2" type="noConversion"/>
  </si>
  <si>
    <t>50주 긴급지원 - 계약사항</t>
    <phoneticPr fontId="2" type="noConversion"/>
  </si>
  <si>
    <t>성동</t>
    <phoneticPr fontId="2" type="noConversion"/>
  </si>
  <si>
    <t>1번모터 작동시 소음 및 슬립 발생</t>
    <phoneticPr fontId="2" type="noConversion"/>
  </si>
  <si>
    <t>S189</t>
    <phoneticPr fontId="2" type="noConversion"/>
  </si>
  <si>
    <t>검사 (9:30)</t>
    <phoneticPr fontId="2" type="noConversion"/>
  </si>
  <si>
    <t>12/16~19</t>
    <phoneticPr fontId="2" type="noConversion"/>
  </si>
  <si>
    <t>HIO(4)</t>
    <phoneticPr fontId="2" type="noConversion"/>
  </si>
  <si>
    <t>P172</t>
    <phoneticPr fontId="2" type="noConversion"/>
  </si>
  <si>
    <t>ML</t>
    <phoneticPr fontId="2" type="noConversion"/>
  </si>
  <si>
    <t>RAMP 수정작업</t>
    <phoneticPr fontId="2" type="noConversion"/>
  </si>
  <si>
    <t>박성용</t>
    <phoneticPr fontId="2" type="noConversion"/>
  </si>
  <si>
    <t>222003
(3020함)</t>
    <phoneticPr fontId="2" type="noConversion"/>
  </si>
  <si>
    <t>근접리미트 추가작업</t>
    <phoneticPr fontId="2" type="noConversion"/>
  </si>
  <si>
    <t>범양(1),동아(1)</t>
    <phoneticPr fontId="2" type="noConversion"/>
  </si>
  <si>
    <t>크레인 작업</t>
    <phoneticPr fontId="2" type="noConversion"/>
  </si>
  <si>
    <t>이광형,박해식</t>
    <phoneticPr fontId="2" type="noConversion"/>
  </si>
  <si>
    <t>222003
(3020함)</t>
    <phoneticPr fontId="2" type="noConversion"/>
  </si>
  <si>
    <t>재검사 / 검사</t>
    <phoneticPr fontId="2" type="noConversion"/>
  </si>
  <si>
    <t>이순신함</t>
    <phoneticPr fontId="2" type="noConversion"/>
  </si>
  <si>
    <t>리미트 조정 작업(부저,퓨즈,누전문제)
해군의집 시간 : 8:30</t>
    <phoneticPr fontId="2" type="noConversion"/>
  </si>
  <si>
    <t>동아</t>
    <phoneticPr fontId="2" type="noConversion"/>
  </si>
  <si>
    <t>코멘트사항</t>
    <phoneticPr fontId="2" type="noConversion"/>
  </si>
  <si>
    <t>DAVIT 작동시 본체 각극 (틈) 발생 / 와이어 꼬임</t>
    <phoneticPr fontId="2" type="noConversion"/>
  </si>
  <si>
    <t>목포</t>
    <phoneticPr fontId="2" type="noConversion"/>
  </si>
  <si>
    <t>SWN0283
(무궁화42호)</t>
    <phoneticPr fontId="2" type="noConversion"/>
  </si>
  <si>
    <t>유압유 예열기 15초 간격으로 꺼짐,켜짐</t>
    <phoneticPr fontId="2" type="noConversion"/>
  </si>
  <si>
    <t>가야(1)</t>
    <phoneticPr fontId="2" type="noConversion"/>
  </si>
  <si>
    <t>12/17~18</t>
    <phoneticPr fontId="2" type="noConversion"/>
  </si>
  <si>
    <t>51주 긴급지원</t>
    <phoneticPr fontId="2" type="noConversion"/>
  </si>
  <si>
    <t>12/22~24</t>
    <phoneticPr fontId="2" type="noConversion"/>
  </si>
  <si>
    <t>조립 및 탑재</t>
    <phoneticPr fontId="2" type="noConversion"/>
  </si>
  <si>
    <t>P179</t>
    <phoneticPr fontId="2" type="noConversion"/>
  </si>
  <si>
    <t>포장 및 덴소</t>
    <phoneticPr fontId="2" type="noConversion"/>
  </si>
  <si>
    <t>더베스트(2)</t>
    <phoneticPr fontId="2" type="noConversion"/>
  </si>
  <si>
    <t>12/22,24</t>
    <phoneticPr fontId="2" type="noConversion"/>
  </si>
  <si>
    <t>조립/설치</t>
    <phoneticPr fontId="2" type="noConversion"/>
  </si>
  <si>
    <t>범양(2)</t>
    <phoneticPr fontId="2" type="noConversion"/>
  </si>
  <si>
    <t>근접리미트 수정</t>
    <phoneticPr fontId="2" type="noConversion"/>
  </si>
  <si>
    <t>51주 긴급지원 - 코멘트사항</t>
    <phoneticPr fontId="2" type="noConversion"/>
  </si>
  <si>
    <t>TC</t>
    <phoneticPr fontId="2" type="noConversion"/>
  </si>
  <si>
    <t>51주 긴급지원 - 보증수리사항</t>
    <phoneticPr fontId="2" type="noConversion"/>
  </si>
  <si>
    <t>A/S</t>
    <phoneticPr fontId="2" type="noConversion"/>
  </si>
  <si>
    <t>HOC</t>
    <phoneticPr fontId="2" type="noConversion"/>
  </si>
  <si>
    <t>7060
(강화도함)</t>
    <phoneticPr fontId="2" type="noConversion"/>
  </si>
  <si>
    <t>크레인 작업</t>
    <phoneticPr fontId="2" type="noConversion"/>
  </si>
  <si>
    <t>스타터판넬 TRAY 추가 설치</t>
    <phoneticPr fontId="2" type="noConversion"/>
  </si>
  <si>
    <t>근접리미트 작업</t>
    <phoneticPr fontId="2" type="noConversion"/>
  </si>
  <si>
    <t>램프게이트 점검 / 모터 점검</t>
    <phoneticPr fontId="2" type="noConversion"/>
  </si>
  <si>
    <t>램프게이트 점검 / 모터 점검</t>
    <phoneticPr fontId="2" type="noConversion"/>
  </si>
  <si>
    <t>12/22~24,26</t>
    <phoneticPr fontId="2" type="noConversion"/>
  </si>
  <si>
    <t>근접 리미트 설치 , JB 붐대 SEAT 변경</t>
    <phoneticPr fontId="2" type="noConversion"/>
  </si>
  <si>
    <t>입고 코멘트 조치</t>
    <phoneticPr fontId="2" type="noConversion"/>
  </si>
  <si>
    <t>SN2661</t>
    <phoneticPr fontId="2" type="noConversion"/>
  </si>
  <si>
    <t>LAC</t>
    <phoneticPr fontId="2" type="noConversion"/>
  </si>
  <si>
    <t>BOLTING TYPE 추가 작업</t>
    <phoneticPr fontId="2" type="noConversion"/>
  </si>
  <si>
    <t>우신(2)</t>
    <phoneticPr fontId="2" type="noConversion"/>
  </si>
  <si>
    <t>코멘트사항</t>
    <phoneticPr fontId="2" type="noConversion"/>
  </si>
  <si>
    <t>설치</t>
    <phoneticPr fontId="2" type="noConversion"/>
  </si>
  <si>
    <t>우신(1)</t>
    <phoneticPr fontId="2" type="noConversion"/>
  </si>
  <si>
    <t>ERC</t>
    <phoneticPr fontId="2" type="noConversion"/>
  </si>
  <si>
    <t>FAT</t>
    <phoneticPr fontId="2" type="noConversion"/>
  </si>
  <si>
    <t>HIO(1),
범양-최기추(1)</t>
    <phoneticPr fontId="2" type="noConversion"/>
  </si>
  <si>
    <t>SWN0294</t>
    <phoneticPr fontId="2" type="noConversion"/>
  </si>
  <si>
    <t>FDC</t>
    <phoneticPr fontId="2" type="noConversion"/>
  </si>
  <si>
    <t>FDC</t>
    <phoneticPr fontId="2" type="noConversion"/>
  </si>
  <si>
    <t>HIO(1)</t>
    <phoneticPr fontId="2" type="noConversion"/>
  </si>
  <si>
    <t>포장</t>
    <phoneticPr fontId="2" type="noConversion"/>
  </si>
  <si>
    <t>SWN0294</t>
    <phoneticPr fontId="2" type="noConversion"/>
  </si>
  <si>
    <t>범양-최기추(1)</t>
    <phoneticPr fontId="2" type="noConversion"/>
  </si>
  <si>
    <t>HIO(1),
범양-최기추(1)</t>
    <phoneticPr fontId="2" type="noConversion"/>
  </si>
  <si>
    <t>A/S</t>
    <phoneticPr fontId="2" type="noConversion"/>
  </si>
  <si>
    <t>인도전</t>
    <phoneticPr fontId="2" type="noConversion"/>
  </si>
  <si>
    <t>S205</t>
    <phoneticPr fontId="2" type="noConversion"/>
  </si>
  <si>
    <t>JB 설치 및 결선</t>
    <phoneticPr fontId="2" type="noConversion"/>
  </si>
  <si>
    <t>박성용</t>
    <phoneticPr fontId="2" type="noConversion"/>
  </si>
  <si>
    <t>무상</t>
    <phoneticPr fontId="2" type="noConversion"/>
  </si>
  <si>
    <t>SN2661</t>
    <phoneticPr fontId="2" type="noConversion"/>
  </si>
  <si>
    <t>LAC</t>
    <phoneticPr fontId="2" type="noConversion"/>
  </si>
  <si>
    <t>탑재</t>
    <phoneticPr fontId="2" type="noConversion"/>
  </si>
  <si>
    <t>인도후</t>
    <phoneticPr fontId="2" type="noConversion"/>
  </si>
  <si>
    <t>이순신함</t>
    <phoneticPr fontId="2" type="noConversion"/>
  </si>
  <si>
    <t>UP LIMIT 문제(TOUCH BAR 조절)/로드리미터 점검</t>
    <phoneticPr fontId="2" type="noConversion"/>
  </si>
  <si>
    <t>UP LIMIT 문제(TOUCH BAR 조절)/로드리미터 점검</t>
    <phoneticPr fontId="2" type="noConversion"/>
  </si>
  <si>
    <t>신한(1)</t>
    <phoneticPr fontId="2" type="noConversion"/>
  </si>
  <si>
    <t>GNN0017</t>
    <phoneticPr fontId="2" type="noConversion"/>
  </si>
  <si>
    <t>RB</t>
    <phoneticPr fontId="2" type="noConversion"/>
  </si>
  <si>
    <t xml:space="preserve">스크린 연동제어 문제 </t>
    <phoneticPr fontId="2" type="noConversion"/>
  </si>
  <si>
    <t>KN</t>
    <phoneticPr fontId="2" type="noConversion"/>
  </si>
  <si>
    <t>실린더 배관 PIPE 소음 작업</t>
    <phoneticPr fontId="2" type="noConversion"/>
  </si>
  <si>
    <t>점검</t>
    <phoneticPr fontId="2" type="noConversion"/>
  </si>
  <si>
    <t>엔코더 교체 작업</t>
    <phoneticPr fontId="2" type="noConversion"/>
  </si>
  <si>
    <t>성동</t>
    <phoneticPr fontId="2" type="noConversion"/>
  </si>
  <si>
    <t>WIRE ROPE GUIDE 위치 이동 설치 및 RAMP 점검</t>
    <phoneticPr fontId="2" type="noConversion"/>
  </si>
  <si>
    <t>BR</t>
    <phoneticPr fontId="2" type="noConversion"/>
  </si>
  <si>
    <t>시운전</t>
    <phoneticPr fontId="2" type="noConversion"/>
  </si>
  <si>
    <t>진진(1)</t>
    <phoneticPr fontId="2" type="noConversion"/>
  </si>
  <si>
    <t>양혜성 책임 010 9928 1358
출입신청</t>
    <phoneticPr fontId="2" type="noConversion"/>
  </si>
  <si>
    <r>
      <t xml:space="preserve">7064 </t>
    </r>
    <r>
      <rPr>
        <b/>
        <sz val="9"/>
        <color rgb="FF000000"/>
        <rFont val="돋움"/>
        <family val="3"/>
        <charset val="129"/>
      </rPr>
      <t>출항일</t>
    </r>
    <phoneticPr fontId="2" type="noConversion"/>
  </si>
  <si>
    <t>SHI</t>
    <phoneticPr fontId="2" type="noConversion"/>
  </si>
  <si>
    <t>LIMIT 설치 / Seat와 Pad 결합용 Nut 교체</t>
    <phoneticPr fontId="2" type="noConversion"/>
  </si>
  <si>
    <t>BOLTING TYPE 추가 작업 +  Earhting 추가</t>
    <phoneticPr fontId="2" type="noConversion"/>
  </si>
  <si>
    <t>RB/HHD</t>
    <phoneticPr fontId="2" type="noConversion"/>
  </si>
  <si>
    <t>작동 불가능/스크린 연동제어 문제 
(8시 안전교육,안전밸트,안전모,각반 등)</t>
    <phoneticPr fontId="2" type="noConversion"/>
  </si>
  <si>
    <t>RCS</t>
    <phoneticPr fontId="2" type="noConversion"/>
  </si>
  <si>
    <t>온보드 테스트(자체점검)
/ GNN0019 CONTROLLER SEAT 자재 전달예정</t>
    <phoneticPr fontId="2" type="noConversion"/>
  </si>
  <si>
    <t>판넬 교체 작업(2번,3번)</t>
    <phoneticPr fontId="2" type="noConversion"/>
  </si>
  <si>
    <t>히터 스위치 케이블 공급 / 전로 케이블 작업</t>
    <phoneticPr fontId="2" type="noConversion"/>
  </si>
  <si>
    <t>우신(2),동아(3)</t>
    <phoneticPr fontId="2" type="noConversion"/>
  </si>
  <si>
    <t>우신(1),HIO(1)</t>
    <phoneticPr fontId="2" type="noConversion"/>
  </si>
  <si>
    <t>우신(2)</t>
    <phoneticPr fontId="2" type="noConversion"/>
  </si>
  <si>
    <t>신안지도업</t>
    <phoneticPr fontId="2" type="noConversion"/>
  </si>
  <si>
    <t>우신(1)</t>
    <phoneticPr fontId="2" type="noConversion"/>
  </si>
  <si>
    <t>박성용</t>
    <phoneticPr fontId="2" type="noConversion"/>
  </si>
  <si>
    <t>지창규 공장장 010-9284-4896
출입신청 X</t>
    <phoneticPr fontId="2" type="noConversion"/>
  </si>
  <si>
    <t>범양(1),동아(1)</t>
    <phoneticPr fontId="2" type="noConversion"/>
  </si>
  <si>
    <t>동아(1)</t>
    <phoneticPr fontId="2" type="noConversion"/>
  </si>
  <si>
    <t>범양(1)</t>
    <phoneticPr fontId="2" type="noConversion"/>
  </si>
  <si>
    <t>인도후</t>
    <phoneticPr fontId="2" type="noConversion"/>
  </si>
  <si>
    <t>SB638</t>
    <phoneticPr fontId="2" type="noConversion"/>
  </si>
  <si>
    <t>RL</t>
    <phoneticPr fontId="2" type="noConversion"/>
  </si>
  <si>
    <t>연차검사</t>
    <phoneticPr fontId="2" type="noConversion"/>
  </si>
  <si>
    <t>진진(2)</t>
    <phoneticPr fontId="2" type="noConversion"/>
  </si>
  <si>
    <t>무상</t>
    <phoneticPr fontId="2" type="noConversion"/>
  </si>
  <si>
    <t>010-2858-8426 상지해운 현슬기 과장</t>
    <phoneticPr fontId="2" type="noConversion"/>
  </si>
  <si>
    <t>한라IMS 광양사업장</t>
    <phoneticPr fontId="2" type="noConversion"/>
  </si>
  <si>
    <t>연차검사
(교육 시간 - 10:00)</t>
    <phoneticPr fontId="2" type="noConversion"/>
  </si>
  <si>
    <t>비행기 티켓ok</t>
    <phoneticPr fontId="2" type="noConversion"/>
  </si>
  <si>
    <r>
      <t xml:space="preserve">커미셔닝 / 승조원교육
</t>
    </r>
    <r>
      <rPr>
        <b/>
        <sz val="10"/>
        <color theme="1"/>
        <rFont val="맑은 고딕"/>
        <family val="3"/>
        <charset val="129"/>
        <scheme val="minor"/>
      </rPr>
      <t>(교제 5부)</t>
    </r>
    <phoneticPr fontId="2" type="noConversion"/>
  </si>
  <si>
    <t>CNM(1),가야(1)</t>
    <phoneticPr fontId="2" type="noConversion"/>
  </si>
  <si>
    <t>범양(1),우신(1)</t>
    <phoneticPr fontId="2" type="noConversion"/>
  </si>
  <si>
    <t>김민수 su.kim@samsung.com
010-2440-4559
출입신청 하기/안전교육메일 보내기</t>
    <phoneticPr fontId="2" type="noConversion"/>
  </si>
  <si>
    <t>김민수 su.kim@samsung.com
010-2440-4559</t>
    <phoneticPr fontId="2" type="noConversion"/>
  </si>
  <si>
    <t>HHD</t>
    <phoneticPr fontId="2" type="noConversion"/>
  </si>
  <si>
    <t>MOTOR CABLE 결선</t>
    <phoneticPr fontId="2" type="noConversion"/>
  </si>
  <si>
    <t>S099</t>
    <phoneticPr fontId="2" type="noConversion"/>
  </si>
  <si>
    <t>장현환 책임 010-7103-9818
출입신청완료</t>
    <phoneticPr fontId="2" type="noConversion"/>
  </si>
  <si>
    <r>
      <t xml:space="preserve">장현환 책임 010-7103-9818
</t>
    </r>
    <r>
      <rPr>
        <b/>
        <sz val="9"/>
        <color theme="1"/>
        <rFont val="맑은 고딕"/>
        <family val="3"/>
        <charset val="129"/>
        <scheme val="minor"/>
      </rPr>
      <t>출입신청완료</t>
    </r>
    <phoneticPr fontId="2" type="noConversion"/>
  </si>
  <si>
    <t>GNN0018</t>
    <phoneticPr fontId="2" type="noConversion"/>
  </si>
  <si>
    <t>와이어링 작업 후 STW(Setting To Work) 기술지원</t>
    <phoneticPr fontId="2" type="noConversion"/>
  </si>
  <si>
    <t>서영우 부장 010-4559-6321
출입신청 완료</t>
    <phoneticPr fontId="2" type="noConversion"/>
  </si>
  <si>
    <t>이준호</t>
    <phoneticPr fontId="2" type="noConversion"/>
  </si>
  <si>
    <t>온보드 테스트(자체점검)
/ GNN0019 CONTROLLER SEAT+BOLT 전달예정</t>
    <phoneticPr fontId="2" type="noConversion"/>
  </si>
  <si>
    <t>RAMP 수정작업
(미포 4안벽 : 미포 해양 동문 내리막길)</t>
    <phoneticPr fontId="2" type="noConversion"/>
  </si>
  <si>
    <t>S198</t>
    <phoneticPr fontId="2" type="noConversion"/>
  </si>
  <si>
    <t>양혜성 책임 010 9928 1358
출입신청/교육신청완료</t>
    <phoneticPr fontId="2" type="noConversion"/>
  </si>
  <si>
    <t>우신(2),동아(1)</t>
    <phoneticPr fontId="2" type="noConversion"/>
  </si>
  <si>
    <t>인도후</t>
    <phoneticPr fontId="2" type="noConversion"/>
  </si>
  <si>
    <t>인천항</t>
    <phoneticPr fontId="2" type="noConversion"/>
  </si>
  <si>
    <t>S205</t>
    <phoneticPr fontId="2" type="noConversion"/>
  </si>
  <si>
    <t>RB</t>
    <phoneticPr fontId="2" type="noConversion"/>
  </si>
  <si>
    <t>비상 발전기 유압 라인 기름 누유 발생</t>
    <phoneticPr fontId="2" type="noConversion"/>
  </si>
  <si>
    <t>DST(2)</t>
    <phoneticPr fontId="2" type="noConversion"/>
  </si>
  <si>
    <t>HHD 포토센서 교체 / RB 스크린 연동 기능 점검</t>
    <phoneticPr fontId="2" type="noConversion"/>
  </si>
  <si>
    <t>PE</t>
    <phoneticPr fontId="2" type="noConversion"/>
  </si>
  <si>
    <t>P178</t>
    <phoneticPr fontId="2" type="noConversion"/>
  </si>
  <si>
    <t>진진(3)</t>
    <phoneticPr fontId="2" type="noConversion"/>
  </si>
  <si>
    <t>이광형</t>
    <phoneticPr fontId="2" type="noConversion"/>
  </si>
  <si>
    <t>1주 - 긴급지원</t>
    <phoneticPr fontId="2" type="noConversion"/>
  </si>
  <si>
    <t>1주 긴급지원 - 코멘트 작업</t>
    <phoneticPr fontId="2" type="noConversion"/>
  </si>
  <si>
    <t>검사 준비</t>
    <phoneticPr fontId="2" type="noConversion"/>
  </si>
  <si>
    <t>DST(2)</t>
    <phoneticPr fontId="2" type="noConversion"/>
  </si>
  <si>
    <t>턴테이블 한쪽 회전 불가능으로 감속기 점검</t>
    <phoneticPr fontId="2" type="noConversion"/>
  </si>
  <si>
    <t>1주 긴급지원 - 코멘트 작업</t>
    <phoneticPr fontId="2" type="noConversion"/>
  </si>
  <si>
    <t>S189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</si>
  <si>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</si>
  <si>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</si>
  <si>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</si>
  <si>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BSR</t>
    <phoneticPr fontId="2" type="noConversion"/>
  </si>
  <si>
    <t>010-6546-0521</t>
    <phoneticPr fontId="2" type="noConversion"/>
  </si>
  <si>
    <t>010-9284-4896
인도일 1/20일 예정</t>
    <phoneticPr fontId="2" type="noConversion"/>
  </si>
  <si>
    <t>이준호</t>
    <phoneticPr fontId="2" type="noConversion"/>
  </si>
  <si>
    <t>박주성</t>
    <phoneticPr fontId="2" type="noConversion"/>
  </si>
  <si>
    <t>우신(2)</t>
    <phoneticPr fontId="2" type="noConversion"/>
  </si>
  <si>
    <t>반차:박해식,이광형</t>
    <phoneticPr fontId="2" type="noConversion"/>
  </si>
  <si>
    <t>코멘트 작업</t>
    <phoneticPr fontId="2" type="noConversion"/>
  </si>
  <si>
    <t>HJSC</t>
    <phoneticPr fontId="2" type="noConversion"/>
  </si>
  <si>
    <t>RB,HHD</t>
    <phoneticPr fontId="2" type="noConversion"/>
  </si>
  <si>
    <t>2주</t>
    <phoneticPr fontId="2" type="noConversion"/>
  </si>
  <si>
    <t>HIO(1),범양(1)</t>
    <phoneticPr fontId="2" type="noConversion"/>
  </si>
  <si>
    <t>교육 / 2번 모터 설치 / 와이어 텐션 확인</t>
    <phoneticPr fontId="2" type="noConversion"/>
  </si>
  <si>
    <t>0160</t>
    <phoneticPr fontId="2" type="noConversion"/>
  </si>
  <si>
    <t>동아(1)</t>
    <phoneticPr fontId="2" type="noConversion"/>
  </si>
  <si>
    <t>인도전</t>
    <phoneticPr fontId="2" type="noConversion"/>
  </si>
  <si>
    <t>RAMP RPB 수정 작업</t>
    <phoneticPr fontId="2" type="noConversion"/>
  </si>
  <si>
    <t>A/S</t>
    <phoneticPr fontId="2" type="noConversion"/>
  </si>
  <si>
    <t>인도전</t>
    <phoneticPr fontId="2" type="noConversion"/>
  </si>
  <si>
    <t>GNN0017</t>
    <phoneticPr fontId="2" type="noConversion"/>
  </si>
  <si>
    <t>단정 DAVIT 안착 부분 점검</t>
    <phoneticPr fontId="2" type="noConversion"/>
  </si>
  <si>
    <t>데비트 LuffingArm 함 내부로 이동시 LimitSwitch 미작동 
소형천정권양기 브레이크 수리 / 와이어 교체</t>
    <phoneticPr fontId="2" type="noConversion"/>
  </si>
  <si>
    <t>그랜드 교체 작업(스타터,HPU,발전기)</t>
    <phoneticPr fontId="2" type="noConversion"/>
  </si>
  <si>
    <t>계선기 설치</t>
    <phoneticPr fontId="2" type="noConversion"/>
  </si>
  <si>
    <t>BSR</t>
    <phoneticPr fontId="2" type="noConversion"/>
  </si>
  <si>
    <t>최원석 차장 010-7447-3872
출입신청 완료</t>
    <phoneticPr fontId="2" type="noConversion"/>
  </si>
  <si>
    <t>S189</t>
    <phoneticPr fontId="2" type="noConversion"/>
  </si>
  <si>
    <t>코멘트 작업</t>
    <phoneticPr fontId="2" type="noConversion"/>
  </si>
  <si>
    <t>계약사항</t>
    <phoneticPr fontId="2" type="noConversion"/>
  </si>
  <si>
    <t>계약사항</t>
    <phoneticPr fontId="2" type="noConversion"/>
  </si>
  <si>
    <t>코멘트 작업</t>
    <phoneticPr fontId="2" type="noConversion"/>
  </si>
  <si>
    <t>코멘트 작업</t>
    <phoneticPr fontId="2" type="noConversion"/>
  </si>
  <si>
    <t>2주</t>
    <phoneticPr fontId="2" type="noConversion"/>
  </si>
  <si>
    <t>1주 추가</t>
    <phoneticPr fontId="2" type="noConversion"/>
  </si>
  <si>
    <t>1/12~14</t>
    <phoneticPr fontId="2" type="noConversion"/>
  </si>
  <si>
    <t>1/15~16</t>
    <phoneticPr fontId="2" type="noConversion"/>
  </si>
  <si>
    <t>1/14~16</t>
    <phoneticPr fontId="2" type="noConversion"/>
  </si>
  <si>
    <t>HIO(2)</t>
    <phoneticPr fontId="2" type="noConversion"/>
  </si>
  <si>
    <t>HIO(3)</t>
    <phoneticPr fontId="2" type="noConversion"/>
  </si>
  <si>
    <t>박성용,전광진
서한교</t>
    <phoneticPr fontId="2" type="noConversion"/>
  </si>
  <si>
    <t>LIMIT 설치</t>
    <phoneticPr fontId="2" type="noConversion"/>
  </si>
  <si>
    <t>진진(2)</t>
    <phoneticPr fontId="2" type="noConversion"/>
  </si>
  <si>
    <t>진진(2)</t>
    <phoneticPr fontId="2" type="noConversion"/>
  </si>
  <si>
    <t>진진(2)</t>
    <phoneticPr fontId="2" type="noConversion"/>
  </si>
  <si>
    <t>1/13-14</t>
    <phoneticPr fontId="2" type="noConversion"/>
  </si>
  <si>
    <t>진진(4)</t>
    <phoneticPr fontId="2" type="noConversion"/>
  </si>
  <si>
    <t>P179</t>
    <phoneticPr fontId="2" type="noConversion"/>
  </si>
  <si>
    <t>ERC</t>
    <phoneticPr fontId="2" type="noConversion"/>
  </si>
  <si>
    <t>포장</t>
    <phoneticPr fontId="2" type="noConversion"/>
  </si>
  <si>
    <t>RB</t>
    <phoneticPr fontId="2" type="noConversion"/>
  </si>
  <si>
    <t>HIO(4)</t>
    <phoneticPr fontId="2" type="noConversion"/>
  </si>
  <si>
    <t>HHI-P179-KT 포장
SA-594-HH-10T-C2 조립</t>
    <phoneticPr fontId="2" type="noConversion"/>
  </si>
  <si>
    <t>HHI-P179-RB 조립</t>
    <phoneticPr fontId="2" type="noConversion"/>
  </si>
  <si>
    <t>HOC-7062-RD 자체TEST
HWE-SWN0290-RB 조립</t>
    <phoneticPr fontId="2" type="noConversion"/>
  </si>
  <si>
    <t>HID-1569-ERC FAT
HOC-7062-RD HPU 특수성능</t>
    <phoneticPr fontId="2" type="noConversion"/>
  </si>
  <si>
    <t xml:space="preserve">HWE-SWN0290-RB 설치 </t>
    <phoneticPr fontId="2" type="noConversion"/>
  </si>
  <si>
    <t>HWE-SWNP0294-FDC 자체TEST
HID-1569-ERC 포장</t>
    <phoneticPr fontId="2" type="noConversion"/>
  </si>
  <si>
    <t>HWE-SWN0290-RB 시운전
SA-594-HH-10T-C2 설치</t>
    <phoneticPr fontId="2" type="noConversion"/>
  </si>
  <si>
    <t>HHI-P179-RB 설치</t>
    <phoneticPr fontId="2" type="noConversion"/>
  </si>
  <si>
    <t>HHI-P178-PE FAT
HHI-P179-RB 시운전</t>
    <phoneticPr fontId="2" type="noConversion"/>
  </si>
  <si>
    <t>유상</t>
    <phoneticPr fontId="2" type="noConversion"/>
  </si>
  <si>
    <t>히터 스위치 케이블 공급</t>
    <phoneticPr fontId="2" type="noConversion"/>
  </si>
  <si>
    <t>전로 케이블 추가 설치,모터 케이블 포설,사급품 설치</t>
    <phoneticPr fontId="2" type="noConversion"/>
  </si>
  <si>
    <t>설치 기술지원</t>
    <phoneticPr fontId="2" type="noConversion"/>
  </si>
  <si>
    <t>연차검사</t>
    <phoneticPr fontId="2" type="noConversion"/>
  </si>
  <si>
    <t>2번 모터 설치,시운전</t>
    <phoneticPr fontId="2" type="noConversion"/>
  </si>
  <si>
    <t>와이어 텐션 확인,동조 점검</t>
    <phoneticPr fontId="2" type="noConversion"/>
  </si>
  <si>
    <t>설치 기술 지원</t>
    <phoneticPr fontId="2" type="noConversion"/>
  </si>
  <si>
    <t>계선기 설치
(오전 9시 30분 도착)</t>
    <phoneticPr fontId="2" type="noConversion"/>
  </si>
  <si>
    <r>
      <t xml:space="preserve">P167/168 </t>
    </r>
    <r>
      <rPr>
        <b/>
        <sz val="9"/>
        <color rgb="FF000000"/>
        <rFont val="돋움"/>
        <family val="3"/>
        <charset val="129"/>
      </rPr>
      <t>보증수리</t>
    </r>
    <r>
      <rPr>
        <b/>
        <sz val="9"/>
        <color rgb="FF000000"/>
        <rFont val="Arial"/>
        <family val="2"/>
      </rPr>
      <t>(2</t>
    </r>
    <r>
      <rPr>
        <b/>
        <sz val="9"/>
        <color rgb="FF000000"/>
        <rFont val="돋움"/>
        <family val="3"/>
        <charset val="129"/>
      </rPr>
      <t>차</t>
    </r>
    <r>
      <rPr>
        <b/>
        <sz val="9"/>
        <color rgb="FF000000"/>
        <rFont val="Arial"/>
        <family val="2"/>
      </rPr>
      <t xml:space="preserve">) : CNM </t>
    </r>
    <r>
      <rPr>
        <b/>
        <sz val="9"/>
        <color rgb="FF000000"/>
        <rFont val="돋움"/>
        <family val="3"/>
        <charset val="129"/>
      </rPr>
      <t>일정확인
보증수리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기간</t>
    </r>
    <r>
      <rPr>
        <b/>
        <sz val="9"/>
        <color rgb="FF000000"/>
        <rFont val="Arial"/>
        <family val="2"/>
      </rPr>
      <t xml:space="preserve"> : '26.01.13 ~ '26.02.13
</t>
    </r>
    <r>
      <rPr>
        <b/>
        <sz val="9"/>
        <color rgb="FF000000"/>
        <rFont val="돋움"/>
        <family val="3"/>
        <charset val="129"/>
      </rPr>
      <t>보증수리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장소</t>
    </r>
    <r>
      <rPr>
        <b/>
        <sz val="9"/>
        <color rgb="FF000000"/>
        <rFont val="Arial"/>
        <family val="2"/>
      </rPr>
      <t xml:space="preserve"> :HD </t>
    </r>
    <r>
      <rPr>
        <b/>
        <sz val="9"/>
        <color rgb="FF000000"/>
        <rFont val="돋움"/>
        <family val="3"/>
        <charset val="129"/>
      </rPr>
      <t>현대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중공업</t>
    </r>
    <r>
      <rPr>
        <b/>
        <sz val="9"/>
        <color rgb="FF000000"/>
        <rFont val="Arial"/>
        <family val="2"/>
      </rPr>
      <t xml:space="preserve"> J-4</t>
    </r>
    <r>
      <rPr>
        <b/>
        <sz val="9"/>
        <color rgb="FF000000"/>
        <rFont val="돋움"/>
        <family val="3"/>
        <charset val="129"/>
      </rPr>
      <t>안벽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4</t>
    </r>
    <r>
      <rPr>
        <b/>
        <sz val="9"/>
        <color rgb="FF000000"/>
        <rFont val="돋움"/>
        <family val="3"/>
        <charset val="129"/>
      </rPr>
      <t>도크</t>
    </r>
    <phoneticPr fontId="2" type="noConversion"/>
  </si>
  <si>
    <t>PTCHD/
ROVL</t>
    <phoneticPr fontId="2" type="noConversion"/>
  </si>
  <si>
    <t>상부센서 오작동 / 격납고 손잡이 고정핀 / 
격납고 문 컨트롤 판넬 작동 불량</t>
    <phoneticPr fontId="2" type="noConversion"/>
  </si>
  <si>
    <t>3주</t>
    <phoneticPr fontId="2" type="noConversion"/>
  </si>
  <si>
    <t>진진(1)</t>
    <phoneticPr fontId="2" type="noConversion"/>
  </si>
  <si>
    <t>오태호</t>
    <phoneticPr fontId="2" type="noConversion"/>
  </si>
  <si>
    <t>턴테이블 한쪽 회전 불가능으로 감속기 점검
(방문 하셨는지 확인)</t>
    <phoneticPr fontId="2" type="noConversion"/>
  </si>
  <si>
    <t>010-2858-8426 상지해운 현슬기 과장
출입인원 통보 완료</t>
    <phoneticPr fontId="2" type="noConversion"/>
  </si>
  <si>
    <t>장현환 책임 010-7103-9818
출입신청완료</t>
    <phoneticPr fontId="2" type="noConversion"/>
  </si>
  <si>
    <t>SWN0282
(무궁화41호)</t>
    <phoneticPr fontId="2" type="noConversion"/>
  </si>
  <si>
    <t>인도전</t>
    <phoneticPr fontId="2" type="noConversion"/>
  </si>
  <si>
    <t>RB</t>
    <phoneticPr fontId="2" type="noConversion"/>
  </si>
  <si>
    <t>박성용,서한교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</si>
  <si>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</si>
  <si>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</si>
  <si>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</si>
  <si>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박근우 사원 선장님
010-7697-5594</t>
    <phoneticPr fontId="2" type="noConversion"/>
  </si>
  <si>
    <t>승조원 교육
(8:30까지 진해 해군의집)</t>
    <phoneticPr fontId="2" type="noConversion"/>
  </si>
  <si>
    <t>출입신청 : 우나윤 연구원님이 별도로 진행</t>
    <phoneticPr fontId="2" type="noConversion"/>
  </si>
  <si>
    <t>RCS</t>
    <phoneticPr fontId="2" type="noConversion"/>
  </si>
  <si>
    <t>배호열 책임님
010-7197-8354
출입신청 완료</t>
    <phoneticPr fontId="2" type="noConversion"/>
  </si>
  <si>
    <t>한라IMS 광양사업장</t>
    <phoneticPr fontId="2" type="noConversion"/>
  </si>
  <si>
    <t>박성용</t>
    <phoneticPr fontId="2" type="noConversion"/>
  </si>
  <si>
    <t>1/13~14</t>
    <phoneticPr fontId="2" type="noConversion"/>
  </si>
  <si>
    <t>덴소 및 포장</t>
    <phoneticPr fontId="2" type="noConversion"/>
  </si>
  <si>
    <t>더베스트(4)</t>
    <phoneticPr fontId="2" type="noConversion"/>
  </si>
  <si>
    <t>WD/ROVL</t>
    <phoneticPr fontId="2" type="noConversion"/>
  </si>
  <si>
    <t>원윤재 상사님 010-8734-0948
출입신청완료 / 작업 완료</t>
    <phoneticPr fontId="2" type="noConversion"/>
  </si>
  <si>
    <t>공식검사
(9시 30분)</t>
    <phoneticPr fontId="2" type="noConversion"/>
  </si>
  <si>
    <t>박성용,전광진,
서한교</t>
    <phoneticPr fontId="2" type="noConversion"/>
  </si>
  <si>
    <t>우신(1)</t>
    <phoneticPr fontId="2" type="noConversion"/>
  </si>
  <si>
    <t>승조원 교육</t>
    <phoneticPr fontId="2" type="noConversion"/>
  </si>
  <si>
    <t>지창규 공장장 010-9284-4896
출입신청 X</t>
    <phoneticPr fontId="2" type="noConversion"/>
  </si>
  <si>
    <t>HHD/RCS</t>
    <phoneticPr fontId="2" type="noConversion"/>
  </si>
  <si>
    <t>점검</t>
    <phoneticPr fontId="2" type="noConversion"/>
  </si>
  <si>
    <t>CNM(1)</t>
    <phoneticPr fontId="2" type="noConversion"/>
  </si>
  <si>
    <t>CNM(2)</t>
    <phoneticPr fontId="2" type="noConversion"/>
  </si>
  <si>
    <t>범양-최기추(3)</t>
    <phoneticPr fontId="2" type="noConversion"/>
  </si>
  <si>
    <t>범양-최기추(2)</t>
    <phoneticPr fontId="2" type="noConversion"/>
  </si>
  <si>
    <t>1/12~14</t>
    <phoneticPr fontId="2" type="noConversion"/>
  </si>
  <si>
    <t>1/15~16</t>
    <phoneticPr fontId="2" type="noConversion"/>
  </si>
  <si>
    <t>SR24002</t>
    <phoneticPr fontId="2" type="noConversion"/>
  </si>
  <si>
    <t>CS</t>
    <phoneticPr fontId="2" type="noConversion"/>
  </si>
  <si>
    <t>권양기 기어박스 분해</t>
    <phoneticPr fontId="2" type="noConversion"/>
  </si>
  <si>
    <t>SWN0294</t>
    <phoneticPr fontId="2" type="noConversion"/>
  </si>
  <si>
    <t>FDC</t>
    <phoneticPr fontId="2" type="noConversion"/>
  </si>
  <si>
    <t>TEST 준비</t>
    <phoneticPr fontId="2" type="noConversion"/>
  </si>
  <si>
    <t>TOWING BOOM 조립</t>
    <phoneticPr fontId="2" type="noConversion"/>
  </si>
  <si>
    <t>SWN0290</t>
    <phoneticPr fontId="2" type="noConversion"/>
  </si>
  <si>
    <t>조립 / 설치 / 시운전</t>
    <phoneticPr fontId="2" type="noConversion"/>
  </si>
  <si>
    <t>P167/168</t>
    <phoneticPr fontId="2" type="noConversion"/>
  </si>
  <si>
    <t>박주성</t>
    <phoneticPr fontId="2" type="noConversion"/>
  </si>
  <si>
    <t>2주 긴급지원</t>
    <phoneticPr fontId="2" type="noConversion"/>
  </si>
  <si>
    <t>이재양 책임 010-8906-0921
출입신청완료</t>
    <phoneticPr fontId="2" type="noConversion"/>
  </si>
  <si>
    <t>우신(1)</t>
    <phoneticPr fontId="2" type="noConversion"/>
  </si>
  <si>
    <t>W304</t>
    <phoneticPr fontId="2" type="noConversion"/>
  </si>
  <si>
    <t>DAVIT CRADLE 용접 작업</t>
    <phoneticPr fontId="2" type="noConversion"/>
  </si>
  <si>
    <t>콘트롤 밸브 누유</t>
    <phoneticPr fontId="2" type="noConversion"/>
  </si>
  <si>
    <r>
      <t>갑판장 전성용 010-9342-9823
일정변경X ,</t>
    </r>
    <r>
      <rPr>
        <b/>
        <sz val="9"/>
        <color rgb="FFFF0000"/>
        <rFont val="맑은 고딕"/>
        <family val="3"/>
        <charset val="129"/>
        <scheme val="minor"/>
      </rPr>
      <t xml:space="preserve"> Reporot 확인</t>
    </r>
    <phoneticPr fontId="2" type="noConversion"/>
  </si>
  <si>
    <t>박성용</t>
    <phoneticPr fontId="2" type="noConversion"/>
  </si>
  <si>
    <t>S188</t>
    <phoneticPr fontId="2" type="noConversion"/>
  </si>
  <si>
    <t>HJSC</t>
    <phoneticPr fontId="2" type="noConversion"/>
  </si>
  <si>
    <t>누유 점검 및 조치</t>
    <phoneticPr fontId="2" type="noConversion"/>
  </si>
  <si>
    <t>박주성</t>
    <phoneticPr fontId="2" type="noConversion"/>
  </si>
  <si>
    <t>우신(1)</t>
    <phoneticPr fontId="2" type="noConversion"/>
  </si>
  <si>
    <t>BSR</t>
    <phoneticPr fontId="2" type="noConversion"/>
  </si>
  <si>
    <t>인도전</t>
    <phoneticPr fontId="2" type="noConversion"/>
  </si>
  <si>
    <t>최원석 차장 010-7447-3872
출입신청 완료</t>
    <phoneticPr fontId="2" type="noConversion"/>
  </si>
  <si>
    <t>2주 긴급지원 - 코멘트 작업</t>
    <phoneticPr fontId="2" type="noConversion"/>
  </si>
  <si>
    <t>인도후</t>
    <phoneticPr fontId="2" type="noConversion"/>
  </si>
  <si>
    <t>1/15~16</t>
    <phoneticPr fontId="2" type="noConversion"/>
  </si>
  <si>
    <t>우신(4)</t>
    <phoneticPr fontId="2" type="noConversion"/>
  </si>
  <si>
    <t>우신(2)</t>
    <phoneticPr fontId="2" type="noConversion"/>
  </si>
  <si>
    <t>한영성 경위님 010-3903-3269
별도 출입신청 X</t>
    <phoneticPr fontId="2" type="noConversion"/>
  </si>
  <si>
    <t>3011함
(여수해경)</t>
    <phoneticPr fontId="2" type="noConversion"/>
  </si>
  <si>
    <t>여수
해양경찰</t>
    <phoneticPr fontId="2" type="noConversion"/>
  </si>
  <si>
    <t>진진(2)</t>
    <phoneticPr fontId="2" type="noConversion"/>
  </si>
  <si>
    <t>HHD</t>
    <phoneticPr fontId="2" type="noConversion"/>
  </si>
  <si>
    <t>최병문 차장님께서 생각 해보시자고 함 (2공수라 애매하다고 이야기 하심)</t>
    <phoneticPr fontId="2" type="noConversion"/>
  </si>
  <si>
    <t>KN</t>
    <phoneticPr fontId="2" type="noConversion"/>
  </si>
  <si>
    <t>DAVIT 받침대 보강 작업 외</t>
    <phoneticPr fontId="2" type="noConversion"/>
  </si>
  <si>
    <t>064-793-2283
출입신청 X / 택배 발송 완료 0115</t>
    <phoneticPr fontId="2" type="noConversion"/>
  </si>
  <si>
    <t>승조원 교육 / 성장지원관 402호
(교재6부/CD 부 확인)</t>
    <phoneticPr fontId="2" type="noConversion"/>
  </si>
  <si>
    <t>박주성,임상섭</t>
    <phoneticPr fontId="2" type="noConversion"/>
  </si>
  <si>
    <t>우신(2)</t>
    <phoneticPr fontId="2" type="noConversion"/>
  </si>
  <si>
    <t>BOAT SEAT 및 CRADEL SEAT 재작업</t>
    <phoneticPr fontId="2" type="noConversion"/>
  </si>
  <si>
    <t>천상욱(우신)</t>
    <phoneticPr fontId="2" type="noConversion"/>
  </si>
  <si>
    <t>토잉붐 추가 수정 작업
,컨트롤 스탠드 설명서 부착</t>
    <phoneticPr fontId="2" type="noConversion"/>
  </si>
  <si>
    <t>그물망 설치</t>
    <phoneticPr fontId="2" type="noConversion"/>
  </si>
  <si>
    <t>최원석 차장 010-7447-3872
출입신청완료/ Report 전달</t>
    <phoneticPr fontId="2" type="noConversion"/>
  </si>
  <si>
    <t>P179</t>
    <phoneticPr fontId="2" type="noConversion"/>
  </si>
  <si>
    <t>RB</t>
    <phoneticPr fontId="2" type="noConversion"/>
  </si>
  <si>
    <t>3주</t>
    <phoneticPr fontId="2" type="noConversion"/>
  </si>
  <si>
    <t>4주</t>
    <phoneticPr fontId="2" type="noConversion"/>
  </si>
  <si>
    <t>5주</t>
    <phoneticPr fontId="2" type="noConversion"/>
  </si>
  <si>
    <t>승조원 교육</t>
    <phoneticPr fontId="2" type="noConversion"/>
  </si>
  <si>
    <t>토르크리미트 교체 / 분전반 판넬에 절연저항 경보등이 지속 점등 발생 / 손잡이 고정핀 작업</t>
    <phoneticPr fontId="2" type="noConversion"/>
  </si>
  <si>
    <t>승조원 교육</t>
    <phoneticPr fontId="2" type="noConversion"/>
  </si>
  <si>
    <t>분전반 판넬에 절연저항 경보등이 지속 점등 발생</t>
    <phoneticPr fontId="2" type="noConversion"/>
  </si>
  <si>
    <t>토르크리미트 교체 / 손잡이 고정핀 작업</t>
    <phoneticPr fontId="2" type="noConversion"/>
  </si>
  <si>
    <t>우신(2)</t>
    <phoneticPr fontId="2" type="noConversion"/>
  </si>
  <si>
    <t>동아(1)</t>
    <phoneticPr fontId="2" type="noConversion"/>
  </si>
  <si>
    <t>WD</t>
    <phoneticPr fontId="2" type="noConversion"/>
  </si>
  <si>
    <t>2주 추가</t>
    <phoneticPr fontId="2" type="noConversion"/>
  </si>
  <si>
    <t>3주</t>
    <phoneticPr fontId="2" type="noConversion"/>
  </si>
  <si>
    <t>HIO(5)</t>
    <phoneticPr fontId="2" type="noConversion"/>
  </si>
  <si>
    <t>1/19~23</t>
    <phoneticPr fontId="2" type="noConversion"/>
  </si>
  <si>
    <t>1/19~20</t>
    <phoneticPr fontId="2" type="noConversion"/>
  </si>
  <si>
    <t>1/21~23</t>
    <phoneticPr fontId="2" type="noConversion"/>
  </si>
  <si>
    <t>1/19~21</t>
    <phoneticPr fontId="2" type="noConversion"/>
  </si>
  <si>
    <t>1/22~23</t>
    <phoneticPr fontId="2" type="noConversion"/>
  </si>
  <si>
    <t>보증수리사항</t>
    <phoneticPr fontId="2" type="noConversion"/>
  </si>
  <si>
    <t>코멘트사항</t>
    <phoneticPr fontId="2" type="noConversion"/>
  </si>
  <si>
    <t>코멘트사항</t>
    <phoneticPr fontId="2" type="noConversion"/>
  </si>
  <si>
    <t>코멘트사항</t>
    <phoneticPr fontId="2" type="noConversion"/>
  </si>
  <si>
    <t>보증수리사항</t>
    <phoneticPr fontId="2" type="noConversion"/>
  </si>
  <si>
    <t>HHI-P178-PE FAT(동하중)
HWE-SWNP0294-FDC 자체TEST</t>
    <phoneticPr fontId="2" type="noConversion"/>
  </si>
  <si>
    <t>HID-1569-ERC 포장
HWE-SWN0290-RB 시운전</t>
    <phoneticPr fontId="2" type="noConversion"/>
  </si>
  <si>
    <t>SA-594-HH-10T-C2 설치
HHI-P179-RB 자체 TEST</t>
    <phoneticPr fontId="2" type="noConversion"/>
  </si>
  <si>
    <t>HHI-P178-PE TEST JIG(정하중)
HWE-SWN0290-RB 자체 TEST</t>
    <phoneticPr fontId="2" type="noConversion"/>
  </si>
  <si>
    <t>SA-594-HH-10T-C2 시운전</t>
    <phoneticPr fontId="2" type="noConversion"/>
  </si>
  <si>
    <t>SA-594-HH-10T-C2 자체 TEST</t>
    <phoneticPr fontId="2" type="noConversion"/>
  </si>
  <si>
    <t>SHI-SN2688-EGC E.I 검사</t>
    <phoneticPr fontId="2" type="noConversion"/>
  </si>
  <si>
    <t>HHI-P178-PE 자체 TEST
HID-1569-ERC 출고(컨테이너)</t>
    <phoneticPr fontId="2" type="noConversion"/>
  </si>
  <si>
    <t>SA-594-HH-10T-C2 FAT
HWE-SWNP0288-KT 포장</t>
    <phoneticPr fontId="2" type="noConversion"/>
  </si>
  <si>
    <t>P178</t>
    <phoneticPr fontId="2" type="noConversion"/>
  </si>
  <si>
    <t>PE</t>
    <phoneticPr fontId="2" type="noConversion"/>
  </si>
  <si>
    <t>시운전 / 자체TEST</t>
    <phoneticPr fontId="2" type="noConversion"/>
  </si>
  <si>
    <t>ERC</t>
    <phoneticPr fontId="2" type="noConversion"/>
  </si>
  <si>
    <t>포장</t>
    <phoneticPr fontId="2" type="noConversion"/>
  </si>
  <si>
    <t>SWNP0288</t>
    <phoneticPr fontId="2" type="noConversion"/>
  </si>
  <si>
    <t>KT</t>
    <phoneticPr fontId="2" type="noConversion"/>
  </si>
  <si>
    <t>SWN0290</t>
    <phoneticPr fontId="2" type="noConversion"/>
  </si>
  <si>
    <t>RB</t>
    <phoneticPr fontId="2" type="noConversion"/>
  </si>
  <si>
    <t>FAT / 검사준비</t>
    <phoneticPr fontId="2" type="noConversion"/>
  </si>
  <si>
    <t>시운전 / 자체TEST</t>
    <phoneticPr fontId="2" type="noConversion"/>
  </si>
  <si>
    <t>이광형</t>
    <phoneticPr fontId="2" type="noConversion"/>
  </si>
  <si>
    <t>토잉붐 추가 수정 작업
,컨트롤 스탠드 명판 부착</t>
    <phoneticPr fontId="2" type="noConversion"/>
  </si>
  <si>
    <t>RB</t>
    <phoneticPr fontId="2" type="noConversion"/>
  </si>
  <si>
    <t>우신(1)</t>
    <phoneticPr fontId="2" type="noConversion"/>
  </si>
  <si>
    <t>RB</t>
    <phoneticPr fontId="2" type="noConversion"/>
  </si>
  <si>
    <t>우신(1)</t>
    <phoneticPr fontId="2" type="noConversion"/>
  </si>
  <si>
    <t>LUG 추가 용접 작업</t>
    <phoneticPr fontId="2" type="noConversion"/>
  </si>
  <si>
    <t>LUG 추가 용접 작업</t>
    <phoneticPr fontId="2" type="noConversion"/>
  </si>
  <si>
    <t>인도후</t>
    <phoneticPr fontId="2" type="noConversion"/>
  </si>
  <si>
    <t>S204</t>
    <phoneticPr fontId="2" type="noConversion"/>
  </si>
  <si>
    <t>박성용,박주성</t>
    <phoneticPr fontId="2" type="noConversion"/>
  </si>
  <si>
    <t>A/S</t>
    <phoneticPr fontId="2" type="noConversion"/>
  </si>
  <si>
    <t>A/S</t>
    <phoneticPr fontId="2" type="noConversion"/>
  </si>
  <si>
    <t>BR</t>
    <phoneticPr fontId="2" type="noConversion"/>
  </si>
  <si>
    <t>P179</t>
    <phoneticPr fontId="2" type="noConversion"/>
  </si>
  <si>
    <t>P168</t>
    <phoneticPr fontId="2" type="noConversion"/>
  </si>
  <si>
    <t>이재양 책임 010-8906-0921
출입신청하기 / Report 전달 / 출입자료전달
용접 작업 요청</t>
    <phoneticPr fontId="2" type="noConversion"/>
  </si>
  <si>
    <t>가야(1)</t>
    <phoneticPr fontId="2" type="noConversion"/>
  </si>
  <si>
    <t>HHI</t>
    <phoneticPr fontId="2" type="noConversion"/>
  </si>
  <si>
    <t>MOTOR 설치</t>
    <phoneticPr fontId="2" type="noConversion"/>
  </si>
  <si>
    <t>3주 긴급지원 - 계약사항</t>
    <phoneticPr fontId="2" type="noConversion"/>
  </si>
  <si>
    <t>토르크리미트 교체 / 분전반 판넬에 절연저항 경보등이 지속 점등 발생 / 손잡이 고정핀 작업
해군의 집 : 9시</t>
    <phoneticPr fontId="2" type="noConversion"/>
  </si>
  <si>
    <t>GNN0018</t>
    <phoneticPr fontId="2" type="noConversion"/>
  </si>
  <si>
    <t>박성용</t>
    <phoneticPr fontId="2" type="noConversion"/>
  </si>
  <si>
    <t>CNM(1)</t>
    <phoneticPr fontId="2" type="noConversion"/>
  </si>
  <si>
    <t>무상</t>
    <phoneticPr fontId="2" type="noConversion"/>
  </si>
  <si>
    <t>서영우 부장 010-4559-6321
출입신청/안전교육신청완료</t>
    <phoneticPr fontId="2" type="noConversion"/>
  </si>
  <si>
    <t>천상욱(우신)</t>
    <phoneticPr fontId="2" type="noConversion"/>
  </si>
  <si>
    <t>천상욱(우신)</t>
    <phoneticPr fontId="2" type="noConversion"/>
  </si>
  <si>
    <t>탁현종 과장 010-9317-7637
Report 전달 / 출입자 명단 보냄</t>
    <phoneticPr fontId="2" type="noConversion"/>
  </si>
  <si>
    <t>RCS/RB</t>
    <phoneticPr fontId="2" type="noConversion"/>
  </si>
  <si>
    <t>박성용</t>
    <phoneticPr fontId="2" type="noConversion"/>
  </si>
  <si>
    <t>장신후 중사 010-5067-9827
출입 신청 완료</t>
    <phoneticPr fontId="2" type="noConversion"/>
  </si>
  <si>
    <t>우신(2)</t>
    <phoneticPr fontId="2" type="noConversion"/>
  </si>
  <si>
    <t>RB/KT</t>
    <phoneticPr fontId="2" type="noConversion"/>
  </si>
  <si>
    <t>TOWING BOOM 러핑윈치가 브레이크 잡혀 조금씩 다운되는 문제 점검 / RUBBER,명판교체,PAINT 작업</t>
    <phoneticPr fontId="2" type="noConversion"/>
  </si>
  <si>
    <t>그랜드 교체 작업(스타터,HPU,발전기)</t>
    <phoneticPr fontId="2" type="noConversion"/>
  </si>
  <si>
    <t>UP LIMIT 문제(TOUCH BAR 조절),로드리미터 점검
(접지할 장비 챙기기,드릴 챙기기) 해군의 집 8:30분</t>
    <phoneticPr fontId="2" type="noConversion"/>
  </si>
  <si>
    <t>우신(2),신한(1)</t>
    <phoneticPr fontId="2" type="noConversion"/>
  </si>
  <si>
    <t>TC</t>
    <phoneticPr fontId="2" type="noConversion"/>
  </si>
  <si>
    <r>
      <t xml:space="preserve">010-4820-0037 김요한 갑판장님
이범수 상사 010-4999-9910
출입신청완료 / </t>
    </r>
    <r>
      <rPr>
        <b/>
        <sz val="9"/>
        <color rgb="FFFF0000"/>
        <rFont val="맑은 고딕"/>
        <family val="3"/>
        <charset val="129"/>
        <scheme val="minor"/>
      </rPr>
      <t>Report 한화에 보내기</t>
    </r>
    <phoneticPr fontId="2" type="noConversion"/>
  </si>
  <si>
    <t>동아(1)</t>
    <phoneticPr fontId="2" type="noConversion"/>
  </si>
  <si>
    <r>
      <t>010-4820-0037 김요한 갑판장님
출입신청 확인하기(되었는지?)/</t>
    </r>
    <r>
      <rPr>
        <b/>
        <sz val="8"/>
        <color rgb="FFFF0000"/>
        <rFont val="맑은 고딕"/>
        <family val="3"/>
        <charset val="129"/>
        <scheme val="minor"/>
      </rPr>
      <t>금요일까지 작업완료 요청옴</t>
    </r>
    <phoneticPr fontId="2" type="noConversion"/>
  </si>
  <si>
    <t>우신(2),HIO(1)</t>
    <phoneticPr fontId="2" type="noConversion"/>
  </si>
  <si>
    <t>WD</t>
    <phoneticPr fontId="2" type="noConversion"/>
  </si>
  <si>
    <t xml:space="preserve">토르크리미트 교체 </t>
    <phoneticPr fontId="2" type="noConversion"/>
  </si>
  <si>
    <t>3주 긴급지원 - 보증수리사항</t>
    <phoneticPr fontId="2" type="noConversion"/>
  </si>
  <si>
    <t>우신(2)</t>
    <phoneticPr fontId="2" type="noConversion"/>
  </si>
  <si>
    <t>근접 리미트 교체</t>
    <phoneticPr fontId="2" type="noConversion"/>
  </si>
  <si>
    <t>지훈희 책임님 010-3561-9417
결과 확인 하기 / 출입 신청 서류보내기</t>
    <phoneticPr fontId="2" type="noConversion"/>
  </si>
  <si>
    <t>근접 리미트 교체 예정
(리미트스위치 작동이 간헐적으로 안됨)</t>
    <phoneticPr fontId="2" type="noConversion"/>
  </si>
  <si>
    <t>RB</t>
    <phoneticPr fontId="2" type="noConversion"/>
  </si>
  <si>
    <t>박성용</t>
    <phoneticPr fontId="2" type="noConversion"/>
  </si>
  <si>
    <t>진진(3)</t>
    <phoneticPr fontId="2" type="noConversion"/>
  </si>
  <si>
    <t>김영수 책임 
010 2587 9486
출입신청 완료/서류 책임님이 출력예정</t>
    <phoneticPr fontId="2" type="noConversion"/>
  </si>
  <si>
    <t>승조원교육 / 명판 교체,JOYSTICK 수리 완료
(교재 5부/13:30/WORK BOAT SIDE)</t>
    <phoneticPr fontId="2" type="noConversion"/>
  </si>
  <si>
    <t>WD/ROVL</t>
    <phoneticPr fontId="2" type="noConversion"/>
  </si>
  <si>
    <t>우신(1)</t>
    <phoneticPr fontId="2" type="noConversion"/>
  </si>
  <si>
    <t>오승만</t>
    <phoneticPr fontId="2" type="noConversion"/>
  </si>
  <si>
    <t>선장부 선장2과 박은식 프로(페데스탈)
010-5461-9345 / 출입신청:12/22~29
박주성 부장님 : 12/19~25</t>
    <phoneticPr fontId="2" type="noConversion"/>
  </si>
  <si>
    <t>전기판넬 반출</t>
    <phoneticPr fontId="2" type="noConversion"/>
  </si>
  <si>
    <t>유상</t>
    <phoneticPr fontId="2" type="noConversion"/>
  </si>
  <si>
    <t>인도전</t>
    <phoneticPr fontId="2" type="noConversion"/>
  </si>
  <si>
    <t>HJSC</t>
    <phoneticPr fontId="2" type="noConversion"/>
  </si>
  <si>
    <t>독도함</t>
    <phoneticPr fontId="2" type="noConversion"/>
  </si>
  <si>
    <t>천상욱(우신)</t>
    <phoneticPr fontId="2" type="noConversion"/>
  </si>
  <si>
    <t>4주</t>
    <phoneticPr fontId="2" type="noConversion"/>
  </si>
  <si>
    <t>박성용,설계</t>
    <phoneticPr fontId="2" type="noConversion"/>
  </si>
  <si>
    <t>좌현 Lock Cylinder 소음 점검</t>
    <phoneticPr fontId="2" type="noConversion"/>
  </si>
  <si>
    <t>IRST 적외선 탐색 및 추적 시스템
(공시운전 입회)</t>
    <phoneticPr fontId="2" type="noConversion"/>
  </si>
  <si>
    <t xml:space="preserve">설치 검사 (14:00) /시동기 도어 한쪽으로 쳐져있어 잠금 볼트 체결 불가 , 조종레버 시트 수평 작업 요청 </t>
    <phoneticPr fontId="2" type="noConversion"/>
  </si>
  <si>
    <t>승조원 교육</t>
    <phoneticPr fontId="2" type="noConversion"/>
  </si>
  <si>
    <t>진진(4)</t>
    <phoneticPr fontId="2" type="noConversion"/>
  </si>
  <si>
    <t>1/26-27</t>
    <phoneticPr fontId="2" type="noConversion"/>
  </si>
  <si>
    <t>1/28-30</t>
    <phoneticPr fontId="2" type="noConversion"/>
  </si>
  <si>
    <t>범양(6)</t>
    <phoneticPr fontId="2" type="noConversion"/>
  </si>
  <si>
    <t>1/26~30</t>
    <phoneticPr fontId="2" type="noConversion"/>
  </si>
  <si>
    <t>1/26~27</t>
    <phoneticPr fontId="2" type="noConversion"/>
  </si>
  <si>
    <t>1/28~30</t>
    <phoneticPr fontId="2" type="noConversion"/>
  </si>
  <si>
    <t>HIO(1)</t>
    <phoneticPr fontId="2" type="noConversion"/>
  </si>
  <si>
    <t>유상AS 사항</t>
    <phoneticPr fontId="2" type="noConversion"/>
  </si>
  <si>
    <t>사내작업</t>
    <phoneticPr fontId="2" type="noConversion"/>
  </si>
  <si>
    <t>납품전</t>
    <phoneticPr fontId="2" type="noConversion"/>
  </si>
  <si>
    <t>이광형</t>
    <phoneticPr fontId="2" type="noConversion"/>
  </si>
  <si>
    <t>MC 검사 입회 (13시30분) / 모터 방향 스티커 부착</t>
    <phoneticPr fontId="2" type="noConversion"/>
  </si>
  <si>
    <t>MC 검사 입회 (13시30분) / 모터 방향 스티커 부착</t>
    <phoneticPr fontId="2" type="noConversion"/>
  </si>
  <si>
    <t>4주</t>
    <phoneticPr fontId="2" type="noConversion"/>
  </si>
  <si>
    <t>5주</t>
    <phoneticPr fontId="2" type="noConversion"/>
  </si>
  <si>
    <t>1/21-22</t>
    <phoneticPr fontId="2" type="noConversion"/>
  </si>
  <si>
    <t>2주 긴급지원</t>
    <phoneticPr fontId="2" type="noConversion"/>
  </si>
  <si>
    <t>범양-최기추(3)</t>
    <phoneticPr fontId="2" type="noConversion"/>
  </si>
  <si>
    <t>1/28~30</t>
    <phoneticPr fontId="2" type="noConversion"/>
  </si>
  <si>
    <t>SA-594</t>
    <phoneticPr fontId="2" type="noConversion"/>
  </si>
  <si>
    <t>GNN0019</t>
    <phoneticPr fontId="2" type="noConversion"/>
  </si>
  <si>
    <t>HH</t>
    <phoneticPr fontId="2" type="noConversion"/>
  </si>
  <si>
    <t>TOWING BOOM 작업</t>
    <phoneticPr fontId="2" type="noConversion"/>
  </si>
  <si>
    <t>TOWING BOOM 수정 작업</t>
    <phoneticPr fontId="2" type="noConversion"/>
  </si>
  <si>
    <t>ML</t>
    <phoneticPr fontId="2" type="noConversion"/>
  </si>
  <si>
    <t>레일설치</t>
    <phoneticPr fontId="2" type="noConversion"/>
  </si>
  <si>
    <t>수정 작업</t>
    <phoneticPr fontId="2" type="noConversion"/>
  </si>
  <si>
    <t>SWNP0294</t>
    <phoneticPr fontId="2" type="noConversion"/>
  </si>
  <si>
    <t>코멘트 사항</t>
    <phoneticPr fontId="2" type="noConversion"/>
  </si>
  <si>
    <t>계약 사항</t>
    <phoneticPr fontId="2" type="noConversion"/>
  </si>
  <si>
    <t>계약 사항</t>
    <phoneticPr fontId="2" type="noConversion"/>
  </si>
  <si>
    <t>SA-594-HH-10T 시운전
HHI-P179-RB 수정작업</t>
    <phoneticPr fontId="2" type="noConversion"/>
  </si>
  <si>
    <t>HWE-SWNP0288-KT 포장
HHI-P178-ML RAIL 설치</t>
    <phoneticPr fontId="2" type="noConversion"/>
  </si>
  <si>
    <t>SKMT-GNN0019-ML 설치</t>
    <phoneticPr fontId="2" type="noConversion"/>
  </si>
  <si>
    <t>HJSC-SR24002-ER E&amp;I 검사 / 제작검사
HHI-P178-ML 조립</t>
    <phoneticPr fontId="2" type="noConversion"/>
  </si>
  <si>
    <t>SKMT-GNN0019-ML 시운전
SHI-SN2688-EGC 설치&amp;시운전</t>
    <phoneticPr fontId="2" type="noConversion"/>
  </si>
  <si>
    <t>HWE-SWNP0294-FDC FAT
SHI-SN2688-EGC 자체TEST</t>
    <phoneticPr fontId="2" type="noConversion"/>
  </si>
  <si>
    <t>HHI-P178-PE FAT(정하중)
HHI-P179-RB FAT</t>
    <phoneticPr fontId="2" type="noConversion"/>
  </si>
  <si>
    <t>HJSC-SR24002-DWW E&amp;I 검사
HJSC-SR24002-RFW 분해검사</t>
    <phoneticPr fontId="2" type="noConversion"/>
  </si>
  <si>
    <t>3주 추가</t>
    <phoneticPr fontId="2" type="noConversion"/>
  </si>
  <si>
    <t>4주</t>
    <phoneticPr fontId="2" type="noConversion"/>
  </si>
  <si>
    <t>헬기격납고 도어 보증수리 관련 회의</t>
    <phoneticPr fontId="2" type="noConversion"/>
  </si>
  <si>
    <t>HHD</t>
    <phoneticPr fontId="2" type="noConversion"/>
  </si>
  <si>
    <t>HHI</t>
    <phoneticPr fontId="2" type="noConversion"/>
  </si>
  <si>
    <t>박주성</t>
    <phoneticPr fontId="2" type="noConversion"/>
  </si>
  <si>
    <t xml:space="preserve">이재양 책임 010-8906-0921
출입신청하기 / Report 전달 / 출입자료전달
크레인 사용 요청 완료 </t>
    <phoneticPr fontId="2" type="noConversion"/>
  </si>
  <si>
    <t>P179</t>
    <phoneticPr fontId="2" type="noConversion"/>
  </si>
  <si>
    <t>KT/RD</t>
    <phoneticPr fontId="2" type="noConversion"/>
  </si>
  <si>
    <t>MOTOR 설치 / 명판 부착 작업</t>
    <phoneticPr fontId="2" type="noConversion"/>
  </si>
  <si>
    <t>0160</t>
    <phoneticPr fontId="2" type="noConversion"/>
  </si>
  <si>
    <t>CNM(1)</t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</si>
  <si>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완료</t>
    </r>
    <r>
      <rPr>
        <sz val="8"/>
        <color theme="1"/>
        <rFont val="맑은 고딕"/>
        <family val="3"/>
        <charset val="129"/>
        <scheme val="minor"/>
      </rPr>
      <t xml:space="preserve">
이재양 책임 010-8906-0921</t>
    </r>
    <phoneticPr fontId="2" type="noConversion"/>
  </si>
  <si>
    <t>DAVIT 받침대 보강 작업 외</t>
    <phoneticPr fontId="2" type="noConversion"/>
  </si>
  <si>
    <t>김도현 사원
010-8687-7803</t>
    <phoneticPr fontId="2" type="noConversion"/>
  </si>
  <si>
    <t>TOWING BOOM 러핑윈치가 브레이크 잡혀 조금씩 다운되는 문제 점검 / RUBBER,명판부착,PAINT 작업</t>
    <phoneticPr fontId="2" type="noConversion"/>
  </si>
  <si>
    <t>신봉신 경사 (안전팀장)
H.P : 010-3656-3810</t>
    <phoneticPr fontId="2" type="noConversion"/>
  </si>
  <si>
    <t>좌현 Lock Cylinder 소음 점검
해군의집 : 9:00</t>
    <phoneticPr fontId="2" type="noConversion"/>
  </si>
  <si>
    <t>010-5087-3922
PM NO.1 300호정
출입신청완료</t>
    <phoneticPr fontId="2" type="noConversion"/>
  </si>
  <si>
    <t>진해해군</t>
    <phoneticPr fontId="2" type="noConversion"/>
  </si>
  <si>
    <t>진진(5)</t>
    <phoneticPr fontId="2" type="noConversion"/>
  </si>
  <si>
    <t>범양(1),우신(1)</t>
    <phoneticPr fontId="2" type="noConversion"/>
  </si>
  <si>
    <t>오태호
* 임기근(반차)</t>
    <phoneticPr fontId="2" type="noConversion"/>
  </si>
  <si>
    <t>박성용</t>
    <phoneticPr fontId="2" type="noConversion"/>
  </si>
  <si>
    <t>정명훈 010-4082-0210
박성용기장님만 갈 예정,교제는 택배로
우나윤 연구원님이 전달 해주신다고 함</t>
    <phoneticPr fontId="2" type="noConversion"/>
  </si>
  <si>
    <r>
      <t>010-9037-7311</t>
    </r>
    <r>
      <rPr>
        <sz val="8"/>
        <color rgb="FF0000FF"/>
        <rFont val="맑은 고딕"/>
        <family val="3"/>
        <charset val="129"/>
        <scheme val="minor"/>
      </rPr>
      <t xml:space="preserve">
11/22~3주동안 정박예정</t>
    </r>
    <phoneticPr fontId="2" type="noConversion"/>
  </si>
  <si>
    <t>출입신청완료/필요 서류 전달
조향근차장 010-9597-1227</t>
    <phoneticPr fontId="2" type="noConversion"/>
  </si>
  <si>
    <t>단정데비트 Luffing Arm 함 내부로 이동 시 Limit Switch 미작동 
소형천정권양기 브레이크 수리 / 와이어 교체</t>
    <phoneticPr fontId="2" type="noConversion"/>
  </si>
  <si>
    <t>LUG 추가 용접 작업</t>
    <phoneticPr fontId="2" type="noConversion"/>
  </si>
  <si>
    <r>
      <t xml:space="preserve">서영우 부장 010-4559-6321
</t>
    </r>
    <r>
      <rPr>
        <b/>
        <sz val="9"/>
        <color rgb="FFFF0000"/>
        <rFont val="맑은 고딕"/>
        <family val="3"/>
        <charset val="129"/>
        <scheme val="minor"/>
      </rPr>
      <t>삼강 출입신청 완료(서영우부장님 처리)</t>
    </r>
    <phoneticPr fontId="2" type="noConversion"/>
  </si>
  <si>
    <t>CNM(1),우신(1)</t>
    <phoneticPr fontId="2" type="noConversion"/>
  </si>
  <si>
    <t>부산항
5부두</t>
    <phoneticPr fontId="2" type="noConversion"/>
  </si>
  <si>
    <t>선장부 선장2과 박은식 프로(페데스탈)
010-5461-9345
출입신청완료/차량신청요청완료</t>
    <phoneticPr fontId="2" type="noConversion"/>
  </si>
  <si>
    <r>
      <t xml:space="preserve">MC 검사 입회 (13시30분) / 모터 방향 스티커 부착
</t>
    </r>
    <r>
      <rPr>
        <b/>
        <sz val="10"/>
        <rFont val="맑은 고딕"/>
        <family val="3"/>
        <charset val="129"/>
        <scheme val="minor"/>
      </rPr>
      <t>*6안벽관 11층 : 박은식 프로님</t>
    </r>
    <phoneticPr fontId="2" type="noConversion"/>
  </si>
  <si>
    <t>DAVIT 하부 RUBBER 갈라짐 및 들뜸현상 점검</t>
    <phoneticPr fontId="2" type="noConversion"/>
  </si>
  <si>
    <t>1/27-28</t>
    <phoneticPr fontId="2" type="noConversion"/>
  </si>
  <si>
    <t>TOWING BOOM 용접 및 설치 작업</t>
    <phoneticPr fontId="2" type="noConversion"/>
  </si>
  <si>
    <t>진진(4)</t>
    <phoneticPr fontId="2" type="noConversion"/>
  </si>
  <si>
    <t>이광형</t>
    <phoneticPr fontId="2" type="noConversion"/>
  </si>
  <si>
    <t>3주 긴급지원</t>
    <phoneticPr fontId="2" type="noConversion"/>
  </si>
  <si>
    <t>4주 긴급지원</t>
    <phoneticPr fontId="2" type="noConversion"/>
  </si>
  <si>
    <t>TOWING BOOM 설치</t>
    <phoneticPr fontId="2" type="noConversion"/>
  </si>
  <si>
    <t>TOWING BOOM 작업</t>
    <phoneticPr fontId="2" type="noConversion"/>
  </si>
  <si>
    <t>토잉붐 추가 수정 작업
,컨트롤 스탠드 명판 부착</t>
    <phoneticPr fontId="2" type="noConversion"/>
  </si>
  <si>
    <t>DAVIT 받침대 보강 작업 외</t>
    <phoneticPr fontId="2" type="noConversion"/>
  </si>
  <si>
    <t>삼강 S&amp;C</t>
    <phoneticPr fontId="2" type="noConversion"/>
  </si>
  <si>
    <t>진해해군</t>
    <phoneticPr fontId="2" type="noConversion"/>
  </si>
  <si>
    <t>CS</t>
    <phoneticPr fontId="2" type="noConversion"/>
  </si>
  <si>
    <t>시운전
(13:00 예정)</t>
    <phoneticPr fontId="2" type="noConversion"/>
  </si>
  <si>
    <t>개인차량</t>
    <phoneticPr fontId="2" type="noConversion"/>
  </si>
  <si>
    <t>박성용</t>
    <phoneticPr fontId="2" type="noConversion"/>
  </si>
  <si>
    <t>S199/
S201</t>
    <phoneticPr fontId="2" type="noConversion"/>
  </si>
  <si>
    <t>CS</t>
    <phoneticPr fontId="2" type="noConversion"/>
  </si>
  <si>
    <r>
      <t>IRST 적외선 탐색 및 추적 시스템
(공시운전 입회)</t>
    </r>
    <r>
      <rPr>
        <b/>
        <sz val="10"/>
        <color theme="1"/>
        <rFont val="맑은 고딕"/>
        <family val="3"/>
        <charset val="129"/>
        <scheme val="minor"/>
      </rPr>
      <t xml:space="preserve"> 07:30~17:00 통선</t>
    </r>
    <phoneticPr fontId="2" type="noConversion"/>
  </si>
  <si>
    <t>전기판넬 반출</t>
    <phoneticPr fontId="2" type="noConversion"/>
  </si>
  <si>
    <t>엔코더 교체, 커버작업
WIRE ROPE GUIDE 위치 이동 설치 및 RAMP 점검
(와이어 / PIPE / 마그네틱 드릴 /엔코더 커버 자재 입고 확인)</t>
    <phoneticPr fontId="2" type="noConversion"/>
  </si>
  <si>
    <t>업리미트 교체,슬로윙리미트 점검</t>
    <phoneticPr fontId="2" type="noConversion"/>
  </si>
  <si>
    <t>계선기 설치
(오전 9시 30분 도착)</t>
    <phoneticPr fontId="2" type="noConversion"/>
  </si>
  <si>
    <t>TC</t>
    <phoneticPr fontId="2" type="noConversion"/>
  </si>
  <si>
    <t>WD</t>
    <phoneticPr fontId="2" type="noConversion"/>
  </si>
  <si>
    <t>박주성,최용욱
문덕민</t>
    <phoneticPr fontId="2" type="noConversion"/>
  </si>
  <si>
    <t>출입신청완료/필요 서류 전달
조향근차장 010-9597-1227</t>
    <phoneticPr fontId="2" type="noConversion"/>
  </si>
  <si>
    <t>조향근차장 010-9597-1227</t>
    <phoneticPr fontId="2" type="noConversion"/>
  </si>
  <si>
    <t>지창규 공장장 010-9284-4896
출입신청 X</t>
    <phoneticPr fontId="2" type="noConversion"/>
  </si>
  <si>
    <r>
      <t xml:space="preserve">김대호 차장님?
010-5034-3772 / </t>
    </r>
    <r>
      <rPr>
        <b/>
        <sz val="8"/>
        <color theme="1"/>
        <rFont val="맑은 고딕"/>
        <family val="3"/>
        <charset val="129"/>
        <scheme val="minor"/>
      </rPr>
      <t>Report 전달 드리기</t>
    </r>
    <r>
      <rPr>
        <sz val="8"/>
        <color theme="1"/>
        <rFont val="맑은 고딕"/>
        <family val="3"/>
        <charset val="129"/>
        <scheme val="minor"/>
      </rPr>
      <t xml:space="preserve">
출입신청완료 2/2~3/1</t>
    </r>
    <phoneticPr fontId="2" type="noConversion"/>
  </si>
  <si>
    <t>HJSC</t>
    <phoneticPr fontId="2" type="noConversion"/>
  </si>
  <si>
    <t>장현환 책임님
010-7103-9818</t>
    <phoneticPr fontId="2" type="noConversion"/>
  </si>
  <si>
    <t>승조원 교육 / 성장지원관 402호
(교재6부/CD 부 챙겨가기)</t>
    <phoneticPr fontId="2" type="noConversion"/>
  </si>
  <si>
    <t>RB
무궁화41호/43호</t>
    <phoneticPr fontId="2" type="noConversion"/>
  </si>
  <si>
    <t>SWN0282/
SWN0284</t>
    <phoneticPr fontId="2" type="noConversion"/>
  </si>
  <si>
    <t>010-7600-4840
출입신청 안해도됨 / 발주품 확인하기</t>
    <phoneticPr fontId="2" type="noConversion"/>
  </si>
  <si>
    <t>전기판넬 반출</t>
    <phoneticPr fontId="2" type="noConversion"/>
  </si>
  <si>
    <t>우신(2)</t>
    <phoneticPr fontId="2" type="noConversion"/>
  </si>
  <si>
    <t>HHI-P178-PE FAT(정하중)
HHI-P179-RB 포장</t>
    <phoneticPr fontId="2" type="noConversion"/>
  </si>
  <si>
    <t>신안지도업</t>
  </si>
  <si>
    <t>S199/
S201</t>
  </si>
  <si>
    <t>계선기 소음 점검 및 조치 / CS 2AH 퓨즈 교체</t>
  </si>
  <si>
    <t>독도함</t>
  </si>
  <si>
    <t>검사</t>
  </si>
  <si>
    <t>박주성,최용욱
문덕민</t>
  </si>
  <si>
    <t>삼강 S&amp;C</t>
  </si>
  <si>
    <t>GNN0018</t>
  </si>
  <si>
    <t>RCS/RB</t>
  </si>
  <si>
    <t>CNM(1),우신(1)</t>
  </si>
  <si>
    <t>HJSC-SR24002-RFW 재조립
SKMT-GNN0019-ML 시운전
TNG-TNG026-RB 조립</t>
    <phoneticPr fontId="2" type="noConversion"/>
  </si>
  <si>
    <t>5주</t>
    <phoneticPr fontId="2" type="noConversion"/>
  </si>
  <si>
    <t>SA-594-HH-10T FAT
HOC-7062-RD 설치</t>
    <phoneticPr fontId="2" type="noConversion"/>
  </si>
  <si>
    <t>HHI-P178-PE 포장
SHI-SN2688-EGC 설치
HHI-P178-ML 시운전</t>
    <phoneticPr fontId="2" type="noConversion"/>
  </si>
  <si>
    <t>SA-594-HH-10T 포장
HHI-P179-RB 납품
SKMT-GNN0019-ML 자체TEST</t>
    <phoneticPr fontId="2" type="noConversion"/>
  </si>
  <si>
    <t>SHI-SN2688-EGC 시운전
HJSC-SR24002-DWW 무부하TEST</t>
    <phoneticPr fontId="2" type="noConversion"/>
  </si>
  <si>
    <t>HOC-7062-RD 시운전
HID-1570-ERC 조립</t>
    <phoneticPr fontId="2" type="noConversion"/>
  </si>
  <si>
    <t>HWE-SWNP0294-FDC 설치(NO.3)
SHI-SN2688-EGC E.I 검사</t>
    <phoneticPr fontId="2" type="noConversion"/>
  </si>
  <si>
    <t>HHI-P178-ML 자체TEST</t>
    <phoneticPr fontId="2" type="noConversion"/>
  </si>
  <si>
    <t>NO.2를 사용 하면 유압류가 NO.1으로 넘어가는 현상</t>
    <phoneticPr fontId="2" type="noConversion"/>
  </si>
  <si>
    <t>진진(1),DST(1)</t>
  </si>
  <si>
    <t>진진(1),DST(1)</t>
    <phoneticPr fontId="2" type="noConversion"/>
  </si>
  <si>
    <t>커미셔닝</t>
    <phoneticPr fontId="2" type="noConversion"/>
  </si>
  <si>
    <t>커미셔닝</t>
    <phoneticPr fontId="2" type="noConversion"/>
  </si>
  <si>
    <t>시운전</t>
    <phoneticPr fontId="2" type="noConversion"/>
  </si>
  <si>
    <t>후크 위치 이동/ 와이어,붐 텔레쪽 구리스 작업
 / 조이스틱 명판 이동</t>
    <phoneticPr fontId="2" type="noConversion"/>
  </si>
  <si>
    <t>CNM(1)</t>
    <phoneticPr fontId="2" type="noConversion"/>
  </si>
  <si>
    <t>HIO(2)</t>
    <phoneticPr fontId="2" type="noConversion"/>
  </si>
  <si>
    <t>2/2~2/6</t>
    <phoneticPr fontId="2" type="noConversion"/>
  </si>
  <si>
    <t>2/2~2/3</t>
    <phoneticPr fontId="2" type="noConversion"/>
  </si>
  <si>
    <t>2/4~2/6</t>
    <phoneticPr fontId="2" type="noConversion"/>
  </si>
  <si>
    <t>판넬 교체 작업</t>
    <phoneticPr fontId="2" type="noConversion"/>
  </si>
  <si>
    <t>진진(3),우신(2)
,CNM(1)</t>
    <phoneticPr fontId="2" type="noConversion"/>
  </si>
  <si>
    <t>판넬 교체 작업 / 도장 깨짐부 사상 및 하도 도장</t>
    <phoneticPr fontId="2" type="noConversion"/>
  </si>
  <si>
    <t>판넬 교체 작업 / 상도 및 COMMENT 처리</t>
    <phoneticPr fontId="2" type="noConversion"/>
  </si>
  <si>
    <t>064-793-2283
안성규 경위 010-2005-4450
출입신청 X / 일정 연락 완료</t>
    <phoneticPr fontId="2" type="noConversion"/>
  </si>
  <si>
    <t>SA594</t>
    <phoneticPr fontId="2" type="noConversion"/>
  </si>
  <si>
    <t>HH</t>
    <phoneticPr fontId="2" type="noConversion"/>
  </si>
  <si>
    <t>포장</t>
    <phoneticPr fontId="2" type="noConversion"/>
  </si>
  <si>
    <t>조립</t>
    <phoneticPr fontId="2" type="noConversion"/>
  </si>
  <si>
    <t>RB</t>
    <phoneticPr fontId="2" type="noConversion"/>
  </si>
  <si>
    <t>TNG026</t>
    <phoneticPr fontId="2" type="noConversion"/>
  </si>
  <si>
    <t>SN2688</t>
    <phoneticPr fontId="2" type="noConversion"/>
  </si>
  <si>
    <t>EGC</t>
    <phoneticPr fontId="2" type="noConversion"/>
  </si>
  <si>
    <t>설치 / 시운전</t>
    <phoneticPr fontId="2" type="noConversion"/>
  </si>
  <si>
    <t>RD</t>
    <phoneticPr fontId="2" type="noConversion"/>
  </si>
  <si>
    <t>설치</t>
    <phoneticPr fontId="2" type="noConversion"/>
  </si>
  <si>
    <t>ERC</t>
    <phoneticPr fontId="2" type="noConversion"/>
  </si>
  <si>
    <t>2/3~2/4</t>
    <phoneticPr fontId="2" type="noConversion"/>
  </si>
  <si>
    <t>DST(2)</t>
    <phoneticPr fontId="2" type="noConversion"/>
  </si>
  <si>
    <t>제주해경</t>
  </si>
  <si>
    <t>진진(1),DST(1)</t>
    <phoneticPr fontId="2" type="noConversion"/>
  </si>
  <si>
    <t>박주성</t>
    <phoneticPr fontId="2" type="noConversion"/>
  </si>
  <si>
    <t>BOAT SEAT 및 CRADEL SEAT 보강 작업</t>
    <phoneticPr fontId="2" type="noConversion"/>
  </si>
  <si>
    <t>커미셔닝</t>
    <phoneticPr fontId="2" type="noConversion"/>
  </si>
  <si>
    <t>승조원 교육 / 성장지원관 402호</t>
    <phoneticPr fontId="2" type="noConversion"/>
  </si>
  <si>
    <t>시운전</t>
    <phoneticPr fontId="2" type="noConversion"/>
  </si>
  <si>
    <t>4주 추가</t>
    <phoneticPr fontId="2" type="noConversion"/>
  </si>
  <si>
    <t>계약사항</t>
    <phoneticPr fontId="2" type="noConversion"/>
  </si>
  <si>
    <t>코멘트사항</t>
    <phoneticPr fontId="2" type="noConversion"/>
  </si>
  <si>
    <t>계약사항</t>
    <phoneticPr fontId="2" type="noConversion"/>
  </si>
  <si>
    <t>코멘트사항</t>
    <phoneticPr fontId="2" type="noConversion"/>
  </si>
  <si>
    <t>후크 위치 이동 / 와이어,붐 텔레쪽 구리스 작업 
/ 조이스틱 명판 이동</t>
    <phoneticPr fontId="2" type="noConversion"/>
  </si>
  <si>
    <t>NO.2를 작동 시 유압류가 NO.1으로 
역류하여 점검 후 수리</t>
    <phoneticPr fontId="2" type="noConversion"/>
  </si>
  <si>
    <t>NO.2를 작동 시 유압류가 NO.1으로 
역류하여 점검 후 수리</t>
    <phoneticPr fontId="2" type="noConversion"/>
  </si>
  <si>
    <r>
      <t xml:space="preserve">010-4820-0037 김요한 갑판장님
이범수 상사 010-4999-9910
출입신청완료 / </t>
    </r>
    <r>
      <rPr>
        <b/>
        <sz val="9"/>
        <color rgb="FFFF0000"/>
        <rFont val="맑은 고딕"/>
        <family val="3"/>
        <charset val="129"/>
        <scheme val="minor"/>
      </rPr>
      <t>Report 한화에 보내기</t>
    </r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</si>
  <si>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할 것</t>
    </r>
    <r>
      <rPr>
        <sz val="8"/>
        <color theme="1"/>
        <rFont val="맑은 고딕"/>
        <family val="3"/>
        <charset val="129"/>
        <scheme val="minor"/>
      </rPr>
      <t xml:space="preserve">
이재양 책임 010-8906-0921
</t>
    </r>
    <r>
      <rPr>
        <b/>
        <sz val="8"/>
        <color theme="1"/>
        <rFont val="맑은 고딕"/>
        <family val="3"/>
        <charset val="129"/>
        <scheme val="minor"/>
      </rPr>
      <t>서명 꼭 받아야함 : 종결처리 해야함</t>
    </r>
    <phoneticPr fontId="2" type="noConversion"/>
  </si>
  <si>
    <t xml:space="preserve">설치 검사 (14:00) /
시동기 도어 한쪽으로 쳐져있어 잠금 볼트 체결 불가 , 조종레버 시트 수평 작업 요청 </t>
    <phoneticPr fontId="2" type="noConversion"/>
  </si>
  <si>
    <t>우신(2),CNM(1)</t>
    <phoneticPr fontId="2" type="noConversion"/>
  </si>
  <si>
    <t>P168</t>
    <phoneticPr fontId="2" type="noConversion"/>
  </si>
  <si>
    <t>자재 입고 확인하기 + 더 걸리는지 확인 후 책임님과 다시 일정 조율..</t>
    <phoneticPr fontId="2" type="noConversion"/>
  </si>
  <si>
    <t>HHD</t>
    <phoneticPr fontId="2" type="noConversion"/>
  </si>
  <si>
    <t xml:space="preserve">동아-&gt;CNM 청구 </t>
    <phoneticPr fontId="2" type="noConversion"/>
  </si>
  <si>
    <t>계선기 소음 점검 및 조치 / CS 2AH 퓨즈 교체</t>
    <phoneticPr fontId="2" type="noConversion"/>
  </si>
  <si>
    <t>NO.2를 작동 시 유압류가 NO.1으로 
역류하여 점검 후 수리</t>
    <phoneticPr fontId="2" type="noConversion"/>
  </si>
  <si>
    <t>064-793-2283
안성규 경위 010-2005-4450
출입신청 X / 일정 연락 완료</t>
    <phoneticPr fontId="2" type="noConversion"/>
  </si>
  <si>
    <t>장현환 책임님
010-7103-9818
Report 코멘트 서명 전달 메일 전달하기</t>
    <phoneticPr fontId="2" type="noConversion"/>
  </si>
  <si>
    <t>이장락 수석님
010-7330-3839</t>
    <phoneticPr fontId="2" type="noConversion"/>
  </si>
  <si>
    <t>GNN0017</t>
    <phoneticPr fontId="2" type="noConversion"/>
  </si>
  <si>
    <t>장현환 책임님
010-7103-9818
김용훈 공장장님 임시 출입신청 요청함</t>
    <phoneticPr fontId="2" type="noConversion"/>
  </si>
  <si>
    <t>코멘트 작업</t>
    <phoneticPr fontId="2" type="noConversion"/>
  </si>
  <si>
    <t>HHD/RCS</t>
    <phoneticPr fontId="2" type="noConversion"/>
  </si>
  <si>
    <t>RCS</t>
    <phoneticPr fontId="2" type="noConversion"/>
  </si>
  <si>
    <t>RCS/HHD</t>
    <phoneticPr fontId="2" type="noConversion"/>
  </si>
  <si>
    <t>삼강 S&amp;C</t>
    <phoneticPr fontId="2" type="noConversion"/>
  </si>
  <si>
    <t>SKMT/
삼강 S&amp;C</t>
    <phoneticPr fontId="2" type="noConversion"/>
  </si>
  <si>
    <t>김동명</t>
    <phoneticPr fontId="2" type="noConversion"/>
  </si>
  <si>
    <t>진진(1),DST(1)</t>
    <phoneticPr fontId="2" type="noConversion"/>
  </si>
  <si>
    <t>GNN0017
0018/0019</t>
    <phoneticPr fontId="2" type="noConversion"/>
  </si>
  <si>
    <t>동아(2)</t>
    <phoneticPr fontId="2" type="noConversion"/>
  </si>
  <si>
    <t>검사</t>
    <phoneticPr fontId="2" type="noConversion"/>
  </si>
  <si>
    <t>NO.2를 사용 하면 유압류가 NO.1으로 넘어가는 현상</t>
    <phoneticPr fontId="2" type="noConversion"/>
  </si>
  <si>
    <t>FAIL SAFE 회로 수정</t>
    <phoneticPr fontId="2" type="noConversion"/>
  </si>
  <si>
    <t>후크 위치 이동 / 와이어,붐 텔레쪽 구리스 작업 / 조이스틱 명판 이동</t>
    <phoneticPr fontId="2" type="noConversion"/>
  </si>
  <si>
    <t>DOOR 닫힘 불가능
(와이어 이탈 작업)</t>
    <phoneticPr fontId="2" type="noConversion"/>
  </si>
  <si>
    <t>무궁화
29호</t>
    <phoneticPr fontId="2" type="noConversion"/>
  </si>
  <si>
    <t>진해해군</t>
    <phoneticPr fontId="2" type="noConversion"/>
  </si>
  <si>
    <t>박성용</t>
    <phoneticPr fontId="2" type="noConversion"/>
  </si>
  <si>
    <t>설치 기술 지원</t>
    <phoneticPr fontId="2" type="noConversion"/>
  </si>
  <si>
    <t>KN</t>
    <phoneticPr fontId="2" type="noConversion"/>
  </si>
  <si>
    <t>RB</t>
    <phoneticPr fontId="2" type="noConversion"/>
  </si>
  <si>
    <t>우신(1)</t>
    <phoneticPr fontId="2" type="noConversion"/>
  </si>
  <si>
    <t xml:space="preserve"> 마스터링크 용접(기존 조립타입 핸드그립에서 마스터링크에 라운드바를 그냥 용접하는 타입으로 변경)</t>
    <phoneticPr fontId="2" type="noConversion"/>
  </si>
  <si>
    <t>6주</t>
    <phoneticPr fontId="2" type="noConversion"/>
  </si>
  <si>
    <t xml:space="preserve"> 마스터링크 용접 (고정식으로 타입 변경)</t>
    <phoneticPr fontId="2" type="noConversion"/>
  </si>
  <si>
    <t>5주 긴급지원-코멘트작업</t>
    <phoneticPr fontId="2" type="noConversion"/>
  </si>
  <si>
    <t>경장 나동수 010-8942-6044
서한교 주임님이 출입신청함.</t>
    <phoneticPr fontId="2" type="noConversion"/>
  </si>
  <si>
    <t>리미트 상부 포지션 위치 변경</t>
    <phoneticPr fontId="2" type="noConversion"/>
  </si>
  <si>
    <t>진진(2)</t>
    <phoneticPr fontId="2" type="noConversion"/>
  </si>
  <si>
    <t>서영우 부장 010-4559-6321
출입신청/안전교육신청완료 
REPORT 확인하기</t>
    <phoneticPr fontId="2" type="noConversion"/>
  </si>
  <si>
    <t>인도전</t>
    <phoneticPr fontId="2" type="noConversion"/>
  </si>
  <si>
    <t>커미셔닝
(삼강 S&amp;C - 10시 교육)</t>
    <phoneticPr fontId="2" type="noConversion"/>
  </si>
  <si>
    <t>리미트 상부 포지션 위치 변경
(삼강 S&amp;C - 8시 교육)</t>
    <phoneticPr fontId="2" type="noConversion"/>
  </si>
  <si>
    <t>커미셔닝</t>
    <phoneticPr fontId="2" type="noConversion"/>
  </si>
  <si>
    <t>박성용,임기근(HIO)</t>
    <phoneticPr fontId="2" type="noConversion"/>
  </si>
  <si>
    <t>문덕민,임상섭</t>
    <phoneticPr fontId="2" type="noConversion"/>
  </si>
  <si>
    <t>우신(1)</t>
    <phoneticPr fontId="2" type="noConversion"/>
  </si>
  <si>
    <t>5주 긴급지원-계약사항</t>
    <phoneticPr fontId="2" type="noConversion"/>
  </si>
  <si>
    <t>장현환 책임님
010-7103-9818</t>
    <phoneticPr fontId="2" type="noConversion"/>
  </si>
  <si>
    <t>커미셔닝(온보드 테스트)</t>
    <phoneticPr fontId="2" type="noConversion"/>
  </si>
  <si>
    <t>박성용,임기근(HIO),유상신</t>
    <phoneticPr fontId="2" type="noConversion"/>
  </si>
  <si>
    <t>6주</t>
    <phoneticPr fontId="2" type="noConversion"/>
  </si>
  <si>
    <t>데비트 하부 RUBBER 교체 및 수정</t>
    <phoneticPr fontId="2" type="noConversion"/>
  </si>
  <si>
    <t>해수쿨러 누유 점검 및 작업</t>
    <phoneticPr fontId="2" type="noConversion"/>
  </si>
  <si>
    <t>PANEL 박리 문제 관련 회의</t>
    <phoneticPr fontId="2" type="noConversion"/>
  </si>
  <si>
    <t>SHI-SN2688-EGC 자체 TEST
HHI-P179-RB FAT(재검사)
HOC-7062-RD 시운전</t>
    <phoneticPr fontId="2" type="noConversion"/>
  </si>
  <si>
    <t>HJSC-SR24002-RFW 조립
SKMT-GNN0019-ML 포장
HID-1570-ERC 조립</t>
    <phoneticPr fontId="2" type="noConversion"/>
  </si>
  <si>
    <t>HWE-SWNP0294-FDC 설치(NO.1)
SA-594-HH-10T 포장</t>
    <phoneticPr fontId="2" type="noConversion"/>
  </si>
  <si>
    <t>HHI-P178-ML 시운전
HOC-7062-RD 자체 TEST</t>
    <phoneticPr fontId="2" type="noConversion"/>
  </si>
  <si>
    <t>SHI-SN2688-EGC FAT
 HHI-P178-ML 자체TEST</t>
    <phoneticPr fontId="2" type="noConversion"/>
  </si>
  <si>
    <t>HHI-P178-PE 포장
HWE-SWNP0294-FDC 시운전(NO.1,3)</t>
    <phoneticPr fontId="2" type="noConversion"/>
  </si>
  <si>
    <t>SHI-SN2688-EGC 포장</t>
    <phoneticPr fontId="2" type="noConversion"/>
  </si>
  <si>
    <t>2/9~2/13</t>
    <phoneticPr fontId="2" type="noConversion"/>
  </si>
  <si>
    <t>2/9~2/10</t>
    <phoneticPr fontId="2" type="noConversion"/>
  </si>
  <si>
    <t>2/11~2/13</t>
    <phoneticPr fontId="2" type="noConversion"/>
  </si>
  <si>
    <t>5주 추가</t>
    <phoneticPr fontId="2" type="noConversion"/>
  </si>
  <si>
    <t>6주</t>
    <phoneticPr fontId="2" type="noConversion"/>
  </si>
  <si>
    <t>GNN0019</t>
    <phoneticPr fontId="2" type="noConversion"/>
  </si>
  <si>
    <t>ML</t>
    <phoneticPr fontId="2" type="noConversion"/>
  </si>
  <si>
    <t>포장</t>
    <phoneticPr fontId="2" type="noConversion"/>
  </si>
  <si>
    <t>SWN0294</t>
    <phoneticPr fontId="2" type="noConversion"/>
  </si>
  <si>
    <t>FDC</t>
    <phoneticPr fontId="2" type="noConversion"/>
  </si>
  <si>
    <t>설치 / 시운전</t>
    <phoneticPr fontId="2" type="noConversion"/>
  </si>
  <si>
    <t>범양-최기추(5)</t>
    <phoneticPr fontId="2" type="noConversion"/>
  </si>
  <si>
    <t>RD</t>
    <phoneticPr fontId="2" type="noConversion"/>
  </si>
  <si>
    <t>ERC</t>
    <phoneticPr fontId="2" type="noConversion"/>
  </si>
  <si>
    <t>시운전 / 자체TEST</t>
    <phoneticPr fontId="2" type="noConversion"/>
  </si>
  <si>
    <t>조립</t>
    <phoneticPr fontId="2" type="noConversion"/>
  </si>
  <si>
    <t>보증수리사항</t>
    <phoneticPr fontId="2" type="noConversion"/>
  </si>
  <si>
    <t>코멘트 사항</t>
    <phoneticPr fontId="2" type="noConversion"/>
  </si>
  <si>
    <t>계약사항</t>
    <phoneticPr fontId="2" type="noConversion"/>
  </si>
  <si>
    <t>박주성</t>
    <phoneticPr fontId="2" type="noConversion"/>
  </si>
  <si>
    <t>진해해군</t>
    <phoneticPr fontId="2" type="noConversion"/>
  </si>
  <si>
    <t>S186/S187</t>
    <phoneticPr fontId="2" type="noConversion"/>
  </si>
  <si>
    <t>BSR</t>
    <phoneticPr fontId="2" type="noConversion"/>
  </si>
  <si>
    <t>함수 램프 우현 페드스탈 풀리 디스크 파손되어 교체 수리 요함 / 함수, 미 램프 완충 패드 파손 및 균열</t>
    <phoneticPr fontId="2" type="noConversion"/>
  </si>
  <si>
    <t>범양(1),진진(1)</t>
    <phoneticPr fontId="2" type="noConversion"/>
  </si>
  <si>
    <t>이세진중사 010-4139-8076
출입신청완료 / Report 전달하기</t>
    <phoneticPr fontId="2" type="noConversion"/>
  </si>
  <si>
    <t>7주</t>
    <phoneticPr fontId="2" type="noConversion"/>
  </si>
  <si>
    <t>PE</t>
    <phoneticPr fontId="2" type="noConversion"/>
  </si>
  <si>
    <t>진동 점검</t>
    <phoneticPr fontId="2" type="noConversion"/>
  </si>
  <si>
    <t>6주 긴급지원</t>
    <phoneticPr fontId="2" type="noConversion"/>
  </si>
  <si>
    <t>진진(2)</t>
    <phoneticPr fontId="2" type="noConversion"/>
  </si>
  <si>
    <t>출입시간은 별도로 상관 없다고 함/출입 인원 확인할것.</t>
    <phoneticPr fontId="2" type="noConversion"/>
  </si>
  <si>
    <t>P167/168</t>
  </si>
  <si>
    <t>HHD/RCS</t>
  </si>
  <si>
    <t>판넬 교체 작업 / 도장 깨짐부 사상 및 하도 도장</t>
  </si>
  <si>
    <t>진진(3),우신(2)
,CNM(1)</t>
  </si>
  <si>
    <t>현대 출입신청 할 것
이재양 책임 010-8906-0921
서명 꼭 받아야함 : 종결처리 해야함</t>
  </si>
  <si>
    <t>PANEL 박리 문제 관련 회의
/ 13:30</t>
  </si>
  <si>
    <t>문덕민,임상섭</t>
  </si>
  <si>
    <t>CNM(2)</t>
  </si>
  <si>
    <t>이경준책임님 010-8993-3736
출입신청 완료</t>
  </si>
  <si>
    <t>KN</t>
  </si>
  <si>
    <t>KT/RB</t>
  </si>
  <si>
    <t xml:space="preserve"> 준공시운전 
/ 8시30분</t>
  </si>
  <si>
    <t>DST(1)</t>
  </si>
  <si>
    <t>반차 : 박해식</t>
  </si>
  <si>
    <t>김도현 사원 
010-8687-7803
Report 전달 / 출입신청 완료</t>
  </si>
  <si>
    <t>도장부 점검 및 작업</t>
  </si>
  <si>
    <t>판넬 교체 작업</t>
  </si>
  <si>
    <t>ROVL</t>
  </si>
  <si>
    <t>해수쿨러 누유 점검 및 작업
해군의 집 : 08:30</t>
  </si>
  <si>
    <t>이범수 상사 010-4999-9910
출입신청완료
REPORT 전달,서명 꼭 필요함</t>
  </si>
  <si>
    <t>김동명,박성용</t>
  </si>
  <si>
    <t>판넬 교체 작업 / 상도 및 COMMENT 처리</t>
  </si>
  <si>
    <t>S186/S187</t>
  </si>
  <si>
    <t>함수 램프 우현 페드스탈 풀리 디스크 파손되어 교체 수리 요함 / 함수, 미 램프 완충 패드 파손 및 균열</t>
  </si>
  <si>
    <t>0160</t>
  </si>
  <si>
    <t>김선호 책임 010-3547-0898
무장장 중사 곽충심 010-9795-1199
출입신청 완료 / 자재챙겨가기</t>
  </si>
  <si>
    <t>김유신</t>
  </si>
  <si>
    <t>설날</t>
    <phoneticPr fontId="2" type="noConversion"/>
  </si>
  <si>
    <t>OAC</t>
    <phoneticPr fontId="2" type="noConversion"/>
  </si>
  <si>
    <t>이상기</t>
    <phoneticPr fontId="2" type="noConversion"/>
  </si>
  <si>
    <t>CNM(1),우신(2)</t>
    <phoneticPr fontId="2" type="noConversion"/>
  </si>
  <si>
    <t>무상</t>
    <phoneticPr fontId="2" type="noConversion"/>
  </si>
  <si>
    <t>A/S</t>
    <phoneticPr fontId="2" type="noConversion"/>
  </si>
  <si>
    <t>BOAT SEAT 및 CRADEL SEAT 재작업
/ 자재 챙겨 가야함(+Report)</t>
    <phoneticPr fontId="2" type="noConversion"/>
  </si>
  <si>
    <t>우신(2)</t>
    <phoneticPr fontId="2" type="noConversion"/>
  </si>
  <si>
    <t>서영우 부장 010-4559-6321(RCS)
정박 위치 확인 / 고소작업 신청완료</t>
    <phoneticPr fontId="2" type="noConversion"/>
  </si>
  <si>
    <t>7주</t>
    <phoneticPr fontId="2" type="noConversion"/>
  </si>
  <si>
    <t>설날</t>
    <phoneticPr fontId="2" type="noConversion"/>
  </si>
  <si>
    <t>A/S</t>
    <phoneticPr fontId="2" type="noConversion"/>
  </si>
  <si>
    <t>암스테르담</t>
    <phoneticPr fontId="2" type="noConversion"/>
  </si>
  <si>
    <t>트랜스포머 화재 조사
2/19~2/25</t>
    <phoneticPr fontId="2" type="noConversion"/>
  </si>
  <si>
    <t>김용훈</t>
    <phoneticPr fontId="2" type="noConversion"/>
  </si>
  <si>
    <t>유봉현,박성용,유상신
이광형,송영국</t>
    <phoneticPr fontId="2" type="noConversion"/>
  </si>
  <si>
    <t>반차 : 이화연</t>
    <phoneticPr fontId="2" type="noConversion"/>
  </si>
  <si>
    <t>P179 RB TOWING BOOM PAINT 챙기기</t>
    <phoneticPr fontId="2" type="noConversion"/>
  </si>
  <si>
    <t>A/S</t>
    <phoneticPr fontId="2" type="noConversion"/>
  </si>
  <si>
    <t>GNN0017</t>
    <phoneticPr fontId="2" type="noConversion"/>
  </si>
  <si>
    <t>HHD</t>
    <phoneticPr fontId="2" type="noConversion"/>
  </si>
  <si>
    <t>점검 및 코멘트 작업</t>
    <phoneticPr fontId="2" type="noConversion"/>
  </si>
  <si>
    <t>CNM(1),우신(2)</t>
    <phoneticPr fontId="2" type="noConversion"/>
  </si>
  <si>
    <t>장현환 책임님 010-7103-9818(HHD)
정박 위치 확인 / 고소작업 신청완료?</t>
    <phoneticPr fontId="2" type="noConversion"/>
  </si>
  <si>
    <t>P179 TOWING BOOM 크레인 사용 요청(이재양 책임님)</t>
    <phoneticPr fontId="2" type="noConversion"/>
  </si>
  <si>
    <t>A/S</t>
    <phoneticPr fontId="2" type="noConversion"/>
  </si>
  <si>
    <t>인도전</t>
    <phoneticPr fontId="2" type="noConversion"/>
  </si>
  <si>
    <t>RB</t>
    <phoneticPr fontId="2" type="noConversion"/>
  </si>
  <si>
    <t>박성용</t>
    <phoneticPr fontId="2" type="noConversion"/>
  </si>
  <si>
    <t>우신(2)</t>
    <phoneticPr fontId="2" type="noConversion"/>
  </si>
  <si>
    <t>8585</t>
    <phoneticPr fontId="2" type="noConversion"/>
  </si>
  <si>
    <t>배호열 책임님
010-7197-8354
자재 입고 완료</t>
    <phoneticPr fontId="2" type="noConversion"/>
  </si>
  <si>
    <t>2/20일 오태호 반장님 진성마린에 용접 배치 예정(0160 차량 배차 할것) : 시간은 오승만 차장님께서 알려 주신다고 함</t>
    <phoneticPr fontId="2" type="noConversion"/>
  </si>
  <si>
    <t>인도전</t>
    <phoneticPr fontId="2" type="noConversion"/>
  </si>
  <si>
    <t>SKMT</t>
    <phoneticPr fontId="2" type="noConversion"/>
  </si>
  <si>
    <t>GNN0018</t>
    <phoneticPr fontId="2" type="noConversion"/>
  </si>
  <si>
    <t>RCS</t>
    <phoneticPr fontId="2" type="noConversion"/>
  </si>
  <si>
    <t>스크린 체인 장력조절(텐션) 작업</t>
    <phoneticPr fontId="2" type="noConversion"/>
  </si>
  <si>
    <t>주</t>
    <phoneticPr fontId="2" type="noConversion"/>
  </si>
  <si>
    <t>담당자</t>
    <phoneticPr fontId="2" type="noConversion"/>
  </si>
  <si>
    <t>차량</t>
    <phoneticPr fontId="2" type="noConversion"/>
  </si>
  <si>
    <t>차량</t>
    <phoneticPr fontId="2" type="noConversion"/>
  </si>
  <si>
    <t>출장인원</t>
    <phoneticPr fontId="2" type="noConversion"/>
  </si>
  <si>
    <t>출장인원</t>
    <phoneticPr fontId="2" type="noConversion"/>
  </si>
  <si>
    <t>직영연차</t>
    <phoneticPr fontId="2" type="noConversion"/>
  </si>
  <si>
    <t>직영연차</t>
    <phoneticPr fontId="2" type="noConversion"/>
  </si>
  <si>
    <t>비고</t>
    <phoneticPr fontId="2" type="noConversion"/>
  </si>
  <si>
    <t>8주</t>
    <phoneticPr fontId="2" type="noConversion"/>
  </si>
  <si>
    <t>인도전</t>
    <phoneticPr fontId="2" type="noConversion"/>
  </si>
  <si>
    <t>SKMT</t>
    <phoneticPr fontId="2" type="noConversion"/>
  </si>
  <si>
    <t>GNN0017</t>
    <phoneticPr fontId="2" type="noConversion"/>
  </si>
  <si>
    <t>설계</t>
    <phoneticPr fontId="2" type="noConversion"/>
  </si>
  <si>
    <t>김유신</t>
    <phoneticPr fontId="2" type="noConversion"/>
  </si>
  <si>
    <t>정명훈 010-4082-0210</t>
    <phoneticPr fontId="2" type="noConversion"/>
  </si>
  <si>
    <t>무궁화 29호 일정 조율 할 것 (3월 1~2주요청)</t>
    <phoneticPr fontId="2" type="noConversion"/>
  </si>
  <si>
    <t>A/S</t>
    <phoneticPr fontId="2" type="noConversion"/>
  </si>
  <si>
    <t>SKMT</t>
    <phoneticPr fontId="2" type="noConversion"/>
  </si>
  <si>
    <t>GNN0018</t>
    <phoneticPr fontId="2" type="noConversion"/>
  </si>
  <si>
    <r>
      <t xml:space="preserve">(함미/함수) 구리스 니플 라인 설치
</t>
    </r>
    <r>
      <rPr>
        <b/>
        <sz val="10"/>
        <color theme="1"/>
        <rFont val="맑은 고딕"/>
        <family val="3"/>
        <charset val="129"/>
        <scheme val="minor"/>
      </rPr>
      <t>9시 도착</t>
    </r>
    <phoneticPr fontId="2" type="noConversion"/>
  </si>
  <si>
    <t>CNM(1),우신(1)/천상욱 반장님</t>
    <phoneticPr fontId="2" type="noConversion"/>
  </si>
  <si>
    <t>서영우 부장 010-4559-6321</t>
    <phoneticPr fontId="2" type="noConversion"/>
  </si>
  <si>
    <t>고소작업 신청완료(화기작업 신청 불가)</t>
    <phoneticPr fontId="2" type="noConversion"/>
  </si>
  <si>
    <t>A/S</t>
    <phoneticPr fontId="2" type="noConversion"/>
  </si>
  <si>
    <t>HHI</t>
    <phoneticPr fontId="2" type="noConversion"/>
  </si>
  <si>
    <t>RB</t>
    <phoneticPr fontId="2" type="noConversion"/>
  </si>
  <si>
    <r>
      <t>TOWING BOOM 설치/
LUFFING HANDLE 거치를 위한 BOLT 설치
(볼트,페인트,용접기 챙기기) /</t>
    </r>
    <r>
      <rPr>
        <b/>
        <sz val="9"/>
        <color theme="1"/>
        <rFont val="맑은 고딕"/>
        <family val="3"/>
        <charset val="129"/>
        <scheme val="minor"/>
      </rPr>
      <t xml:space="preserve"> 9시 도착</t>
    </r>
    <phoneticPr fontId="2" type="noConversion"/>
  </si>
  <si>
    <t>진진(1)
/용접가능하신지</t>
    <phoneticPr fontId="2" type="noConversion"/>
  </si>
  <si>
    <r>
      <t xml:space="preserve">이재양 책임 010-8906-0921
</t>
    </r>
    <r>
      <rPr>
        <b/>
        <sz val="9"/>
        <color rgb="FFFF0000"/>
        <rFont val="맑은 고딕"/>
        <family val="3"/>
        <charset val="129"/>
        <scheme val="minor"/>
      </rPr>
      <t>출입,화기작업신청,크레인사용신청 완료</t>
    </r>
    <phoneticPr fontId="2" type="noConversion"/>
  </si>
  <si>
    <t>납품도 2/23일 진행</t>
    <phoneticPr fontId="2" type="noConversion"/>
  </si>
  <si>
    <t>A/S</t>
    <phoneticPr fontId="2" type="noConversion"/>
  </si>
  <si>
    <t>SKMT</t>
    <phoneticPr fontId="2" type="noConversion"/>
  </si>
  <si>
    <t>RCS</t>
    <phoneticPr fontId="2" type="noConversion"/>
  </si>
  <si>
    <t>승조원 교육</t>
    <phoneticPr fontId="2" type="noConversion"/>
  </si>
  <si>
    <t>무상</t>
    <phoneticPr fontId="2" type="noConversion"/>
  </si>
  <si>
    <t>박성용,김유신</t>
    <phoneticPr fontId="2" type="noConversion"/>
  </si>
  <si>
    <t>GNN0018</t>
    <phoneticPr fontId="2" type="noConversion"/>
  </si>
  <si>
    <t>공식검사
(9시 30분)</t>
    <phoneticPr fontId="2" type="noConversion"/>
  </si>
  <si>
    <t>CNM(1)</t>
    <phoneticPr fontId="2" type="noConversion"/>
  </si>
  <si>
    <t>무상</t>
    <phoneticPr fontId="2" type="noConversion"/>
  </si>
  <si>
    <r>
      <t>장현환 책임님 010-7103-9818
참석인원 메일로 전달하기
장소 확인.</t>
    </r>
    <r>
      <rPr>
        <b/>
        <sz val="9"/>
        <color rgb="FF0000FF"/>
        <rFont val="맑은 고딕"/>
        <family val="3"/>
        <charset val="129"/>
        <scheme val="minor"/>
      </rPr>
      <t>REPORT 전달 하기</t>
    </r>
    <phoneticPr fontId="2" type="noConversion"/>
  </si>
  <si>
    <t>인도후</t>
    <phoneticPr fontId="2" type="noConversion"/>
  </si>
  <si>
    <t>부산항
5부두</t>
    <phoneticPr fontId="2" type="noConversion"/>
  </si>
  <si>
    <t>SWN0282/
SWN0284</t>
    <phoneticPr fontId="2" type="noConversion"/>
  </si>
  <si>
    <t>RB
무궁화41호/43호</t>
    <phoneticPr fontId="2" type="noConversion"/>
  </si>
  <si>
    <t>데비트 하부 RUBBER 교체 및 수정
(PE,RUBBER,12T팩킹,BOLT,Report-자재창고 챙기기)</t>
    <phoneticPr fontId="2" type="noConversion"/>
  </si>
  <si>
    <t>우신(2)</t>
    <phoneticPr fontId="2" type="noConversion"/>
  </si>
  <si>
    <t>010-9858-5143(0284) 정박확인완료
010-9037-7311(0282) 정박확인완료</t>
    <phoneticPr fontId="2" type="noConversion"/>
  </si>
  <si>
    <t>자재 /레포트 챙겨 드리기</t>
    <phoneticPr fontId="2" type="noConversion"/>
  </si>
  <si>
    <t>A/S</t>
    <phoneticPr fontId="2" type="noConversion"/>
  </si>
  <si>
    <t>인도전</t>
    <phoneticPr fontId="2" type="noConversion"/>
  </si>
  <si>
    <t>RB</t>
    <phoneticPr fontId="2" type="noConversion"/>
  </si>
  <si>
    <t>승조원 교육 / 성장지원관 401호</t>
    <phoneticPr fontId="2" type="noConversion"/>
  </si>
  <si>
    <t>설계</t>
    <phoneticPr fontId="2" type="noConversion"/>
  </si>
  <si>
    <t>김유신</t>
    <phoneticPr fontId="2" type="noConversion"/>
  </si>
  <si>
    <t>정명훈 010-4082-0210</t>
    <phoneticPr fontId="2" type="noConversion"/>
  </si>
  <si>
    <t>설계 참석하여 자료 안받아도 되는지 확인하기</t>
    <phoneticPr fontId="2" type="noConversion"/>
  </si>
  <si>
    <t>박성용</t>
    <phoneticPr fontId="2" type="noConversion"/>
  </si>
  <si>
    <t>PE</t>
    <phoneticPr fontId="2" type="noConversion"/>
  </si>
  <si>
    <t xml:space="preserve">인입식 해상수급장치 빌지센서 작업 / 
LEVEL SENSOR SEAT 설치 </t>
    <phoneticPr fontId="2" type="noConversion"/>
  </si>
  <si>
    <t>이재양책임님
일정 다시 잡기 / 2월 장기정박시 작업
밀폐,화기,크레인사용외에 추가할게 있는지 확인</t>
    <phoneticPr fontId="2" type="noConversion"/>
  </si>
  <si>
    <t>주</t>
    <phoneticPr fontId="2" type="noConversion"/>
  </si>
  <si>
    <t>유/무상</t>
    <phoneticPr fontId="2" type="noConversion"/>
  </si>
  <si>
    <t>차량</t>
    <phoneticPr fontId="2" type="noConversion"/>
  </si>
  <si>
    <t>직영연차</t>
    <phoneticPr fontId="2" type="noConversion"/>
  </si>
  <si>
    <t>비고</t>
    <phoneticPr fontId="2" type="noConversion"/>
  </si>
  <si>
    <t>9주</t>
    <phoneticPr fontId="2" type="noConversion"/>
  </si>
  <si>
    <t>삼일절 / 대체휴무</t>
    <phoneticPr fontId="2" type="noConversion"/>
  </si>
  <si>
    <r>
      <t>＊GNN0017/HHD:</t>
    </r>
    <r>
      <rPr>
        <b/>
        <sz val="9"/>
        <rFont val="맑은 고딕"/>
        <family val="3"/>
        <charset val="129"/>
        <scheme val="minor"/>
      </rPr>
      <t xml:space="preserve">3.28일 </t>
    </r>
    <r>
      <rPr>
        <sz val="9"/>
        <rFont val="맑은 고딕"/>
        <family val="3"/>
        <charset val="129"/>
        <scheme val="minor"/>
      </rPr>
      <t>까지 교체(5번함 사용)/교체 후 자체및검사진행
＊GNN0018/HHD:</t>
    </r>
    <r>
      <rPr>
        <b/>
        <sz val="9"/>
        <rFont val="맑은 고딕"/>
        <family val="3"/>
        <charset val="129"/>
        <scheme val="minor"/>
      </rPr>
      <t>4월 중순</t>
    </r>
    <r>
      <rPr>
        <sz val="9"/>
        <rFont val="맑은 고딕"/>
        <family val="3"/>
        <charset val="129"/>
        <scheme val="minor"/>
      </rPr>
      <t>까지 교체(4번함 사용)
＊GNN0019/HHD:</t>
    </r>
    <r>
      <rPr>
        <b/>
        <sz val="9"/>
        <rFont val="맑은 고딕"/>
        <family val="3"/>
        <charset val="129"/>
        <scheme val="minor"/>
      </rPr>
      <t>5월 중순</t>
    </r>
    <r>
      <rPr>
        <sz val="9"/>
        <rFont val="맑은 고딕"/>
        <family val="3"/>
        <charset val="129"/>
        <scheme val="minor"/>
      </rPr>
      <t>까지 교체(2번함 사용)</t>
    </r>
    <phoneticPr fontId="2" type="noConversion"/>
  </si>
  <si>
    <t>인도후</t>
    <phoneticPr fontId="2" type="noConversion"/>
  </si>
  <si>
    <t>목포</t>
    <phoneticPr fontId="2" type="noConversion"/>
  </si>
  <si>
    <t xml:space="preserve"> TELE LUG CYLINDER 교체
(자재/공구 확인)</t>
    <phoneticPr fontId="2" type="noConversion"/>
  </si>
  <si>
    <t>박성용</t>
    <phoneticPr fontId="2" type="noConversion"/>
  </si>
  <si>
    <t>?(2)</t>
    <phoneticPr fontId="2" type="noConversion"/>
  </si>
  <si>
    <t>유상</t>
    <phoneticPr fontId="2" type="noConversion"/>
  </si>
  <si>
    <t>박성용(사무실)</t>
    <phoneticPr fontId="2" type="noConversion"/>
  </si>
  <si>
    <t>박성용(사무실)</t>
    <phoneticPr fontId="2" type="noConversion"/>
  </si>
  <si>
    <t>자재 입고 확인 / 일정 조율 할것
서재필 주무관 010-9958-9945
출입신청?,REPORT전달,필요자재및공구확인</t>
    <phoneticPr fontId="2" type="noConversion"/>
  </si>
  <si>
    <t>일정 조율 필요함</t>
    <phoneticPr fontId="2" type="noConversion"/>
  </si>
  <si>
    <t>목포</t>
    <phoneticPr fontId="2" type="noConversion"/>
  </si>
  <si>
    <t>SWN0283
(무궁화42호)</t>
    <phoneticPr fontId="2" type="noConversion"/>
  </si>
  <si>
    <t>RB</t>
    <phoneticPr fontId="2" type="noConversion"/>
  </si>
  <si>
    <t>와이어꼬임 / 안착 RUBBER 교체 , DAVIT 하부 RUBBER 갈라짐 점검</t>
    <phoneticPr fontId="2" type="noConversion"/>
  </si>
  <si>
    <t>우신(2)</t>
    <phoneticPr fontId="2" type="noConversion"/>
  </si>
  <si>
    <t>박성용(사무실)</t>
    <phoneticPr fontId="2" type="noConversion"/>
  </si>
  <si>
    <t>010-9664-9042
자재 확인하기 / 가야 010-2703-2662</t>
    <phoneticPr fontId="2" type="noConversion"/>
  </si>
  <si>
    <t>자재입고확인중..</t>
    <phoneticPr fontId="2" type="noConversion"/>
  </si>
  <si>
    <t>출장인원</t>
    <phoneticPr fontId="2" type="noConversion"/>
  </si>
  <si>
    <t>직영연차</t>
    <phoneticPr fontId="2" type="noConversion"/>
  </si>
  <si>
    <t>비고</t>
    <phoneticPr fontId="2" type="noConversion"/>
  </si>
  <si>
    <t>10주</t>
    <phoneticPr fontId="2" type="noConversion"/>
  </si>
  <si>
    <t>박성용(사무실)</t>
    <phoneticPr fontId="2" type="noConversion"/>
  </si>
  <si>
    <t>HHI</t>
    <phoneticPr fontId="2" type="noConversion"/>
  </si>
  <si>
    <t>P178</t>
    <phoneticPr fontId="2" type="noConversion"/>
  </si>
  <si>
    <t>ML</t>
    <phoneticPr fontId="2" type="noConversion"/>
  </si>
  <si>
    <t>설치</t>
    <phoneticPr fontId="2" type="noConversion"/>
  </si>
  <si>
    <t>우신(2)</t>
    <phoneticPr fontId="2" type="noConversion"/>
  </si>
  <si>
    <t>이재양 책임 010-8906-0921
일정 확인하기
출입신청하기 / Report 전달 / 출입자료전달</t>
    <phoneticPr fontId="2" type="noConversion"/>
  </si>
  <si>
    <t>인도후</t>
    <phoneticPr fontId="2" type="noConversion"/>
  </si>
  <si>
    <t>해양경찰부산정비창</t>
    <phoneticPr fontId="2" type="noConversion"/>
  </si>
  <si>
    <t>크레인 윈치 교육
(장소,시간,교제?)</t>
    <phoneticPr fontId="2" type="noConversion"/>
  </si>
  <si>
    <t>박성용,이시맥</t>
    <phoneticPr fontId="2" type="noConversion"/>
  </si>
  <si>
    <t>유상</t>
    <phoneticPr fontId="2" type="noConversion"/>
  </si>
  <si>
    <t xml:space="preserve">남광우 주무관
출입신청?확인 일정 검토중..도지성 과장님 </t>
    <phoneticPr fontId="2" type="noConversion"/>
  </si>
  <si>
    <t>메일 회신 준다고 함 . 일정 확인하기</t>
    <phoneticPr fontId="2" type="noConversion"/>
  </si>
  <si>
    <t>담당자</t>
    <phoneticPr fontId="2" type="noConversion"/>
  </si>
  <si>
    <t>유/무상</t>
    <phoneticPr fontId="2" type="noConversion"/>
  </si>
  <si>
    <t>출장인원</t>
    <phoneticPr fontId="2" type="noConversion"/>
  </si>
  <si>
    <t>직영연차</t>
    <phoneticPr fontId="2" type="noConversion"/>
  </si>
  <si>
    <t>11주</t>
    <phoneticPr fontId="2" type="noConversion"/>
  </si>
  <si>
    <t>주</t>
    <phoneticPr fontId="2" type="noConversion"/>
  </si>
  <si>
    <t>12주</t>
    <phoneticPr fontId="2" type="noConversion"/>
  </si>
  <si>
    <t>13주</t>
    <phoneticPr fontId="2" type="noConversion"/>
  </si>
  <si>
    <t>HJSC
조선소 # 3</t>
    <phoneticPr fontId="2" type="noConversion"/>
  </si>
  <si>
    <t>S201 / 
S202</t>
    <phoneticPr fontId="2" type="noConversion"/>
  </si>
  <si>
    <t>WD</t>
    <phoneticPr fontId="2" type="noConversion"/>
  </si>
  <si>
    <t>3,4번함 군수지원교육
(시간,별도교제?필요한지 확인)</t>
    <phoneticPr fontId="2" type="noConversion"/>
  </si>
  <si>
    <t>박성용,설계?</t>
    <phoneticPr fontId="2" type="noConversion"/>
  </si>
  <si>
    <t>우나윤 연구원님
출입신청? 확인하기</t>
    <phoneticPr fontId="2" type="noConversion"/>
  </si>
  <si>
    <t>박성용(사무실)</t>
    <phoneticPr fontId="2" type="noConversion"/>
  </si>
  <si>
    <t>담당자</t>
    <phoneticPr fontId="2" type="noConversion"/>
  </si>
  <si>
    <t>유/무상</t>
    <phoneticPr fontId="2" type="noConversion"/>
  </si>
  <si>
    <t>14주</t>
    <phoneticPr fontId="2" type="noConversion"/>
  </si>
  <si>
    <t>담당자</t>
    <phoneticPr fontId="2" type="noConversion"/>
  </si>
  <si>
    <t>15주</t>
    <phoneticPr fontId="2" type="noConversion"/>
  </si>
  <si>
    <t>16주</t>
    <phoneticPr fontId="2" type="noConversion"/>
  </si>
  <si>
    <t>담당자</t>
    <phoneticPr fontId="2" type="noConversion"/>
  </si>
  <si>
    <t>출장인원</t>
    <phoneticPr fontId="2" type="noConversion"/>
  </si>
  <si>
    <t>17주</t>
    <phoneticPr fontId="2" type="noConversion"/>
  </si>
  <si>
    <t>18주</t>
    <phoneticPr fontId="2" type="noConversion"/>
  </si>
  <si>
    <t>어린이날</t>
    <phoneticPr fontId="2" type="noConversion"/>
  </si>
  <si>
    <t>출장인원</t>
    <phoneticPr fontId="2" type="noConversion"/>
  </si>
  <si>
    <t>19주</t>
    <phoneticPr fontId="2" type="noConversion"/>
  </si>
  <si>
    <t>HJSC
조선소 # 3</t>
    <phoneticPr fontId="2" type="noConversion"/>
  </si>
  <si>
    <t>S199/
S200</t>
    <phoneticPr fontId="2" type="noConversion"/>
  </si>
  <si>
    <t>1,2번함 군수지원교육
(시간,별도교제?필요한지 확인)</t>
    <phoneticPr fontId="2" type="noConversion"/>
  </si>
  <si>
    <t>20주</t>
    <phoneticPr fontId="2" type="noConversion"/>
  </si>
  <si>
    <t>21주</t>
    <phoneticPr fontId="2" type="noConversion"/>
  </si>
  <si>
    <t>부처님오신날 / 대체휴일</t>
    <phoneticPr fontId="2" type="noConversion"/>
  </si>
  <si>
    <t>22주</t>
    <phoneticPr fontId="2" type="noConversion"/>
  </si>
  <si>
    <t>전국동시지방선거</t>
    <phoneticPr fontId="2" type="noConversion"/>
  </si>
  <si>
    <t>주</t>
    <phoneticPr fontId="2" type="noConversion"/>
  </si>
  <si>
    <t>23주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</si>
</sst>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m&quot;/&quot;d;@"/>
    <numFmt numFmtId="177" formatCode="m\/d\(aaa\)"/>
    <numFmt numFmtId="178" formatCode="mm&quot;월&quot;\ dd&quot;일&quot;"/>
  </numFmts>
  <fonts count="1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FFFFFF"/>
      <name val="돋움"/>
      <family val="3"/>
      <charset val="129"/>
    </font>
    <font>
      <b/>
      <sz val="10"/>
      <color rgb="FFFFFFFF"/>
      <name val="Arial"/>
      <family val="2"/>
    </font>
    <font>
      <b/>
      <sz val="22"/>
      <color theme="0" tint="-0.1499984740745262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color theme="8"/>
      <name val="Arial"/>
      <family val="2"/>
    </font>
    <font>
      <sz val="10"/>
      <color theme="8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</font>
    <font>
      <sz val="10"/>
      <color rgb="FF7030A0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5" tint="0.39997558519241921"/>
      <name val="Arial"/>
      <family val="2"/>
    </font>
    <font>
      <sz val="10"/>
      <color theme="5" tint="0.3999755851924192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0070C0"/>
      <name val="Arial"/>
      <family val="2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z val="10"/>
      <color rgb="FF00B050"/>
      <name val="Arial"/>
      <family val="2"/>
    </font>
    <font>
      <sz val="10"/>
      <color rgb="FF00B050"/>
      <name val="맑은 고딕"/>
      <family val="2"/>
      <charset val="129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color rgb="FF00CCFF"/>
      <name val="맑은 고딕"/>
      <family val="3"/>
      <charset val="129"/>
    </font>
    <font>
      <sz val="10"/>
      <color rgb="FFFF0000"/>
      <name val="Arial"/>
      <family val="2"/>
    </font>
    <font>
      <sz val="14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ajor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Arial"/>
      <family val="2"/>
    </font>
    <font>
      <sz val="9"/>
      <name val="맑은 고딕"/>
      <family val="3"/>
      <charset val="129"/>
    </font>
    <font>
      <strike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8"/>
      <name val="Arial"/>
      <family val="2"/>
    </font>
    <font>
      <sz val="10"/>
      <color rgb="FF0000FF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4"/>
      <color theme="1"/>
      <name val="Arial"/>
      <family val="2"/>
    </font>
    <font>
      <sz val="14"/>
      <color theme="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3"/>
      <charset val="129"/>
    </font>
    <font>
      <sz val="10"/>
      <color rgb="FF0000FF"/>
      <name val="Arial"/>
      <family val="2"/>
    </font>
    <font>
      <sz val="11"/>
      <color rgb="FF000000"/>
      <name val="돋움"/>
      <family val="3"/>
      <charset val="129"/>
    </font>
    <font>
      <sz val="6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8"/>
      <color rgb="FF0000FF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strike/>
      <sz val="9"/>
      <color rgb="FF0000CC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Arial"/>
      <family val="2"/>
    </font>
    <font>
      <strike/>
      <sz val="9"/>
      <color rgb="FF0000FF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8"/>
      <color rgb="FFFF0000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trike/>
      <sz val="8"/>
      <color theme="1"/>
      <name val="맑은 고딕"/>
      <family val="3"/>
      <charset val="129"/>
      <scheme val="minor"/>
    </font>
    <font>
      <strike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4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77" fontId="7" fillId="3" borderId="6" xfId="0" applyNumberFormat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8" fillId="0" borderId="1" xfId="0" quotePrefix="1" applyFont="1" applyBorder="1" applyAlignment="1">
      <alignment horizontal="center" vertical="center" wrapText="1" shrinkToFit="1"/>
    </xf>
    <xf numFmtId="176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 shrinkToFi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1" fontId="8" fillId="3" borderId="1" xfId="1" applyFont="1" applyFill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1" fontId="17" fillId="0" borderId="5" xfId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1" fontId="17" fillId="3" borderId="1" xfId="1" applyFont="1" applyFill="1" applyBorder="1" applyAlignment="1">
      <alignment horizontal="right" vertical="center"/>
    </xf>
    <xf numFmtId="0" fontId="11" fillId="0" borderId="3" xfId="0" quotePrefix="1" applyFont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1" fontId="4" fillId="0" borderId="1" xfId="1" quotePrefix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17" fillId="0" borderId="5" xfId="0" quotePrefix="1" applyFont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8" xfId="0" quotePrefix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41" fontId="11" fillId="3" borderId="1" xfId="1" applyFont="1" applyFill="1" applyBorder="1" applyAlignment="1">
      <alignment horizontal="center" vertical="center"/>
    </xf>
    <xf numFmtId="41" fontId="17" fillId="3" borderId="5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1" fontId="4" fillId="0" borderId="3" xfId="1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1" fontId="17" fillId="3" borderId="3" xfId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1" fontId="4" fillId="0" borderId="6" xfId="1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1" fontId="17" fillId="3" borderId="1" xfId="1" applyFont="1" applyFill="1" applyBorder="1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1" fontId="4" fillId="0" borderId="3" xfId="1" quotePrefix="1" applyFont="1" applyFill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41" fontId="4" fillId="0" borderId="1" xfId="1" quotePrefix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41" fontId="17" fillId="3" borderId="1" xfId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41" fontId="24" fillId="4" borderId="8" xfId="1" applyFont="1" applyFill="1" applyBorder="1" applyAlignment="1">
      <alignment horizontal="center" vertical="center" wrapText="1"/>
    </xf>
    <xf numFmtId="41" fontId="24" fillId="3" borderId="1" xfId="1" applyFont="1" applyFill="1" applyBorder="1" applyAlignment="1">
      <alignment horizontal="center" vertical="center" wrapText="1"/>
    </xf>
    <xf numFmtId="41" fontId="23" fillId="4" borderId="8" xfId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78" fontId="23" fillId="4" borderId="1" xfId="0" applyNumberFormat="1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27" fillId="3" borderId="0" xfId="0" applyFont="1" applyFill="1">
      <alignment vertical="center"/>
    </xf>
    <xf numFmtId="0" fontId="40" fillId="0" borderId="1" xfId="0" applyFont="1" applyBorder="1" applyAlignment="1">
      <alignment horizontal="center" vertical="center" wrapText="1"/>
    </xf>
    <xf numFmtId="178" fontId="23" fillId="4" borderId="4" xfId="0" applyNumberFormat="1" applyFont="1" applyFill="1" applyBorder="1" applyAlignment="1">
      <alignment horizontal="center" vertical="center" wrapText="1"/>
    </xf>
    <xf numFmtId="177" fontId="7" fillId="0" borderId="13" xfId="0" applyNumberFormat="1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78" fontId="46" fillId="0" borderId="0" xfId="0" applyNumberFormat="1" applyFont="1">
      <alignment vertical="center"/>
    </xf>
    <xf numFmtId="0" fontId="47" fillId="0" borderId="0" xfId="0" applyFont="1">
      <alignment vertical="center"/>
    </xf>
    <xf numFmtId="0" fontId="48" fillId="6" borderId="0" xfId="0" applyFont="1" applyFill="1">
      <alignment vertical="center"/>
    </xf>
    <xf numFmtId="178" fontId="48" fillId="0" borderId="0" xfId="0" applyNumberFormat="1" applyFont="1">
      <alignment vertical="center"/>
    </xf>
    <xf numFmtId="0" fontId="48" fillId="0" borderId="0" xfId="0" applyFont="1" applyAlignment="1">
      <alignment horizontal="center" vertical="center"/>
    </xf>
    <xf numFmtId="41" fontId="8" fillId="0" borderId="1" xfId="1" quotePrefix="1" applyFont="1" applyBorder="1" applyAlignment="1">
      <alignment horizontal="right" vertical="center" wrapText="1" shrinkToFi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right" vertical="center" wrapText="1"/>
    </xf>
    <xf numFmtId="0" fontId="49" fillId="0" borderId="4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49" fillId="10" borderId="4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shrinkToFi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78" fontId="23" fillId="0" borderId="6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177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41" fontId="11" fillId="8" borderId="1" xfId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177" fontId="8" fillId="3" borderId="3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9" fillId="6" borderId="1" xfId="0" quotePrefix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quotePrefix="1" applyFont="1" applyFill="1" applyBorder="1" applyAlignment="1">
      <alignment horizontal="center" vertical="center" wrapText="1"/>
    </xf>
    <xf numFmtId="0" fontId="9" fillId="8" borderId="1" xfId="0" quotePrefix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 shrinkToFit="1"/>
    </xf>
    <xf numFmtId="0" fontId="11" fillId="4" borderId="7" xfId="0" applyFont="1" applyFill="1" applyBorder="1" applyAlignment="1">
      <alignment horizontal="center" vertical="center" wrapText="1"/>
    </xf>
    <xf numFmtId="177" fontId="7" fillId="6" borderId="3" xfId="0" applyNumberFormat="1" applyFont="1" applyFill="1" applyBorder="1" applyAlignment="1">
      <alignment horizontal="center" vertical="center" wrapText="1"/>
    </xf>
    <xf numFmtId="178" fontId="41" fillId="0" borderId="1" xfId="0" applyNumberFormat="1" applyFont="1" applyBorder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178" fontId="8" fillId="0" borderId="1" xfId="0" quotePrefix="1" applyNumberFormat="1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178" fontId="8" fillId="0" borderId="3" xfId="0" quotePrefix="1" applyNumberFormat="1" applyFont="1" applyBorder="1" applyAlignment="1">
      <alignment horizontal="center" vertical="center" wrapText="1" shrinkToFit="1"/>
    </xf>
    <xf numFmtId="0" fontId="9" fillId="10" borderId="8" xfId="0" applyFont="1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177" fontId="29" fillId="0" borderId="3" xfId="0" applyNumberFormat="1" applyFont="1" applyBorder="1" applyAlignment="1">
      <alignment horizontal="center" vertical="center" wrapText="1"/>
    </xf>
    <xf numFmtId="177" fontId="29" fillId="0" borderId="5" xfId="0" applyNumberFormat="1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68" fillId="0" borderId="5" xfId="0" applyFont="1" applyBorder="1" applyAlignment="1">
      <alignment horizontal="center" vertical="center" wrapText="1"/>
    </xf>
    <xf numFmtId="177" fontId="29" fillId="0" borderId="1" xfId="0" applyNumberFormat="1" applyFont="1" applyBorder="1" applyAlignment="1">
      <alignment horizontal="center" vertical="center" wrapText="1"/>
    </xf>
    <xf numFmtId="177" fontId="29" fillId="3" borderId="1" xfId="0" applyNumberFormat="1" applyFont="1" applyFill="1" applyBorder="1" applyAlignment="1">
      <alignment horizontal="center" vertical="center" wrapText="1"/>
    </xf>
    <xf numFmtId="0" fontId="67" fillId="0" borderId="3" xfId="0" applyFont="1" applyBorder="1" applyAlignment="1">
      <alignment horizontal="center" vertical="center" wrapText="1"/>
    </xf>
    <xf numFmtId="0" fontId="67" fillId="0" borderId="5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3" xfId="0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49" fontId="18" fillId="0" borderId="3" xfId="0" quotePrefix="1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/>
    </xf>
    <xf numFmtId="49" fontId="65" fillId="0" borderId="3" xfId="1" applyNumberFormat="1" applyFont="1" applyFill="1" applyBorder="1" applyAlignment="1">
      <alignment horizontal="right" vertical="center" wrapText="1"/>
    </xf>
    <xf numFmtId="178" fontId="19" fillId="0" borderId="3" xfId="0" quotePrefix="1" applyNumberFormat="1" applyFont="1" applyBorder="1" applyAlignment="1">
      <alignment horizontal="center" vertical="center" wrapText="1" shrinkToFit="1"/>
    </xf>
    <xf numFmtId="0" fontId="25" fillId="20" borderId="8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5" fillId="22" borderId="8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177" fontId="8" fillId="3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177" fontId="9" fillId="3" borderId="1" xfId="0" applyNumberFormat="1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6" fontId="70" fillId="2" borderId="1" xfId="0" applyNumberFormat="1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 shrinkToFit="1"/>
    </xf>
    <xf numFmtId="0" fontId="70" fillId="2" borderId="1" xfId="0" applyFont="1" applyFill="1" applyBorder="1" applyAlignment="1">
      <alignment horizontal="center" vertical="center" wrapText="1" shrinkToFit="1"/>
    </xf>
    <xf numFmtId="177" fontId="9" fillId="0" borderId="1" xfId="0" applyNumberFormat="1" applyFont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 shrinkToFit="1"/>
    </xf>
    <xf numFmtId="0" fontId="8" fillId="19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71" fillId="0" borderId="1" xfId="0" applyFont="1" applyBorder="1" applyAlignment="1">
      <alignment vertical="center" wrapText="1"/>
    </xf>
    <xf numFmtId="0" fontId="7" fillId="3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72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>
      <alignment vertical="center"/>
    </xf>
    <xf numFmtId="0" fontId="0" fillId="0" borderId="6" xfId="0" applyBorder="1" applyAlignment="1">
      <alignment horizontal="center" vertical="center"/>
    </xf>
    <xf numFmtId="177" fontId="32" fillId="3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76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wrapText="1" shrinkToFi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41" fontId="11" fillId="13" borderId="1" xfId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41" fontId="11" fillId="35" borderId="1" xfId="1" applyFont="1" applyFill="1" applyBorder="1" applyAlignment="1">
      <alignment horizontal="center" vertical="center" wrapText="1"/>
    </xf>
    <xf numFmtId="41" fontId="11" fillId="12" borderId="1" xfId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horizontal="center" vertical="center" wrapText="1"/>
    </xf>
    <xf numFmtId="41" fontId="11" fillId="36" borderId="1" xfId="1" applyFont="1" applyFill="1" applyBorder="1" applyAlignment="1">
      <alignment horizontal="center" vertical="center" wrapText="1"/>
    </xf>
    <xf numFmtId="177" fontId="7" fillId="36" borderId="3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/>
    </xf>
    <xf numFmtId="41" fontId="11" fillId="37" borderId="1" xfId="1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41" fontId="11" fillId="18" borderId="1" xfId="1" applyFont="1" applyFill="1" applyBorder="1" applyAlignment="1">
      <alignment horizontal="center" vertical="center" wrapText="1"/>
    </xf>
    <xf numFmtId="3" fontId="25" fillId="0" borderId="8" xfId="0" applyNumberFormat="1" applyFont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177" fontId="7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41" fontId="11" fillId="0" borderId="17" xfId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24" fillId="24" borderId="8" xfId="0" applyFont="1" applyFill="1" applyBorder="1" applyAlignment="1">
      <alignment horizontal="center" vertical="center" wrapText="1"/>
    </xf>
    <xf numFmtId="177" fontId="32" fillId="3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2" fillId="0" borderId="3" xfId="0" applyFont="1" applyBorder="1" applyAlignment="1">
      <alignment horizontal="center" vertical="center" wrapText="1" shrinkToFit="1"/>
    </xf>
    <xf numFmtId="177" fontId="18" fillId="0" borderId="1" xfId="0" applyNumberFormat="1" applyFont="1" applyBorder="1" applyAlignment="1">
      <alignment horizontal="center" vertical="center" wrapText="1"/>
    </xf>
    <xf numFmtId="41" fontId="65" fillId="0" borderId="1" xfId="1" applyFont="1" applyFill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 wrapText="1"/>
    </xf>
    <xf numFmtId="41" fontId="35" fillId="0" borderId="1" xfId="1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39" borderId="3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0" fontId="0" fillId="19" borderId="0" xfId="0" applyFill="1">
      <alignment vertical="center"/>
    </xf>
    <xf numFmtId="0" fontId="35" fillId="40" borderId="1" xfId="0" applyFont="1" applyFill="1" applyBorder="1" applyAlignment="1">
      <alignment horizontal="center" vertical="center" wrapText="1"/>
    </xf>
    <xf numFmtId="0" fontId="78" fillId="0" borderId="0" xfId="0" applyFont="1">
      <alignment vertical="center"/>
    </xf>
    <xf numFmtId="0" fontId="77" fillId="0" borderId="1" xfId="0" applyFont="1" applyBorder="1" applyAlignment="1">
      <alignment vertical="center" wrapText="1"/>
    </xf>
    <xf numFmtId="178" fontId="4" fillId="0" borderId="0" xfId="0" applyNumberFormat="1" applyFont="1">
      <alignment vertical="center"/>
    </xf>
    <xf numFmtId="0" fontId="74" fillId="0" borderId="1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80" fillId="0" borderId="0" xfId="0" applyFo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41" fontId="35" fillId="0" borderId="0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7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41" fontId="81" fillId="0" borderId="1" xfId="1" applyFont="1" applyFill="1" applyBorder="1" applyAlignment="1">
      <alignment horizontal="center" vertical="center" wrapText="1"/>
    </xf>
    <xf numFmtId="0" fontId="4" fillId="6" borderId="1" xfId="0" quotePrefix="1" applyFont="1" applyFill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66" fillId="4" borderId="1" xfId="0" applyFont="1" applyFill="1" applyBorder="1" applyAlignment="1">
      <alignment horizontal="center" vertical="center" wrapText="1"/>
    </xf>
    <xf numFmtId="41" fontId="11" fillId="0" borderId="1" xfId="1" applyFont="1" applyBorder="1" applyAlignment="1">
      <alignment vertical="center" wrapText="1"/>
    </xf>
    <xf numFmtId="41" fontId="11" fillId="0" borderId="1" xfId="1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41" fontId="8" fillId="0" borderId="1" xfId="1" applyFont="1" applyBorder="1" applyAlignment="1">
      <alignment horizontal="right" vertical="center" wrapText="1" shrinkToFit="1"/>
    </xf>
    <xf numFmtId="41" fontId="4" fillId="0" borderId="1" xfId="1" applyFont="1" applyBorder="1">
      <alignment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0" borderId="5" xfId="0" applyNumberFormat="1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/>
    </xf>
    <xf numFmtId="0" fontId="89" fillId="0" borderId="0" xfId="0" applyFont="1">
      <alignment vertical="center"/>
    </xf>
    <xf numFmtId="0" fontId="73" fillId="0" borderId="1" xfId="0" applyFont="1" applyBorder="1" applyAlignment="1">
      <alignment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0" fontId="91" fillId="0" borderId="1" xfId="0" applyFont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 shrinkToFit="1"/>
    </xf>
    <xf numFmtId="0" fontId="75" fillId="6" borderId="0" xfId="0" applyFont="1" applyFill="1">
      <alignment vertical="center"/>
    </xf>
    <xf numFmtId="0" fontId="0" fillId="6" borderId="0" xfId="0" applyFill="1">
      <alignment vertical="center"/>
    </xf>
    <xf numFmtId="0" fontId="91" fillId="6" borderId="1" xfId="0" applyFont="1" applyFill="1" applyBorder="1" applyAlignment="1">
      <alignment vertical="center" wrapText="1"/>
    </xf>
    <xf numFmtId="0" fontId="58" fillId="6" borderId="1" xfId="0" applyFont="1" applyFill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63" fillId="0" borderId="0" xfId="0" applyFont="1">
      <alignment vertical="center"/>
    </xf>
    <xf numFmtId="0" fontId="75" fillId="0" borderId="1" xfId="0" applyFont="1" applyBorder="1" applyAlignment="1">
      <alignment horizontal="center" vertical="center"/>
    </xf>
    <xf numFmtId="41" fontId="93" fillId="0" borderId="1" xfId="0" applyNumberFormat="1" applyFont="1" applyBorder="1">
      <alignment vertical="center"/>
    </xf>
    <xf numFmtId="0" fontId="15" fillId="6" borderId="1" xfId="0" applyFont="1" applyFill="1" applyBorder="1" applyAlignment="1">
      <alignment vertical="center" wrapText="1"/>
    </xf>
    <xf numFmtId="0" fontId="4" fillId="13" borderId="1" xfId="0" quotePrefix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 shrinkToFit="1"/>
    </xf>
    <xf numFmtId="0" fontId="58" fillId="6" borderId="1" xfId="0" applyFont="1" applyFill="1" applyBorder="1" applyAlignment="1">
      <alignment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94" fillId="0" borderId="1" xfId="0" applyFont="1" applyBorder="1" applyAlignment="1">
      <alignment vertical="center" wrapText="1"/>
    </xf>
    <xf numFmtId="0" fontId="96" fillId="0" borderId="1" xfId="0" applyFont="1" applyBorder="1" applyAlignment="1">
      <alignment vertical="center" wrapText="1"/>
    </xf>
    <xf numFmtId="0" fontId="89" fillId="0" borderId="0" xfId="0" applyFont="1" applyAlignment="1">
      <alignment vertical="center" wrapText="1"/>
    </xf>
    <xf numFmtId="0" fontId="75" fillId="0" borderId="0" xfId="0" applyFont="1">
      <alignment vertical="center"/>
    </xf>
    <xf numFmtId="0" fontId="26" fillId="0" borderId="1" xfId="0" applyFont="1" applyBorder="1" applyAlignment="1">
      <alignment horizontal="center" vertical="center" wrapText="1"/>
    </xf>
    <xf numFmtId="0" fontId="73" fillId="0" borderId="1" xfId="0" applyFont="1" applyBorder="1">
      <alignment vertical="center"/>
    </xf>
    <xf numFmtId="41" fontId="8" fillId="0" borderId="1" xfId="1" applyFont="1" applyFill="1" applyBorder="1" applyAlignment="1">
      <alignment horizontal="right" vertical="center" wrapText="1" shrinkToFit="1"/>
    </xf>
    <xf numFmtId="0" fontId="15" fillId="13" borderId="1" xfId="0" applyFont="1" applyFill="1" applyBorder="1" applyAlignment="1">
      <alignment horizontal="center" vertical="center" wrapText="1"/>
    </xf>
    <xf numFmtId="0" fontId="91" fillId="13" borderId="1" xfId="0" applyFont="1" applyFill="1" applyBorder="1" applyAlignment="1">
      <alignment vertical="center" wrapText="1"/>
    </xf>
    <xf numFmtId="0" fontId="75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" fillId="0" borderId="1" xfId="1" quotePrefix="1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77" fillId="0" borderId="1" xfId="0" applyFont="1" applyBorder="1" applyAlignment="1">
      <alignment horizontal="left" vertical="center" wrapText="1"/>
    </xf>
    <xf numFmtId="0" fontId="77" fillId="0" borderId="14" xfId="0" applyFont="1" applyBorder="1">
      <alignment vertical="center"/>
    </xf>
    <xf numFmtId="0" fontId="48" fillId="0" borderId="1" xfId="0" applyFont="1" applyBorder="1" applyAlignment="1">
      <alignment vertical="center" wrapText="1"/>
    </xf>
    <xf numFmtId="0" fontId="89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 shrinkToFit="1"/>
    </xf>
    <xf numFmtId="0" fontId="72" fillId="0" borderId="1" xfId="0" applyFont="1" applyBorder="1" applyAlignment="1">
      <alignment vertical="center" wrapText="1"/>
    </xf>
    <xf numFmtId="0" fontId="9" fillId="23" borderId="1" xfId="0" quotePrefix="1" applyFont="1" applyFill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0" fontId="35" fillId="0" borderId="6" xfId="0" applyFont="1" applyBorder="1" applyAlignment="1">
      <alignment horizontal="center" vertical="center" wrapText="1"/>
    </xf>
    <xf numFmtId="0" fontId="76" fillId="0" borderId="0" xfId="0" applyFont="1">
      <alignment vertical="center"/>
    </xf>
    <xf numFmtId="0" fontId="75" fillId="13" borderId="0" xfId="0" applyFont="1" applyFill="1">
      <alignment vertical="center"/>
    </xf>
    <xf numFmtId="0" fontId="58" fillId="6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vertical="center" wrapText="1"/>
    </xf>
    <xf numFmtId="0" fontId="107" fillId="0" borderId="1" xfId="0" applyFont="1" applyBorder="1" applyAlignment="1">
      <alignment vertical="center" wrapText="1"/>
    </xf>
    <xf numFmtId="0" fontId="108" fillId="0" borderId="1" xfId="0" applyFont="1" applyBorder="1" applyAlignment="1">
      <alignment vertical="center" wrapText="1"/>
    </xf>
    <xf numFmtId="0" fontId="58" fillId="13" borderId="1" xfId="0" applyFont="1" applyFill="1" applyBorder="1" applyAlignment="1">
      <alignment vertical="center" wrapText="1"/>
    </xf>
    <xf numFmtId="0" fontId="73" fillId="13" borderId="1" xfId="0" applyFont="1" applyFill="1" applyBorder="1" applyAlignment="1">
      <alignment vertical="center" wrapText="1"/>
    </xf>
    <xf numFmtId="0" fontId="109" fillId="0" borderId="1" xfId="0" applyFont="1" applyBorder="1" applyAlignment="1">
      <alignment horizontal="center" vertical="center" wrapText="1" shrinkToFit="1"/>
    </xf>
    <xf numFmtId="0" fontId="110" fillId="0" borderId="1" xfId="0" quotePrefix="1" applyFont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0" fontId="112" fillId="13" borderId="1" xfId="0" applyFont="1" applyFill="1" applyBorder="1" applyAlignment="1">
      <alignment vertical="center" wrapText="1"/>
    </xf>
    <xf numFmtId="0" fontId="48" fillId="0" borderId="1" xfId="0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58" fillId="0" borderId="1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2" fillId="6" borderId="14" xfId="0" applyFont="1" applyFill="1" applyBorder="1" applyAlignment="1">
      <alignment horizontal="left" vertical="center" wrapText="1"/>
    </xf>
    <xf numFmtId="0" fontId="89" fillId="0" borderId="14" xfId="0" applyFont="1" applyBorder="1" applyAlignment="1">
      <alignment horizontal="left" vertical="center" wrapText="1"/>
    </xf>
    <xf numFmtId="0" fontId="89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15" borderId="5" xfId="0" applyFont="1" applyFill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177" fontId="7" fillId="3" borderId="6" xfId="0" applyNumberFormat="1" applyFont="1" applyFill="1" applyBorder="1" applyAlignment="1">
      <alignment horizontal="center" vertical="center" wrapText="1"/>
    </xf>
    <xf numFmtId="41" fontId="17" fillId="3" borderId="3" xfId="1" applyFont="1" applyFill="1" applyBorder="1" applyAlignment="1">
      <alignment horizontal="center" vertical="center"/>
    </xf>
    <xf numFmtId="41" fontId="17" fillId="3" borderId="5" xfId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41" fontId="13" fillId="5" borderId="3" xfId="1" applyFont="1" applyFill="1" applyBorder="1" applyAlignment="1">
      <alignment horizontal="center" vertical="center" wrapText="1"/>
    </xf>
    <xf numFmtId="41" fontId="13" fillId="5" borderId="5" xfId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 wrapText="1"/>
    </xf>
    <xf numFmtId="0" fontId="38" fillId="3" borderId="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5" xfId="0" applyNumberFormat="1" applyFont="1" applyFill="1" applyBorder="1" applyAlignment="1">
      <alignment horizontal="center" vertical="center" wrapText="1"/>
    </xf>
    <xf numFmtId="177" fontId="11" fillId="3" borderId="6" xfId="0" applyNumberFormat="1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41" fontId="11" fillId="0" borderId="3" xfId="1" applyFont="1" applyFill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 wrapText="1"/>
    </xf>
    <xf numFmtId="41" fontId="11" fillId="0" borderId="6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7" fontId="7" fillId="3" borderId="16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60" fillId="10" borderId="3" xfId="0" applyFont="1" applyFill="1" applyBorder="1" applyAlignment="1">
      <alignment horizontal="center" vertical="center" wrapText="1"/>
    </xf>
    <xf numFmtId="0" fontId="60" fillId="10" borderId="5" xfId="0" applyFont="1" applyFill="1" applyBorder="1" applyAlignment="1">
      <alignment horizontal="center" vertical="center" wrapText="1"/>
    </xf>
    <xf numFmtId="0" fontId="60" fillId="4" borderId="3" xfId="0" applyFont="1" applyFill="1" applyBorder="1" applyAlignment="1">
      <alignment horizontal="center" vertical="center" wrapText="1"/>
    </xf>
    <xf numFmtId="0" fontId="60" fillId="4" borderId="5" xfId="0" applyFont="1" applyFill="1" applyBorder="1" applyAlignment="1">
      <alignment horizontal="center" vertical="center" wrapText="1"/>
    </xf>
    <xf numFmtId="0" fontId="60" fillId="19" borderId="3" xfId="0" applyFont="1" applyFill="1" applyBorder="1" applyAlignment="1">
      <alignment horizontal="center" vertical="center" wrapText="1"/>
    </xf>
    <xf numFmtId="0" fontId="60" fillId="19" borderId="5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54" fillId="4" borderId="3" xfId="0" applyFont="1" applyFill="1" applyBorder="1" applyAlignment="1">
      <alignment horizontal="center" vertical="center" wrapText="1"/>
    </xf>
    <xf numFmtId="0" fontId="54" fillId="4" borderId="5" xfId="0" applyFont="1" applyFill="1" applyBorder="1" applyAlignment="1">
      <alignment horizontal="center" vertical="center" wrapText="1"/>
    </xf>
    <xf numFmtId="0" fontId="63" fillId="7" borderId="3" xfId="0" applyFont="1" applyFill="1" applyBorder="1" applyAlignment="1">
      <alignment horizontal="center" vertical="center" wrapText="1"/>
    </xf>
    <xf numFmtId="0" fontId="63" fillId="7" borderId="5" xfId="0" applyFont="1" applyFill="1" applyBorder="1" applyAlignment="1">
      <alignment horizontal="center" vertical="center" wrapText="1"/>
    </xf>
    <xf numFmtId="0" fontId="25" fillId="21" borderId="3" xfId="0" applyFont="1" applyFill="1" applyBorder="1" applyAlignment="1">
      <alignment horizontal="center" vertical="center" wrapText="1"/>
    </xf>
    <xf numFmtId="0" fontId="25" fillId="21" borderId="5" xfId="0" applyFont="1" applyFill="1" applyBorder="1" applyAlignment="1">
      <alignment horizontal="center" vertical="center" wrapText="1"/>
    </xf>
    <xf numFmtId="0" fontId="25" fillId="20" borderId="3" xfId="0" applyFont="1" applyFill="1" applyBorder="1" applyAlignment="1">
      <alignment horizontal="center" vertical="center" wrapText="1"/>
    </xf>
    <xf numFmtId="0" fontId="25" fillId="20" borderId="5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23" fillId="16" borderId="5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3" fontId="25" fillId="0" borderId="3" xfId="0" applyNumberFormat="1" applyFont="1" applyBorder="1" applyAlignment="1">
      <alignment horizontal="center" vertical="center" wrapText="1"/>
    </xf>
    <xf numFmtId="3" fontId="25" fillId="0" borderId="5" xfId="0" applyNumberFormat="1" applyFont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5" fillId="16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0" fontId="85" fillId="0" borderId="6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0" fontId="86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178" fontId="17" fillId="0" borderId="5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shrinkToFit="1"/>
    </xf>
    <xf numFmtId="0" fontId="58" fillId="0" borderId="1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75" fillId="0" borderId="0" xfId="0" applyFont="1" applyFill="1">
      <alignment vertical="center"/>
    </xf>
    <xf numFmtId="0" fontId="58" fillId="1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quotePrefix="1" applyFont="1" applyFill="1" applyBorder="1" applyAlignment="1">
      <alignment horizontal="center" vertical="center" wrapText="1"/>
    </xf>
    <xf numFmtId="0" fontId="91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72" fillId="6" borderId="0" xfId="0" applyFont="1" applyFill="1" applyBorder="1" applyAlignment="1">
      <alignment horizontal="left" vertical="center" wrapText="1"/>
    </xf>
    <xf numFmtId="0" fontId="58" fillId="0" borderId="0" xfId="0" applyFont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34</xdr:row>
      <xdr:rowOff>133350</xdr:rowOff>
    </xdr:from>
    <xdr:ext cx="6315956" cy="2324424"/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9950" y="166982775"/>
          <a:ext cx="6315956" cy="2324424"/>
        </a:xfrm>
        <a:prstGeom prst="rect">
          <a:avLst/>
        </a:prstGeom>
      </xdr:spPr>
    </xdr:pic>
    <xdr:clientData/>
  </xdr:oneCellAnchor>
  <xdr:twoCellAnchor editAs="oneCell">
    <xdr:from>
      <xdr:col>15</xdr:col>
      <xdr:colOff>533400</xdr:colOff>
      <xdr:row>42</xdr:row>
      <xdr:rowOff>123825</xdr:rowOff>
    </xdr:from>
    <xdr:to>
      <xdr:col>31</xdr:col>
      <xdr:colOff>77668</xdr:colOff>
      <xdr:row>45</xdr:row>
      <xdr:rowOff>57287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54300" y="170326050"/>
          <a:ext cx="10517068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9" tint="0.39997558519241921"/>
  </sheetPr>
  <dimension ref="A1:S379"/>
  <sheetViews>
    <sheetView showGridLines="0" tabSelected="1" topLeftCell="A138" zoomScaleNormal="100" workbookViewId="0">
      <selection activeCell="H146" sqref="H146"/>
    </sheetView>
  </sheetViews>
  <sheetFormatPr defaultRowHeight="16.5" x14ac:dyDescent="0.3"/>
  <cols>
    <col min="1" max="1" width="6.75" customWidth="1"/>
    <col min="2" max="2" width="9.875" bestFit="1" customWidth="1"/>
    <col min="6" max="6" width="8.375" customWidth="1"/>
    <col min="7" max="7" width="11.25" customWidth="1"/>
    <col min="8" max="8" width="38.25" customWidth="1"/>
    <col min="9" max="10" width="12.625" customWidth="1"/>
    <col min="13" max="13" width="7.75" customWidth="1"/>
    <col min="14" max="14" width="14.25" customWidth="1"/>
    <col min="15" max="15" width="27.75" customWidth="1"/>
    <col min="16" max="16" width="10" customWidth="1"/>
    <col min="17" max="17" width="27.25" customWidth="1"/>
  </cols>
  <sheetData>
    <row r="1" spans="1:17" s="18" customFormat="1" ht="33.75" x14ac:dyDescent="0.3">
      <c r="A1" s="520" t="s">
        <v>3347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1"/>
    </row>
    <row r="2" spans="1:17" s="18" customFormat="1" ht="27" customHeight="1" x14ac:dyDescent="0.3">
      <c r="A2" s="345" t="s">
        <v>0</v>
      </c>
      <c r="B2" s="346" t="s">
        <v>1</v>
      </c>
      <c r="C2" s="345" t="s">
        <v>2</v>
      </c>
      <c r="D2" s="345" t="s">
        <v>3</v>
      </c>
      <c r="E2" s="345" t="s">
        <v>4</v>
      </c>
      <c r="F2" s="345" t="s">
        <v>5</v>
      </c>
      <c r="G2" s="345" t="s">
        <v>6</v>
      </c>
      <c r="H2" s="347" t="s">
        <v>7</v>
      </c>
      <c r="I2" s="345" t="s">
        <v>3407</v>
      </c>
      <c r="J2" s="345" t="s">
        <v>9</v>
      </c>
      <c r="K2" s="348" t="s">
        <v>10</v>
      </c>
      <c r="L2" s="349" t="s">
        <v>11</v>
      </c>
      <c r="M2" s="345" t="s">
        <v>12</v>
      </c>
      <c r="N2" s="352" t="s">
        <v>3429</v>
      </c>
      <c r="O2" s="345" t="s">
        <v>3430</v>
      </c>
    </row>
    <row r="3" spans="1:17" s="18" customFormat="1" ht="33" customHeight="1" x14ac:dyDescent="0.3">
      <c r="A3" s="517" t="s">
        <v>3431</v>
      </c>
      <c r="B3" s="439">
        <v>46020</v>
      </c>
      <c r="C3" s="4" t="s">
        <v>3432</v>
      </c>
      <c r="D3" s="4" t="s">
        <v>14</v>
      </c>
      <c r="E3" s="34" t="s">
        <v>3433</v>
      </c>
      <c r="F3" s="34" t="s">
        <v>3434</v>
      </c>
      <c r="G3" s="17" t="s">
        <v>3435</v>
      </c>
      <c r="H3" s="207" t="s">
        <v>3436</v>
      </c>
      <c r="I3" s="34" t="s">
        <v>90</v>
      </c>
      <c r="J3" s="207" t="s">
        <v>3437</v>
      </c>
      <c r="K3" s="133" t="s">
        <v>15</v>
      </c>
      <c r="L3" s="17"/>
      <c r="M3" s="8">
        <v>3</v>
      </c>
      <c r="N3" s="34" t="s">
        <v>3438</v>
      </c>
      <c r="O3" s="341" t="s">
        <v>3439</v>
      </c>
    </row>
    <row r="4" spans="1:17" s="18" customFormat="1" ht="33" customHeight="1" x14ac:dyDescent="0.3">
      <c r="A4" s="518"/>
      <c r="B4" s="445"/>
      <c r="C4" s="4" t="s">
        <v>21</v>
      </c>
      <c r="D4" s="4" t="s">
        <v>3440</v>
      </c>
      <c r="E4" s="34" t="s">
        <v>212</v>
      </c>
      <c r="F4" s="34" t="s">
        <v>3441</v>
      </c>
      <c r="G4" s="17" t="s">
        <v>3372</v>
      </c>
      <c r="H4" s="207" t="s">
        <v>3442</v>
      </c>
      <c r="I4" s="34" t="s">
        <v>1958</v>
      </c>
      <c r="J4" s="207" t="s">
        <v>2850</v>
      </c>
      <c r="K4" s="133" t="s">
        <v>15</v>
      </c>
      <c r="L4" s="17">
        <v>9080</v>
      </c>
      <c r="M4" s="8">
        <v>2</v>
      </c>
      <c r="N4" s="207"/>
      <c r="O4" s="446" t="s">
        <v>4880</v>
      </c>
    </row>
    <row r="5" spans="1:17" s="18" customFormat="1" ht="33" customHeight="1" x14ac:dyDescent="0.3">
      <c r="A5" s="518"/>
      <c r="B5" s="439">
        <v>46021</v>
      </c>
      <c r="C5" s="4" t="s">
        <v>21</v>
      </c>
      <c r="D5" s="4" t="s">
        <v>3422</v>
      </c>
      <c r="E5" s="34" t="s">
        <v>141</v>
      </c>
      <c r="F5" s="17" t="s">
        <v>3443</v>
      </c>
      <c r="G5" s="17" t="s">
        <v>3423</v>
      </c>
      <c r="H5" s="207" t="s">
        <v>3444</v>
      </c>
      <c r="I5" s="34"/>
      <c r="J5" s="207" t="s">
        <v>3445</v>
      </c>
      <c r="K5" s="133" t="s">
        <v>15</v>
      </c>
      <c r="L5" s="17"/>
      <c r="M5" s="8">
        <v>5</v>
      </c>
      <c r="N5" s="454"/>
      <c r="O5" s="446" t="s">
        <v>3446</v>
      </c>
      <c r="P5" s="443" t="s">
        <v>3447</v>
      </c>
      <c r="Q5"/>
    </row>
    <row r="6" spans="1:17" s="18" customFormat="1" ht="33" customHeight="1" x14ac:dyDescent="0.3">
      <c r="A6" s="518"/>
      <c r="B6" s="445"/>
      <c r="C6" s="4" t="s">
        <v>21</v>
      </c>
      <c r="D6" s="4" t="s">
        <v>3422</v>
      </c>
      <c r="E6" s="34" t="s">
        <v>1902</v>
      </c>
      <c r="F6" s="34" t="s">
        <v>3434</v>
      </c>
      <c r="G6" s="17" t="s">
        <v>3448</v>
      </c>
      <c r="H6" s="207" t="s">
        <v>3449</v>
      </c>
      <c r="I6" s="34" t="s">
        <v>3450</v>
      </c>
      <c r="J6" s="34" t="s">
        <v>3451</v>
      </c>
      <c r="K6" s="133" t="s">
        <v>15</v>
      </c>
      <c r="L6" s="17"/>
      <c r="M6" s="8">
        <v>2</v>
      </c>
      <c r="N6" s="34"/>
      <c r="O6" s="341" t="s">
        <v>3452</v>
      </c>
      <c r="Q6"/>
    </row>
    <row r="7" spans="1:17" s="18" customFormat="1" ht="33" customHeight="1" x14ac:dyDescent="0.3">
      <c r="A7" s="518"/>
      <c r="B7" s="445"/>
      <c r="C7" s="4" t="s">
        <v>3414</v>
      </c>
      <c r="D7" s="4" t="s">
        <v>14</v>
      </c>
      <c r="E7" s="34" t="s">
        <v>3453</v>
      </c>
      <c r="F7" s="34" t="s">
        <v>3370</v>
      </c>
      <c r="G7" s="17" t="s">
        <v>3454</v>
      </c>
      <c r="H7" s="207" t="s">
        <v>3442</v>
      </c>
      <c r="I7" s="34" t="s">
        <v>3455</v>
      </c>
      <c r="J7" s="207" t="s">
        <v>2850</v>
      </c>
      <c r="K7" s="133" t="s">
        <v>15</v>
      </c>
      <c r="L7" s="17"/>
      <c r="M7" s="8">
        <v>3</v>
      </c>
      <c r="N7" s="34"/>
      <c r="O7" s="446" t="s">
        <v>3456</v>
      </c>
      <c r="Q7"/>
    </row>
    <row r="8" spans="1:17" s="18" customFormat="1" ht="33" customHeight="1" x14ac:dyDescent="0.3">
      <c r="A8" s="518"/>
      <c r="B8" s="439">
        <v>46022</v>
      </c>
      <c r="C8" s="63" t="s">
        <v>21</v>
      </c>
      <c r="D8" s="63" t="s">
        <v>17</v>
      </c>
      <c r="E8" s="330" t="s">
        <v>78</v>
      </c>
      <c r="F8" s="330" t="s">
        <v>1654</v>
      </c>
      <c r="G8" s="211" t="s">
        <v>23</v>
      </c>
      <c r="H8" s="329" t="s">
        <v>3457</v>
      </c>
      <c r="I8" s="330" t="s">
        <v>90</v>
      </c>
      <c r="J8" s="330" t="s">
        <v>3458</v>
      </c>
      <c r="K8" s="328" t="s">
        <v>15</v>
      </c>
      <c r="L8" s="211"/>
      <c r="M8" s="196">
        <v>3</v>
      </c>
      <c r="N8" s="330"/>
      <c r="O8" s="465" t="s">
        <v>3459</v>
      </c>
      <c r="Q8" s="466"/>
    </row>
    <row r="9" spans="1:17" s="18" customFormat="1" ht="33" customHeight="1" x14ac:dyDescent="0.3">
      <c r="A9" s="518"/>
      <c r="B9" s="445"/>
      <c r="C9" s="4" t="s">
        <v>21</v>
      </c>
      <c r="D9" s="4" t="s">
        <v>3364</v>
      </c>
      <c r="E9" s="34" t="s">
        <v>1796</v>
      </c>
      <c r="F9" s="34" t="s">
        <v>2145</v>
      </c>
      <c r="G9" s="17" t="s">
        <v>4550</v>
      </c>
      <c r="H9" s="207" t="s">
        <v>4551</v>
      </c>
      <c r="I9" s="34"/>
      <c r="J9" s="207" t="s">
        <v>3460</v>
      </c>
      <c r="K9" s="133" t="s">
        <v>15</v>
      </c>
      <c r="L9" s="17"/>
      <c r="M9" s="8">
        <v>2</v>
      </c>
      <c r="N9" s="34" t="s">
        <v>173</v>
      </c>
      <c r="O9" s="446" t="s">
        <v>3461</v>
      </c>
      <c r="P9" s="467" t="s">
        <v>3462</v>
      </c>
      <c r="Q9" s="466"/>
    </row>
    <row r="10" spans="1:17" s="18" customFormat="1" ht="33" customHeight="1" x14ac:dyDescent="0.3">
      <c r="A10" s="518"/>
      <c r="B10" s="445"/>
      <c r="C10" s="4" t="s">
        <v>21</v>
      </c>
      <c r="D10" s="4" t="s">
        <v>3422</v>
      </c>
      <c r="E10" s="34" t="s">
        <v>159</v>
      </c>
      <c r="F10" s="34">
        <v>222003</v>
      </c>
      <c r="G10" s="17" t="s">
        <v>103</v>
      </c>
      <c r="H10" s="207" t="s">
        <v>3463</v>
      </c>
      <c r="I10" s="34"/>
      <c r="J10" s="207" t="s">
        <v>688</v>
      </c>
      <c r="K10" s="133" t="s">
        <v>3464</v>
      </c>
      <c r="L10" s="17"/>
      <c r="M10" s="8">
        <v>1</v>
      </c>
      <c r="N10" s="34"/>
      <c r="O10" s="444" t="s">
        <v>4850</v>
      </c>
      <c r="Q10" s="466"/>
    </row>
    <row r="11" spans="1:17" s="18" customFormat="1" ht="33" customHeight="1" x14ac:dyDescent="0.3">
      <c r="A11" s="518"/>
      <c r="B11" s="445"/>
      <c r="C11" s="4" t="s">
        <v>3414</v>
      </c>
      <c r="D11" s="4" t="s">
        <v>3465</v>
      </c>
      <c r="E11" s="34" t="s">
        <v>1902</v>
      </c>
      <c r="F11" s="34" t="s">
        <v>3466</v>
      </c>
      <c r="G11" s="17" t="s">
        <v>3405</v>
      </c>
      <c r="H11" s="207" t="s">
        <v>3467</v>
      </c>
      <c r="I11" s="34"/>
      <c r="J11" s="207" t="s">
        <v>3353</v>
      </c>
      <c r="K11" s="133" t="s">
        <v>3417</v>
      </c>
      <c r="L11" s="17"/>
      <c r="M11" s="8">
        <v>1</v>
      </c>
      <c r="N11" s="34"/>
      <c r="O11" s="444" t="s">
        <v>3600</v>
      </c>
      <c r="Q11" s="466"/>
    </row>
    <row r="12" spans="1:17" s="18" customFormat="1" ht="33" customHeight="1" x14ac:dyDescent="0.3">
      <c r="A12" s="518"/>
      <c r="B12" s="445"/>
      <c r="C12" s="4" t="s">
        <v>3432</v>
      </c>
      <c r="D12" s="4" t="s">
        <v>14</v>
      </c>
      <c r="E12" s="34" t="s">
        <v>3433</v>
      </c>
      <c r="F12" s="34" t="s">
        <v>2727</v>
      </c>
      <c r="G12" s="17" t="s">
        <v>23</v>
      </c>
      <c r="H12" s="207" t="s">
        <v>3469</v>
      </c>
      <c r="I12" s="34" t="s">
        <v>90</v>
      </c>
      <c r="J12" s="207" t="s">
        <v>688</v>
      </c>
      <c r="K12" s="133" t="s">
        <v>15</v>
      </c>
      <c r="L12" s="17"/>
      <c r="M12" s="8">
        <v>2</v>
      </c>
      <c r="N12" s="34"/>
      <c r="O12" s="444" t="s">
        <v>3468</v>
      </c>
      <c r="Q12" s="466"/>
    </row>
    <row r="13" spans="1:17" s="18" customFormat="1" ht="33" customHeight="1" x14ac:dyDescent="0.3">
      <c r="A13" s="518"/>
      <c r="B13" s="445"/>
      <c r="C13" s="4" t="s">
        <v>3414</v>
      </c>
      <c r="D13" s="4" t="s">
        <v>14</v>
      </c>
      <c r="E13" s="34" t="s">
        <v>3471</v>
      </c>
      <c r="F13" s="207">
        <v>7064</v>
      </c>
      <c r="G13" s="17" t="s">
        <v>83</v>
      </c>
      <c r="H13" s="334" t="s">
        <v>3472</v>
      </c>
      <c r="I13" s="207"/>
      <c r="J13" s="207" t="s">
        <v>3582</v>
      </c>
      <c r="K13" s="133" t="s">
        <v>15</v>
      </c>
      <c r="L13" s="17"/>
      <c r="M13" s="8">
        <v>3</v>
      </c>
      <c r="N13" s="34"/>
      <c r="O13" s="444" t="s">
        <v>3474</v>
      </c>
      <c r="Q13" s="466"/>
    </row>
    <row r="14" spans="1:17" s="18" customFormat="1" ht="33" customHeight="1" x14ac:dyDescent="0.3">
      <c r="A14" s="518"/>
      <c r="B14" s="439">
        <v>46023</v>
      </c>
      <c r="C14" s="4"/>
      <c r="D14" s="4"/>
      <c r="E14" s="34"/>
      <c r="F14" s="34"/>
      <c r="G14" s="17"/>
      <c r="H14" s="468" t="s">
        <v>3475</v>
      </c>
      <c r="I14" s="34"/>
      <c r="J14" s="207"/>
      <c r="K14" s="133"/>
      <c r="L14" s="17"/>
      <c r="M14" s="8"/>
      <c r="N14" s="34"/>
      <c r="O14" s="469"/>
    </row>
    <row r="15" spans="1:17" s="18" customFormat="1" ht="33" customHeight="1" x14ac:dyDescent="0.3">
      <c r="A15" s="518"/>
      <c r="B15" s="445"/>
      <c r="C15" s="4"/>
      <c r="D15" s="4"/>
      <c r="E15" s="34"/>
      <c r="F15" s="34"/>
      <c r="G15" s="17"/>
      <c r="H15" s="207"/>
      <c r="I15" s="34"/>
      <c r="J15" s="34"/>
      <c r="K15" s="133"/>
      <c r="L15" s="17"/>
      <c r="M15" s="8"/>
      <c r="N15" s="34"/>
      <c r="O15" s="341"/>
    </row>
    <row r="16" spans="1:17" s="18" customFormat="1" ht="32.25" customHeight="1" x14ac:dyDescent="0.3">
      <c r="A16" s="518"/>
      <c r="B16" s="439">
        <v>46024</v>
      </c>
      <c r="C16" s="4" t="s">
        <v>3476</v>
      </c>
      <c r="D16" s="4" t="s">
        <v>14</v>
      </c>
      <c r="E16" s="34" t="s">
        <v>3477</v>
      </c>
      <c r="F16" s="207">
        <v>222003</v>
      </c>
      <c r="G16" s="17" t="s">
        <v>23</v>
      </c>
      <c r="H16" s="207" t="s">
        <v>3478</v>
      </c>
      <c r="I16" s="34"/>
      <c r="J16" s="207" t="s">
        <v>41</v>
      </c>
      <c r="K16" s="133" t="s">
        <v>15</v>
      </c>
      <c r="L16" s="17"/>
      <c r="M16" s="8">
        <v>1</v>
      </c>
      <c r="N16" s="310" t="s">
        <v>3597</v>
      </c>
      <c r="O16" s="444" t="s">
        <v>3479</v>
      </c>
      <c r="Q16" s="340"/>
    </row>
    <row r="17" spans="1:19" s="18" customFormat="1" ht="32.25" customHeight="1" x14ac:dyDescent="0.3">
      <c r="A17" s="518"/>
      <c r="B17" s="445"/>
      <c r="C17" s="4" t="s">
        <v>3432</v>
      </c>
      <c r="D17" s="4" t="s">
        <v>17</v>
      </c>
      <c r="E17" s="334" t="s">
        <v>78</v>
      </c>
      <c r="F17" s="34" t="s">
        <v>3390</v>
      </c>
      <c r="G17" s="17" t="s">
        <v>3392</v>
      </c>
      <c r="H17" s="207" t="s">
        <v>3480</v>
      </c>
      <c r="I17" s="34" t="s">
        <v>2827</v>
      </c>
      <c r="J17" s="207"/>
      <c r="K17" s="133" t="s">
        <v>3417</v>
      </c>
      <c r="L17" s="17" t="s">
        <v>33</v>
      </c>
      <c r="M17" s="8">
        <v>1</v>
      </c>
      <c r="N17" s="34"/>
      <c r="O17" s="32" t="s">
        <v>3481</v>
      </c>
      <c r="Q17" s="340"/>
    </row>
    <row r="18" spans="1:19" s="18" customFormat="1" ht="32.25" customHeight="1" x14ac:dyDescent="0.3">
      <c r="A18" s="518"/>
      <c r="B18" s="445"/>
      <c r="C18" s="4" t="s">
        <v>3476</v>
      </c>
      <c r="D18" s="4" t="s">
        <v>14</v>
      </c>
      <c r="E18" s="34" t="s">
        <v>3470</v>
      </c>
      <c r="F18" s="207">
        <v>7064</v>
      </c>
      <c r="G18" s="17" t="s">
        <v>3932</v>
      </c>
      <c r="H18" s="310" t="s">
        <v>4988</v>
      </c>
      <c r="I18" s="207"/>
      <c r="J18" s="207" t="s">
        <v>3473</v>
      </c>
      <c r="K18" s="133" t="s">
        <v>3417</v>
      </c>
      <c r="L18" s="17">
        <v>9080</v>
      </c>
      <c r="M18" s="8">
        <v>3</v>
      </c>
      <c r="N18" s="34"/>
      <c r="O18" s="444" t="s">
        <v>4545</v>
      </c>
      <c r="Q18" s="340"/>
    </row>
    <row r="19" spans="1:19" s="18" customFormat="1" ht="33" customHeight="1" x14ac:dyDescent="0.3">
      <c r="A19" s="518"/>
      <c r="B19" s="439">
        <v>46025</v>
      </c>
      <c r="C19" s="4"/>
      <c r="D19" s="4"/>
      <c r="E19" s="34"/>
      <c r="F19" s="34"/>
      <c r="G19" s="17"/>
      <c r="H19" s="207"/>
      <c r="I19" s="207"/>
      <c r="J19" s="207"/>
      <c r="K19" s="133"/>
      <c r="L19" s="17"/>
      <c r="M19" s="8"/>
      <c r="N19" s="34"/>
      <c r="O19" s="342"/>
    </row>
    <row r="20" spans="1:19" s="18" customFormat="1" ht="33" customHeight="1" x14ac:dyDescent="0.3">
      <c r="A20" s="519"/>
      <c r="B20" s="440"/>
      <c r="C20" s="4"/>
      <c r="D20" s="4"/>
      <c r="E20" s="34"/>
      <c r="F20" s="34"/>
      <c r="G20" s="17"/>
      <c r="H20" s="207"/>
      <c r="I20" s="207"/>
      <c r="J20" s="207"/>
      <c r="K20" s="133"/>
      <c r="L20" s="17"/>
      <c r="M20" s="8"/>
      <c r="N20" s="34"/>
      <c r="O20" s="342"/>
    </row>
    <row r="21" spans="1:19" s="18" customFormat="1" ht="27" customHeight="1" x14ac:dyDescent="0.3">
      <c r="A21" s="345" t="s">
        <v>0</v>
      </c>
      <c r="B21" s="346" t="s">
        <v>1</v>
      </c>
      <c r="C21" s="345" t="s">
        <v>2</v>
      </c>
      <c r="D21" s="345" t="s">
        <v>3</v>
      </c>
      <c r="E21" s="345" t="s">
        <v>4</v>
      </c>
      <c r="F21" s="345" t="s">
        <v>5</v>
      </c>
      <c r="G21" s="345" t="s">
        <v>6</v>
      </c>
      <c r="H21" s="347" t="s">
        <v>7</v>
      </c>
      <c r="I21" s="345" t="s">
        <v>8</v>
      </c>
      <c r="J21" s="345" t="s">
        <v>9</v>
      </c>
      <c r="K21" s="348" t="s">
        <v>10</v>
      </c>
      <c r="L21" s="349" t="s">
        <v>11</v>
      </c>
      <c r="M21" s="345" t="s">
        <v>12</v>
      </c>
      <c r="N21" s="352" t="s">
        <v>13</v>
      </c>
      <c r="O21" s="345" t="s">
        <v>63</v>
      </c>
    </row>
    <row r="22" spans="1:19" s="18" customFormat="1" ht="33" customHeight="1" x14ac:dyDescent="0.3">
      <c r="A22" s="517" t="s">
        <v>3355</v>
      </c>
      <c r="B22" s="439">
        <v>46027</v>
      </c>
      <c r="C22" s="4" t="s">
        <v>21</v>
      </c>
      <c r="D22" s="4" t="s">
        <v>14</v>
      </c>
      <c r="E22" s="34" t="s">
        <v>141</v>
      </c>
      <c r="F22" s="207" t="s">
        <v>3356</v>
      </c>
      <c r="G22" s="17" t="s">
        <v>3357</v>
      </c>
      <c r="H22" s="207" t="s">
        <v>4591</v>
      </c>
      <c r="I22" s="34" t="s">
        <v>3358</v>
      </c>
      <c r="J22" s="34" t="s">
        <v>3359</v>
      </c>
      <c r="K22" s="133" t="s">
        <v>3360</v>
      </c>
      <c r="L22" s="17"/>
      <c r="M22" s="8">
        <v>2</v>
      </c>
      <c r="N22" s="34"/>
      <c r="O22" s="486" t="s">
        <v>3361</v>
      </c>
      <c r="P22" s="515"/>
      <c r="Q22" s="516"/>
      <c r="R22" s="516"/>
      <c r="S22" s="516"/>
    </row>
    <row r="23" spans="1:19" s="18" customFormat="1" ht="33" customHeight="1" x14ac:dyDescent="0.3">
      <c r="A23" s="518"/>
      <c r="B23" s="445"/>
      <c r="C23" s="4" t="s">
        <v>3363</v>
      </c>
      <c r="D23" s="4" t="s">
        <v>3364</v>
      </c>
      <c r="E23" s="34" t="s">
        <v>3365</v>
      </c>
      <c r="F23" s="207" t="s">
        <v>2839</v>
      </c>
      <c r="G23" s="17" t="s">
        <v>3366</v>
      </c>
      <c r="H23" s="207" t="s">
        <v>4548</v>
      </c>
      <c r="I23" s="207"/>
      <c r="J23" s="207" t="s">
        <v>3367</v>
      </c>
      <c r="K23" s="133" t="s">
        <v>84</v>
      </c>
      <c r="L23" s="17">
        <v>9080</v>
      </c>
      <c r="M23" s="8">
        <v>3</v>
      </c>
      <c r="N23" s="34"/>
      <c r="O23" s="446" t="s">
        <v>4847</v>
      </c>
      <c r="P23" s="455"/>
      <c r="Q23" s="413"/>
      <c r="R23" s="413"/>
    </row>
    <row r="24" spans="1:19" s="18" customFormat="1" ht="33" customHeight="1" x14ac:dyDescent="0.3">
      <c r="A24" s="518"/>
      <c r="B24" s="445"/>
      <c r="C24" s="4" t="s">
        <v>3363</v>
      </c>
      <c r="D24" s="4" t="s">
        <v>3368</v>
      </c>
      <c r="E24" s="34" t="s">
        <v>4547</v>
      </c>
      <c r="F24" s="34" t="s">
        <v>3371</v>
      </c>
      <c r="G24" s="17" t="s">
        <v>3373</v>
      </c>
      <c r="H24" s="207" t="s">
        <v>4549</v>
      </c>
      <c r="I24" s="34"/>
      <c r="J24" s="207" t="s">
        <v>3374</v>
      </c>
      <c r="K24" s="133" t="s">
        <v>84</v>
      </c>
      <c r="L24" s="17"/>
      <c r="M24" s="8">
        <v>5</v>
      </c>
      <c r="N24" s="34"/>
      <c r="O24" s="464" t="s">
        <v>3375</v>
      </c>
      <c r="P24" s="455"/>
      <c r="Q24" s="413"/>
      <c r="R24" s="413"/>
    </row>
    <row r="25" spans="1:19" s="18" customFormat="1" ht="33" customHeight="1" x14ac:dyDescent="0.3">
      <c r="A25" s="518"/>
      <c r="B25" s="439">
        <v>46028</v>
      </c>
      <c r="C25" s="4" t="s">
        <v>21</v>
      </c>
      <c r="D25" s="4" t="s">
        <v>3376</v>
      </c>
      <c r="E25" s="207" t="s">
        <v>3377</v>
      </c>
      <c r="F25" s="34">
        <v>7060</v>
      </c>
      <c r="G25" s="17" t="s">
        <v>4686</v>
      </c>
      <c r="H25" s="207" t="s">
        <v>4687</v>
      </c>
      <c r="I25" s="34"/>
      <c r="J25" s="34" t="s">
        <v>4577</v>
      </c>
      <c r="K25" s="133" t="s">
        <v>84</v>
      </c>
      <c r="L25" s="17"/>
      <c r="M25" s="8">
        <v>2</v>
      </c>
      <c r="N25" s="34" t="s">
        <v>4589</v>
      </c>
      <c r="O25" s="341" t="s">
        <v>4712</v>
      </c>
      <c r="P25" s="455"/>
    </row>
    <row r="26" spans="1:19" s="18" customFormat="1" ht="33" customHeight="1" x14ac:dyDescent="0.3">
      <c r="A26" s="518"/>
      <c r="B26" s="445"/>
      <c r="C26" s="4" t="s">
        <v>3380</v>
      </c>
      <c r="D26" s="4" t="s">
        <v>3376</v>
      </c>
      <c r="E26" s="207" t="s">
        <v>78</v>
      </c>
      <c r="F26" s="34">
        <v>7060</v>
      </c>
      <c r="G26" s="17" t="s">
        <v>3381</v>
      </c>
      <c r="H26" s="207" t="s">
        <v>4989</v>
      </c>
      <c r="I26" s="34" t="s">
        <v>3358</v>
      </c>
      <c r="J26" s="34" t="s">
        <v>4557</v>
      </c>
      <c r="K26" s="133" t="s">
        <v>84</v>
      </c>
      <c r="L26" s="17"/>
      <c r="M26" s="8">
        <v>3</v>
      </c>
      <c r="N26" s="34"/>
      <c r="O26" s="341" t="s">
        <v>3634</v>
      </c>
      <c r="Q26"/>
    </row>
    <row r="27" spans="1:19" s="18" customFormat="1" ht="33" customHeight="1" x14ac:dyDescent="0.3">
      <c r="A27" s="518"/>
      <c r="B27" s="445"/>
      <c r="C27" s="4" t="s">
        <v>64</v>
      </c>
      <c r="D27" s="4" t="s">
        <v>70</v>
      </c>
      <c r="E27" s="34" t="s">
        <v>4547</v>
      </c>
      <c r="F27" s="34" t="s">
        <v>2941</v>
      </c>
      <c r="G27" s="17" t="s">
        <v>2942</v>
      </c>
      <c r="H27" s="207" t="s">
        <v>4555</v>
      </c>
      <c r="I27" s="34"/>
      <c r="J27" s="207" t="s">
        <v>4556</v>
      </c>
      <c r="K27" s="133" t="s">
        <v>66</v>
      </c>
      <c r="L27" s="17"/>
      <c r="M27" s="8">
        <v>5</v>
      </c>
      <c r="N27" s="34"/>
      <c r="O27" s="464" t="s">
        <v>4579</v>
      </c>
      <c r="P27" s="515"/>
      <c r="Q27" s="516"/>
      <c r="R27" s="516"/>
      <c r="S27" s="516"/>
    </row>
    <row r="28" spans="1:19" s="18" customFormat="1" ht="33" customHeight="1" x14ac:dyDescent="0.3">
      <c r="A28" s="518"/>
      <c r="B28" s="439">
        <v>46029</v>
      </c>
      <c r="C28" s="63" t="s">
        <v>3363</v>
      </c>
      <c r="D28" s="63" t="s">
        <v>3384</v>
      </c>
      <c r="E28" s="330" t="s">
        <v>1796</v>
      </c>
      <c r="F28" s="330" t="s">
        <v>3385</v>
      </c>
      <c r="G28" s="211" t="s">
        <v>3386</v>
      </c>
      <c r="H28" s="329" t="s">
        <v>4553</v>
      </c>
      <c r="I28" s="330" t="s">
        <v>3387</v>
      </c>
      <c r="J28" s="329" t="s">
        <v>3388</v>
      </c>
      <c r="K28" s="328" t="s">
        <v>3360</v>
      </c>
      <c r="L28" s="211"/>
      <c r="M28" s="196">
        <v>2</v>
      </c>
      <c r="N28" s="34" t="s">
        <v>4589</v>
      </c>
      <c r="O28" s="485" t="s">
        <v>3635</v>
      </c>
      <c r="P28" s="455"/>
      <c r="Q28" s="455"/>
    </row>
    <row r="29" spans="1:19" s="18" customFormat="1" ht="33" customHeight="1" x14ac:dyDescent="0.3">
      <c r="A29" s="518"/>
      <c r="B29" s="445"/>
      <c r="C29" s="4" t="s">
        <v>3380</v>
      </c>
      <c r="D29" s="4" t="s">
        <v>3376</v>
      </c>
      <c r="E29" s="334" t="s">
        <v>3389</v>
      </c>
      <c r="F29" s="34" t="s">
        <v>4583</v>
      </c>
      <c r="G29" s="17" t="s">
        <v>3586</v>
      </c>
      <c r="H29" s="207" t="s">
        <v>3605</v>
      </c>
      <c r="I29" s="34" t="s">
        <v>3394</v>
      </c>
      <c r="J29" s="207"/>
      <c r="K29" s="133" t="s">
        <v>3395</v>
      </c>
      <c r="L29" s="17" t="s">
        <v>3396</v>
      </c>
      <c r="M29" s="8">
        <v>1</v>
      </c>
      <c r="N29" s="34"/>
      <c r="O29" s="32" t="s">
        <v>3397</v>
      </c>
      <c r="P29" s="455"/>
      <c r="Q29" s="340"/>
    </row>
    <row r="30" spans="1:19" s="18" customFormat="1" ht="33" customHeight="1" x14ac:dyDescent="0.3">
      <c r="A30" s="518"/>
      <c r="B30" s="445"/>
      <c r="C30" s="4" t="s">
        <v>64</v>
      </c>
      <c r="D30" s="4" t="s">
        <v>70</v>
      </c>
      <c r="E30" s="34" t="s">
        <v>4559</v>
      </c>
      <c r="F30" s="34">
        <v>1017</v>
      </c>
      <c r="G30" s="17" t="s">
        <v>107</v>
      </c>
      <c r="H30" s="207" t="s">
        <v>4576</v>
      </c>
      <c r="I30" s="34" t="s">
        <v>90</v>
      </c>
      <c r="J30" s="34" t="s">
        <v>4560</v>
      </c>
      <c r="K30" s="133" t="s">
        <v>66</v>
      </c>
      <c r="L30" s="17"/>
      <c r="M30" s="8">
        <v>2</v>
      </c>
      <c r="N30" s="34"/>
      <c r="O30" s="341" t="s">
        <v>4562</v>
      </c>
      <c r="P30" s="455"/>
      <c r="Q30" s="340"/>
    </row>
    <row r="31" spans="1:19" s="18" customFormat="1" ht="33" customHeight="1" x14ac:dyDescent="0.3">
      <c r="A31" s="518"/>
      <c r="B31" s="445"/>
      <c r="C31" s="63" t="s">
        <v>64</v>
      </c>
      <c r="D31" s="63" t="s">
        <v>70</v>
      </c>
      <c r="E31" s="330" t="s">
        <v>212</v>
      </c>
      <c r="F31" s="330" t="s">
        <v>2941</v>
      </c>
      <c r="G31" s="211" t="s">
        <v>2942</v>
      </c>
      <c r="H31" s="329" t="s">
        <v>4582</v>
      </c>
      <c r="I31" s="330"/>
      <c r="J31" s="330" t="s">
        <v>4578</v>
      </c>
      <c r="K31" s="328" t="s">
        <v>4615</v>
      </c>
      <c r="L31" s="211">
        <v>8585</v>
      </c>
      <c r="M31" s="196">
        <v>2</v>
      </c>
      <c r="N31" s="330"/>
      <c r="O31" s="488" t="s">
        <v>4580</v>
      </c>
      <c r="P31" s="455"/>
      <c r="Q31" s="340"/>
    </row>
    <row r="32" spans="1:19" s="18" customFormat="1" ht="33" customHeight="1" x14ac:dyDescent="0.3">
      <c r="A32" s="518"/>
      <c r="B32" s="439">
        <v>46030</v>
      </c>
      <c r="C32" s="4" t="s">
        <v>3398</v>
      </c>
      <c r="D32" s="4" t="s">
        <v>3384</v>
      </c>
      <c r="E32" s="34" t="s">
        <v>3365</v>
      </c>
      <c r="F32" s="34" t="s">
        <v>3399</v>
      </c>
      <c r="G32" s="17" t="s">
        <v>4552</v>
      </c>
      <c r="H32" s="207" t="s">
        <v>4590</v>
      </c>
      <c r="I32" s="34" t="s">
        <v>3358</v>
      </c>
      <c r="J32" s="207" t="s">
        <v>3400</v>
      </c>
      <c r="K32" s="133" t="s">
        <v>3395</v>
      </c>
      <c r="L32" s="17"/>
      <c r="M32" s="8">
        <v>2</v>
      </c>
      <c r="N32" s="34" t="s">
        <v>4589</v>
      </c>
      <c r="O32" s="444" t="s">
        <v>4584</v>
      </c>
      <c r="P32" s="455"/>
    </row>
    <row r="33" spans="1:19" s="18" customFormat="1" ht="33" customHeight="1" x14ac:dyDescent="0.3">
      <c r="A33" s="518"/>
      <c r="B33" s="445"/>
      <c r="C33" s="4" t="s">
        <v>3398</v>
      </c>
      <c r="D33" s="4" t="s">
        <v>3384</v>
      </c>
      <c r="E33" s="34" t="s">
        <v>3365</v>
      </c>
      <c r="F33" s="34" t="s">
        <v>3399</v>
      </c>
      <c r="G33" s="17" t="s">
        <v>4625</v>
      </c>
      <c r="H33" s="207" t="s">
        <v>4601</v>
      </c>
      <c r="I33" s="34"/>
      <c r="J33" s="34" t="s">
        <v>3599</v>
      </c>
      <c r="K33" s="133" t="s">
        <v>3395</v>
      </c>
      <c r="L33" s="17"/>
      <c r="M33" s="8">
        <v>1</v>
      </c>
      <c r="N33" s="34"/>
      <c r="O33" s="341" t="s">
        <v>4585</v>
      </c>
      <c r="P33" s="455"/>
    </row>
    <row r="34" spans="1:19" s="18" customFormat="1" ht="33" customHeight="1" x14ac:dyDescent="0.3">
      <c r="A34" s="518"/>
      <c r="B34" s="445"/>
      <c r="C34" s="4" t="s">
        <v>21</v>
      </c>
      <c r="D34" s="4" t="s">
        <v>14</v>
      </c>
      <c r="E34" s="34" t="s">
        <v>3470</v>
      </c>
      <c r="F34" s="207">
        <v>7064</v>
      </c>
      <c r="G34" s="17" t="s">
        <v>208</v>
      </c>
      <c r="H34" s="207" t="s">
        <v>4628</v>
      </c>
      <c r="I34" s="34"/>
      <c r="J34" s="34" t="s">
        <v>4563</v>
      </c>
      <c r="K34" s="133" t="s">
        <v>3395</v>
      </c>
      <c r="L34" s="17">
        <v>9080</v>
      </c>
      <c r="M34" s="8">
        <v>2</v>
      </c>
      <c r="N34" s="34"/>
      <c r="O34" s="341" t="s">
        <v>4593</v>
      </c>
      <c r="P34" s="443"/>
    </row>
    <row r="35" spans="1:19" s="18" customFormat="1" ht="33" customHeight="1" x14ac:dyDescent="0.3">
      <c r="A35" s="518"/>
      <c r="B35" s="445"/>
      <c r="C35" s="4" t="s">
        <v>21</v>
      </c>
      <c r="D35" s="4" t="s">
        <v>4595</v>
      </c>
      <c r="E35" s="34" t="s">
        <v>4596</v>
      </c>
      <c r="F35" s="207" t="s">
        <v>4597</v>
      </c>
      <c r="G35" s="17" t="s">
        <v>4598</v>
      </c>
      <c r="H35" s="207" t="s">
        <v>4599</v>
      </c>
      <c r="I35" s="34"/>
      <c r="J35" s="34" t="s">
        <v>4600</v>
      </c>
      <c r="K35" s="133" t="s">
        <v>15</v>
      </c>
      <c r="L35" s="17"/>
      <c r="M35" s="8">
        <v>2</v>
      </c>
      <c r="N35" s="34"/>
      <c r="O35" s="341" t="s">
        <v>4617</v>
      </c>
      <c r="P35" s="443"/>
    </row>
    <row r="36" spans="1:19" s="18" customFormat="1" ht="33" customHeight="1" x14ac:dyDescent="0.3">
      <c r="A36" s="518"/>
      <c r="B36" s="439">
        <v>46031</v>
      </c>
      <c r="C36" s="4" t="s">
        <v>21</v>
      </c>
      <c r="D36" s="4" t="s">
        <v>3368</v>
      </c>
      <c r="E36" s="207" t="s">
        <v>3401</v>
      </c>
      <c r="F36" s="34" t="s">
        <v>3402</v>
      </c>
      <c r="G36" s="17" t="s">
        <v>3403</v>
      </c>
      <c r="H36" s="207" t="s">
        <v>3642</v>
      </c>
      <c r="I36" s="34" t="s">
        <v>4561</v>
      </c>
      <c r="J36" s="34" t="s">
        <v>934</v>
      </c>
      <c r="K36" s="133" t="s">
        <v>3404</v>
      </c>
      <c r="L36" s="17"/>
      <c r="M36" s="8">
        <v>2</v>
      </c>
      <c r="N36" s="34" t="s">
        <v>4622</v>
      </c>
      <c r="O36" s="446" t="s">
        <v>5003</v>
      </c>
      <c r="P36" s="515"/>
      <c r="Q36" s="516"/>
      <c r="R36" s="516"/>
      <c r="S36" s="516"/>
    </row>
    <row r="37" spans="1:19" s="18" customFormat="1" ht="33" customHeight="1" x14ac:dyDescent="0.3">
      <c r="A37" s="518"/>
      <c r="B37" s="445"/>
      <c r="C37" s="4" t="s">
        <v>21</v>
      </c>
      <c r="D37" s="4" t="s">
        <v>70</v>
      </c>
      <c r="E37" s="6" t="s">
        <v>4559</v>
      </c>
      <c r="F37" s="6">
        <v>1017</v>
      </c>
      <c r="G37" s="296" t="s">
        <v>23</v>
      </c>
      <c r="H37" s="133" t="s">
        <v>4691</v>
      </c>
      <c r="I37" s="6"/>
      <c r="J37" s="6" t="s">
        <v>4609</v>
      </c>
      <c r="K37" s="133" t="s">
        <v>15</v>
      </c>
      <c r="L37" s="296"/>
      <c r="M37" s="490">
        <v>2</v>
      </c>
      <c r="N37" s="6" t="s">
        <v>4619</v>
      </c>
      <c r="O37" s="491" t="s">
        <v>4618</v>
      </c>
      <c r="P37" s="515"/>
      <c r="Q37" s="516"/>
      <c r="R37" s="516"/>
      <c r="S37" s="516"/>
    </row>
    <row r="38" spans="1:19" s="18" customFormat="1" ht="33" customHeight="1" x14ac:dyDescent="0.3">
      <c r="A38" s="518"/>
      <c r="B38" s="445"/>
      <c r="C38" s="4" t="s">
        <v>21</v>
      </c>
      <c r="D38" s="4" t="s">
        <v>4631</v>
      </c>
      <c r="E38" s="34" t="s">
        <v>1796</v>
      </c>
      <c r="F38" s="34" t="s">
        <v>2145</v>
      </c>
      <c r="G38" s="17" t="s">
        <v>206</v>
      </c>
      <c r="H38" s="133" t="s">
        <v>4632</v>
      </c>
      <c r="I38" s="6"/>
      <c r="J38" s="6" t="s">
        <v>4630</v>
      </c>
      <c r="K38" s="133" t="s">
        <v>15</v>
      </c>
      <c r="L38" s="296"/>
      <c r="M38" s="490">
        <v>1</v>
      </c>
      <c r="N38" s="6"/>
      <c r="O38" s="341" t="s">
        <v>4585</v>
      </c>
      <c r="P38" s="443"/>
      <c r="Q38" s="340"/>
    </row>
    <row r="39" spans="1:19" s="18" customFormat="1" ht="33" customHeight="1" x14ac:dyDescent="0.3">
      <c r="A39" s="518"/>
      <c r="B39" s="439">
        <v>46032</v>
      </c>
      <c r="C39" s="4"/>
      <c r="D39" s="4"/>
      <c r="E39" s="34"/>
      <c r="F39" s="34"/>
      <c r="G39" s="17"/>
      <c r="H39" s="207"/>
      <c r="I39" s="34"/>
      <c r="J39" s="34"/>
      <c r="K39" s="133"/>
      <c r="L39" s="17"/>
      <c r="M39" s="8"/>
      <c r="N39" s="34"/>
      <c r="O39" s="341"/>
      <c r="P39" s="443"/>
    </row>
    <row r="40" spans="1:19" s="18" customFormat="1" ht="33" customHeight="1" x14ac:dyDescent="0.3">
      <c r="A40" s="519"/>
      <c r="B40" s="440"/>
      <c r="C40" s="4"/>
      <c r="D40" s="4"/>
      <c r="E40" s="34"/>
      <c r="F40" s="34"/>
      <c r="G40" s="17"/>
      <c r="H40" s="207"/>
      <c r="I40" s="34"/>
      <c r="J40" s="34"/>
      <c r="K40" s="133"/>
      <c r="L40" s="17"/>
      <c r="M40" s="8"/>
      <c r="N40" s="34"/>
      <c r="O40" s="341"/>
      <c r="P40" s="515"/>
      <c r="Q40" s="516"/>
      <c r="R40" s="516"/>
      <c r="S40" s="516"/>
    </row>
    <row r="41" spans="1:19" s="18" customFormat="1" ht="27" customHeight="1" x14ac:dyDescent="0.3">
      <c r="A41" s="345" t="s">
        <v>3406</v>
      </c>
      <c r="B41" s="346" t="s">
        <v>1</v>
      </c>
      <c r="C41" s="345" t="s">
        <v>2</v>
      </c>
      <c r="D41" s="345" t="s">
        <v>3</v>
      </c>
      <c r="E41" s="345" t="s">
        <v>4</v>
      </c>
      <c r="F41" s="345" t="s">
        <v>5</v>
      </c>
      <c r="G41" s="345" t="s">
        <v>6</v>
      </c>
      <c r="H41" s="347" t="s">
        <v>7</v>
      </c>
      <c r="I41" s="345" t="s">
        <v>3407</v>
      </c>
      <c r="J41" s="345" t="s">
        <v>9</v>
      </c>
      <c r="K41" s="348" t="s">
        <v>3408</v>
      </c>
      <c r="L41" s="349" t="s">
        <v>3409</v>
      </c>
      <c r="M41" s="345" t="s">
        <v>3410</v>
      </c>
      <c r="N41" s="352" t="s">
        <v>3411</v>
      </c>
      <c r="O41" s="345" t="s">
        <v>3412</v>
      </c>
      <c r="P41" s="515"/>
      <c r="Q41" s="516"/>
      <c r="R41" s="516"/>
      <c r="S41" s="516"/>
    </row>
    <row r="42" spans="1:19" s="18" customFormat="1" ht="33" customHeight="1" x14ac:dyDescent="0.3">
      <c r="A42" s="517" t="s">
        <v>3413</v>
      </c>
      <c r="B42" s="439">
        <v>46034</v>
      </c>
      <c r="C42" s="4" t="s">
        <v>21</v>
      </c>
      <c r="D42" s="4" t="s">
        <v>17</v>
      </c>
      <c r="E42" s="207" t="s">
        <v>4624</v>
      </c>
      <c r="F42" s="34" t="s">
        <v>4642</v>
      </c>
      <c r="G42" s="17" t="s">
        <v>4640</v>
      </c>
      <c r="H42" s="207" t="s">
        <v>4623</v>
      </c>
      <c r="I42" s="34" t="s">
        <v>4620</v>
      </c>
      <c r="J42" s="34" t="s">
        <v>4621</v>
      </c>
      <c r="K42" s="133" t="s">
        <v>15</v>
      </c>
      <c r="L42" s="17">
        <v>8585</v>
      </c>
      <c r="M42" s="8">
        <v>3</v>
      </c>
      <c r="N42" s="34"/>
      <c r="O42" s="341" t="s">
        <v>4641</v>
      </c>
      <c r="P42" s="443" t="s">
        <v>4546</v>
      </c>
    </row>
    <row r="43" spans="1:19" s="18" customFormat="1" ht="33" customHeight="1" x14ac:dyDescent="0.3">
      <c r="A43" s="518"/>
      <c r="B43" s="445"/>
      <c r="C43" s="4"/>
      <c r="D43" s="4"/>
      <c r="E43" s="310"/>
      <c r="F43" s="34"/>
      <c r="G43" s="17"/>
      <c r="H43" s="207"/>
      <c r="I43" s="34"/>
      <c r="J43" s="34"/>
      <c r="K43" s="133"/>
      <c r="L43" s="17"/>
      <c r="M43" s="8"/>
      <c r="N43" s="34"/>
      <c r="O43" s="32"/>
      <c r="P43" s="515" t="s">
        <v>4685</v>
      </c>
      <c r="Q43" s="516"/>
      <c r="R43" s="516"/>
      <c r="S43" s="516"/>
    </row>
    <row r="44" spans="1:19" s="18" customFormat="1" ht="33" customHeight="1" x14ac:dyDescent="0.3">
      <c r="A44" s="518"/>
      <c r="B44" s="439">
        <v>46035</v>
      </c>
      <c r="C44" s="63" t="s">
        <v>3363</v>
      </c>
      <c r="D44" s="63" t="s">
        <v>3364</v>
      </c>
      <c r="E44" s="330" t="s">
        <v>3365</v>
      </c>
      <c r="F44" s="330" t="s">
        <v>3385</v>
      </c>
      <c r="G44" s="211" t="s">
        <v>3386</v>
      </c>
      <c r="H44" s="329" t="s">
        <v>4554</v>
      </c>
      <c r="I44" s="330" t="s">
        <v>3358</v>
      </c>
      <c r="J44" s="329" t="s">
        <v>3416</v>
      </c>
      <c r="K44" s="328" t="s">
        <v>3417</v>
      </c>
      <c r="L44" s="211"/>
      <c r="M44" s="196">
        <v>7</v>
      </c>
      <c r="N44" s="34" t="s">
        <v>4690</v>
      </c>
      <c r="O44" s="485" t="s">
        <v>3418</v>
      </c>
      <c r="P44" s="467"/>
    </row>
    <row r="45" spans="1:19" s="18" customFormat="1" ht="33" customHeight="1" x14ac:dyDescent="0.3">
      <c r="A45" s="518"/>
      <c r="B45" s="445"/>
      <c r="C45" s="4" t="s">
        <v>3414</v>
      </c>
      <c r="D45" s="4" t="s">
        <v>4566</v>
      </c>
      <c r="E45" s="310" t="s">
        <v>4706</v>
      </c>
      <c r="F45" s="34" t="s">
        <v>4567</v>
      </c>
      <c r="G45" s="17" t="s">
        <v>4568</v>
      </c>
      <c r="H45" s="207" t="s">
        <v>4574</v>
      </c>
      <c r="I45" s="34"/>
      <c r="J45" s="34" t="s">
        <v>4570</v>
      </c>
      <c r="K45" s="133" t="s">
        <v>4571</v>
      </c>
      <c r="L45" s="17">
        <v>9080</v>
      </c>
      <c r="M45" s="8">
        <v>2</v>
      </c>
      <c r="N45" s="34"/>
      <c r="O45" s="341" t="s">
        <v>4692</v>
      </c>
      <c r="P45" s="467"/>
      <c r="Q45"/>
    </row>
    <row r="46" spans="1:19" s="18" customFormat="1" ht="33" customHeight="1" x14ac:dyDescent="0.3">
      <c r="A46" s="518"/>
      <c r="B46" s="445"/>
      <c r="C46" s="4" t="s">
        <v>21</v>
      </c>
      <c r="D46" s="4" t="s">
        <v>77</v>
      </c>
      <c r="E46" s="207" t="s">
        <v>4979</v>
      </c>
      <c r="F46" s="34" t="s">
        <v>4592</v>
      </c>
      <c r="G46" s="17" t="s">
        <v>4980</v>
      </c>
      <c r="H46" s="207" t="s">
        <v>4990</v>
      </c>
      <c r="I46" s="34"/>
      <c r="J46" s="34" t="s">
        <v>4627</v>
      </c>
      <c r="K46" s="133" t="s">
        <v>15</v>
      </c>
      <c r="L46" s="492" t="s">
        <v>4629</v>
      </c>
      <c r="M46" s="8">
        <v>2</v>
      </c>
      <c r="N46" s="34"/>
      <c r="O46" s="446" t="s">
        <v>5164</v>
      </c>
      <c r="P46" s="489"/>
      <c r="Q46"/>
    </row>
    <row r="47" spans="1:19" s="18" customFormat="1" ht="33" customHeight="1" x14ac:dyDescent="0.3">
      <c r="A47" s="518"/>
      <c r="B47" s="445"/>
      <c r="C47" s="4" t="s">
        <v>21</v>
      </c>
      <c r="D47" s="4" t="s">
        <v>14</v>
      </c>
      <c r="E47" s="6" t="s">
        <v>4559</v>
      </c>
      <c r="F47" s="6">
        <v>1017</v>
      </c>
      <c r="G47" s="296" t="s">
        <v>23</v>
      </c>
      <c r="H47" s="207" t="s">
        <v>4716</v>
      </c>
      <c r="I47" s="207" t="s">
        <v>4707</v>
      </c>
      <c r="J47" s="207" t="s">
        <v>4715</v>
      </c>
      <c r="K47" s="133" t="s">
        <v>15</v>
      </c>
      <c r="L47" s="17">
        <v>8585</v>
      </c>
      <c r="M47" s="8">
        <v>2</v>
      </c>
      <c r="N47" s="454"/>
      <c r="O47" s="444" t="s">
        <v>4717</v>
      </c>
      <c r="P47" s="489"/>
      <c r="Q47"/>
    </row>
    <row r="48" spans="1:19" s="18" customFormat="1" ht="33" customHeight="1" x14ac:dyDescent="0.3">
      <c r="A48" s="518"/>
      <c r="B48" s="439">
        <v>46036</v>
      </c>
      <c r="C48" s="4" t="s">
        <v>3398</v>
      </c>
      <c r="D48" s="4" t="s">
        <v>3422</v>
      </c>
      <c r="E48" s="34" t="s">
        <v>3365</v>
      </c>
      <c r="F48" s="34" t="s">
        <v>3385</v>
      </c>
      <c r="G48" s="17" t="s">
        <v>206</v>
      </c>
      <c r="H48" s="207" t="s">
        <v>4713</v>
      </c>
      <c r="I48" s="34" t="s">
        <v>4744</v>
      </c>
      <c r="J48" s="207" t="s">
        <v>4720</v>
      </c>
      <c r="K48" s="133" t="s">
        <v>3360</v>
      </c>
      <c r="L48" s="17"/>
      <c r="M48" s="8">
        <v>2</v>
      </c>
      <c r="N48" s="454"/>
      <c r="O48" s="444" t="s">
        <v>4693</v>
      </c>
      <c r="P48" s="455"/>
      <c r="Q48" s="489"/>
    </row>
    <row r="49" spans="1:19" s="18" customFormat="1" ht="33" customHeight="1" x14ac:dyDescent="0.3">
      <c r="A49" s="518"/>
      <c r="B49" s="445"/>
      <c r="C49" s="4" t="s">
        <v>312</v>
      </c>
      <c r="D49" s="4" t="s">
        <v>677</v>
      </c>
      <c r="E49" s="34" t="s">
        <v>338</v>
      </c>
      <c r="F49" s="34" t="s">
        <v>4735</v>
      </c>
      <c r="G49" s="17" t="s">
        <v>4718</v>
      </c>
      <c r="H49" s="207" t="s">
        <v>4719</v>
      </c>
      <c r="I49" s="34"/>
      <c r="J49" s="207" t="s">
        <v>4721</v>
      </c>
      <c r="K49" s="133" t="s">
        <v>4698</v>
      </c>
      <c r="L49" s="17"/>
      <c r="M49" s="8">
        <v>2</v>
      </c>
      <c r="N49" s="454"/>
      <c r="O49" s="444" t="s">
        <v>4738</v>
      </c>
      <c r="P49" s="455"/>
      <c r="Q49" s="489"/>
    </row>
    <row r="50" spans="1:19" s="18" customFormat="1" ht="33" customHeight="1" x14ac:dyDescent="0.3">
      <c r="A50" s="518"/>
      <c r="B50" s="445"/>
      <c r="C50" s="4" t="s">
        <v>21</v>
      </c>
      <c r="D50" s="4" t="s">
        <v>17</v>
      </c>
      <c r="E50" s="310" t="s">
        <v>4573</v>
      </c>
      <c r="F50" s="34" t="s">
        <v>4567</v>
      </c>
      <c r="G50" s="17" t="s">
        <v>4568</v>
      </c>
      <c r="H50" s="207" t="s">
        <v>4569</v>
      </c>
      <c r="I50" s="34"/>
      <c r="J50" s="34" t="s">
        <v>489</v>
      </c>
      <c r="K50" s="133" t="s">
        <v>15</v>
      </c>
      <c r="L50" s="17">
        <v>9080</v>
      </c>
      <c r="M50" s="8">
        <v>2</v>
      </c>
      <c r="N50" s="34"/>
      <c r="O50" s="342" t="s">
        <v>4572</v>
      </c>
      <c r="P50" s="455"/>
      <c r="Q50" s="340"/>
    </row>
    <row r="51" spans="1:19" s="18" customFormat="1" ht="33" customHeight="1" x14ac:dyDescent="0.3">
      <c r="A51" s="518"/>
      <c r="B51" s="445"/>
      <c r="C51" s="4" t="s">
        <v>21</v>
      </c>
      <c r="D51" s="4" t="s">
        <v>4751</v>
      </c>
      <c r="E51" s="334" t="s">
        <v>4746</v>
      </c>
      <c r="F51" s="34" t="s">
        <v>4745</v>
      </c>
      <c r="G51" s="17" t="s">
        <v>4750</v>
      </c>
      <c r="H51" s="207" t="s">
        <v>4747</v>
      </c>
      <c r="I51" s="34" t="s">
        <v>4748</v>
      </c>
      <c r="J51" s="34" t="s">
        <v>4749</v>
      </c>
      <c r="K51" s="133" t="s">
        <v>15</v>
      </c>
      <c r="L51" s="17">
        <v>8585</v>
      </c>
      <c r="M51" s="8">
        <v>2</v>
      </c>
      <c r="N51" s="34"/>
      <c r="O51" s="341" t="s">
        <v>4752</v>
      </c>
      <c r="P51" s="455"/>
      <c r="Q51" s="340"/>
    </row>
    <row r="52" spans="1:19" s="18" customFormat="1" ht="33" customHeight="1" x14ac:dyDescent="0.3">
      <c r="A52" s="518"/>
      <c r="B52" s="439">
        <v>46037</v>
      </c>
      <c r="C52" s="63" t="s">
        <v>3398</v>
      </c>
      <c r="D52" s="63" t="s">
        <v>3422</v>
      </c>
      <c r="E52" s="330" t="s">
        <v>3365</v>
      </c>
      <c r="F52" s="330" t="s">
        <v>4586</v>
      </c>
      <c r="G52" s="211" t="s">
        <v>4581</v>
      </c>
      <c r="H52" s="329" t="s">
        <v>4587</v>
      </c>
      <c r="I52" s="330"/>
      <c r="J52" s="329" t="s">
        <v>3426</v>
      </c>
      <c r="K52" s="328" t="s">
        <v>4571</v>
      </c>
      <c r="L52" s="211"/>
      <c r="M52" s="196">
        <v>1</v>
      </c>
      <c r="N52" s="484"/>
      <c r="O52" s="485" t="s">
        <v>4588</v>
      </c>
      <c r="P52" s="455"/>
    </row>
    <row r="53" spans="1:19" s="18" customFormat="1" ht="33" customHeight="1" x14ac:dyDescent="0.3">
      <c r="A53" s="518"/>
      <c r="B53" s="445"/>
      <c r="C53" s="4" t="s">
        <v>4633</v>
      </c>
      <c r="D53" s="4" t="s">
        <v>4634</v>
      </c>
      <c r="E53" s="34" t="s">
        <v>1796</v>
      </c>
      <c r="F53" s="34" t="s">
        <v>4635</v>
      </c>
      <c r="G53" s="17" t="s">
        <v>23</v>
      </c>
      <c r="H53" s="207" t="s">
        <v>4636</v>
      </c>
      <c r="I53" s="133" t="s">
        <v>4714</v>
      </c>
      <c r="J53" s="207"/>
      <c r="K53" s="133" t="s">
        <v>15</v>
      </c>
      <c r="L53" s="17"/>
      <c r="M53" s="8">
        <v>3</v>
      </c>
      <c r="N53" s="454"/>
      <c r="O53" s="444" t="s">
        <v>4705</v>
      </c>
      <c r="P53" s="455"/>
    </row>
    <row r="54" spans="1:19" s="18" customFormat="1" ht="33" customHeight="1" x14ac:dyDescent="0.3">
      <c r="A54" s="518"/>
      <c r="B54" s="445"/>
      <c r="C54" s="4" t="s">
        <v>21</v>
      </c>
      <c r="D54" s="4" t="s">
        <v>14</v>
      </c>
      <c r="E54" s="34" t="s">
        <v>1796</v>
      </c>
      <c r="F54" s="207" t="s">
        <v>4843</v>
      </c>
      <c r="G54" s="17" t="s">
        <v>4704</v>
      </c>
      <c r="H54" s="207" t="s">
        <v>4656</v>
      </c>
      <c r="I54" s="207"/>
      <c r="J54" s="207" t="s">
        <v>4657</v>
      </c>
      <c r="K54" s="133" t="s">
        <v>15</v>
      </c>
      <c r="L54" s="17">
        <v>9080</v>
      </c>
      <c r="M54" s="8">
        <v>2</v>
      </c>
      <c r="N54" s="454"/>
      <c r="O54" s="446" t="s">
        <v>4847</v>
      </c>
      <c r="P54" s="455"/>
    </row>
    <row r="55" spans="1:19" s="18" customFormat="1" ht="33" customHeight="1" x14ac:dyDescent="0.3">
      <c r="A55" s="518"/>
      <c r="B55" s="445"/>
      <c r="C55" s="4" t="s">
        <v>21</v>
      </c>
      <c r="D55" s="4" t="s">
        <v>14</v>
      </c>
      <c r="E55" s="6" t="s">
        <v>4559</v>
      </c>
      <c r="F55" s="6">
        <v>1017</v>
      </c>
      <c r="G55" s="296" t="s">
        <v>23</v>
      </c>
      <c r="H55" s="207" t="s">
        <v>4741</v>
      </c>
      <c r="I55" s="207"/>
      <c r="J55" s="207" t="s">
        <v>4757</v>
      </c>
      <c r="K55" s="133" t="s">
        <v>15</v>
      </c>
      <c r="L55" s="17">
        <v>8585</v>
      </c>
      <c r="M55" s="8">
        <v>2</v>
      </c>
      <c r="N55" s="454"/>
      <c r="O55" s="444" t="s">
        <v>4562</v>
      </c>
      <c r="P55" s="455"/>
    </row>
    <row r="56" spans="1:19" s="18" customFormat="1" ht="33" customHeight="1" x14ac:dyDescent="0.3">
      <c r="A56" s="518"/>
      <c r="B56" s="439">
        <v>46038</v>
      </c>
      <c r="C56" s="4" t="s">
        <v>21</v>
      </c>
      <c r="D56" s="4" t="s">
        <v>77</v>
      </c>
      <c r="E56" s="34" t="s">
        <v>141</v>
      </c>
      <c r="F56" s="34" t="s">
        <v>271</v>
      </c>
      <c r="G56" s="17" t="s">
        <v>3352</v>
      </c>
      <c r="H56" s="334" t="s">
        <v>4960</v>
      </c>
      <c r="I56" s="34" t="s">
        <v>121</v>
      </c>
      <c r="J56" s="207" t="s">
        <v>688</v>
      </c>
      <c r="K56" s="133" t="s">
        <v>15</v>
      </c>
      <c r="L56" s="17"/>
      <c r="M56" s="8">
        <v>2</v>
      </c>
      <c r="N56" s="454"/>
      <c r="O56" s="446" t="s">
        <v>4939</v>
      </c>
      <c r="P56" s="455"/>
    </row>
    <row r="57" spans="1:19" s="18" customFormat="1" ht="33" customHeight="1" x14ac:dyDescent="0.3">
      <c r="A57" s="518"/>
      <c r="B57" s="445"/>
      <c r="C57" s="4" t="s">
        <v>21</v>
      </c>
      <c r="D57" s="4" t="s">
        <v>14</v>
      </c>
      <c r="E57" s="6" t="s">
        <v>4559</v>
      </c>
      <c r="F57" s="6">
        <v>1017</v>
      </c>
      <c r="G57" s="296" t="s">
        <v>23</v>
      </c>
      <c r="H57" s="207" t="s">
        <v>4741</v>
      </c>
      <c r="I57" s="207"/>
      <c r="J57" s="207" t="s">
        <v>4757</v>
      </c>
      <c r="K57" s="133" t="s">
        <v>15</v>
      </c>
      <c r="L57" s="17">
        <v>8585</v>
      </c>
      <c r="M57" s="8">
        <v>2</v>
      </c>
      <c r="N57" s="454"/>
      <c r="O57" s="444" t="s">
        <v>4562</v>
      </c>
      <c r="P57" s="455"/>
      <c r="Q57" s="340"/>
    </row>
    <row r="58" spans="1:19" s="18" customFormat="1" ht="33" customHeight="1" x14ac:dyDescent="0.3">
      <c r="A58" s="518"/>
      <c r="B58" s="439">
        <v>46039</v>
      </c>
      <c r="C58" s="4"/>
      <c r="D58" s="4"/>
      <c r="E58" s="6"/>
      <c r="F58" s="6"/>
      <c r="G58" s="296"/>
      <c r="H58" s="207"/>
      <c r="I58" s="207"/>
      <c r="J58" s="207"/>
      <c r="K58" s="133"/>
      <c r="L58" s="17"/>
      <c r="M58" s="8"/>
      <c r="N58" s="454"/>
      <c r="O58" s="444"/>
    </row>
    <row r="59" spans="1:19" s="18" customFormat="1" ht="33" customHeight="1" x14ac:dyDescent="0.3">
      <c r="A59" s="519"/>
      <c r="B59" s="440"/>
      <c r="C59" s="4"/>
      <c r="D59" s="4"/>
      <c r="E59" s="310"/>
      <c r="F59" s="34"/>
      <c r="G59" s="17"/>
      <c r="H59" s="207"/>
      <c r="I59" s="34"/>
      <c r="J59" s="34"/>
      <c r="K59" s="133"/>
      <c r="L59" s="17"/>
      <c r="M59" s="8"/>
      <c r="N59" s="34"/>
      <c r="O59" s="342"/>
    </row>
    <row r="60" spans="1:19" s="18" customFormat="1" ht="33" customHeight="1" x14ac:dyDescent="0.3">
      <c r="A60" s="345" t="s">
        <v>0</v>
      </c>
      <c r="B60" s="346" t="s">
        <v>1</v>
      </c>
      <c r="C60" s="345" t="s">
        <v>2</v>
      </c>
      <c r="D60" s="345" t="s">
        <v>3</v>
      </c>
      <c r="E60" s="345" t="s">
        <v>4</v>
      </c>
      <c r="F60" s="345" t="s">
        <v>5</v>
      </c>
      <c r="G60" s="345" t="s">
        <v>6</v>
      </c>
      <c r="H60" s="347" t="s">
        <v>7</v>
      </c>
      <c r="I60" s="345" t="s">
        <v>8</v>
      </c>
      <c r="J60" s="345" t="s">
        <v>9</v>
      </c>
      <c r="K60" s="348" t="s">
        <v>10</v>
      </c>
      <c r="L60" s="349" t="s">
        <v>11</v>
      </c>
      <c r="M60" s="345" t="s">
        <v>12</v>
      </c>
      <c r="N60" s="352" t="s">
        <v>13</v>
      </c>
      <c r="O60" s="345" t="s">
        <v>63</v>
      </c>
    </row>
    <row r="61" spans="1:19" s="18" customFormat="1" ht="33" customHeight="1" x14ac:dyDescent="0.3">
      <c r="A61" s="517" t="s">
        <v>4777</v>
      </c>
      <c r="B61" s="439">
        <v>46041</v>
      </c>
      <c r="C61" s="4" t="s">
        <v>64</v>
      </c>
      <c r="D61" s="4" t="s">
        <v>77</v>
      </c>
      <c r="E61" s="34" t="s">
        <v>3419</v>
      </c>
      <c r="F61" s="34" t="s">
        <v>364</v>
      </c>
      <c r="G61" s="17" t="s">
        <v>3420</v>
      </c>
      <c r="H61" s="207" t="s">
        <v>4742</v>
      </c>
      <c r="I61" s="34"/>
      <c r="J61" s="207" t="s">
        <v>4211</v>
      </c>
      <c r="K61" s="133" t="s">
        <v>4613</v>
      </c>
      <c r="L61" s="17"/>
      <c r="M61" s="8">
        <v>2</v>
      </c>
      <c r="N61" s="454"/>
      <c r="O61" s="444" t="s">
        <v>4743</v>
      </c>
      <c r="P61" s="515"/>
      <c r="Q61" s="516"/>
      <c r="R61" s="516"/>
      <c r="S61" s="516"/>
    </row>
    <row r="62" spans="1:19" s="18" customFormat="1" ht="33" customHeight="1" x14ac:dyDescent="0.3">
      <c r="A62" s="518"/>
      <c r="B62" s="445"/>
      <c r="C62" s="4" t="s">
        <v>21</v>
      </c>
      <c r="D62" s="4" t="s">
        <v>17</v>
      </c>
      <c r="E62" s="207" t="s">
        <v>78</v>
      </c>
      <c r="F62" s="34" t="s">
        <v>4612</v>
      </c>
      <c r="G62" s="17" t="s">
        <v>4616</v>
      </c>
      <c r="H62" s="207" t="s">
        <v>4702</v>
      </c>
      <c r="I62" s="34" t="s">
        <v>4768</v>
      </c>
      <c r="J62" s="34"/>
      <c r="K62" s="133" t="s">
        <v>4613</v>
      </c>
      <c r="L62" s="17"/>
      <c r="M62" s="8">
        <v>2</v>
      </c>
      <c r="N62" s="34"/>
      <c r="O62" s="32" t="s">
        <v>4703</v>
      </c>
    </row>
    <row r="63" spans="1:19" s="18" customFormat="1" ht="33" customHeight="1" x14ac:dyDescent="0.3">
      <c r="A63" s="518"/>
      <c r="B63" s="445"/>
      <c r="C63" s="4" t="s">
        <v>21</v>
      </c>
      <c r="D63" s="4" t="s">
        <v>14</v>
      </c>
      <c r="E63" s="334" t="s">
        <v>1902</v>
      </c>
      <c r="F63" s="34" t="s">
        <v>4070</v>
      </c>
      <c r="G63" s="17" t="s">
        <v>1387</v>
      </c>
      <c r="H63" s="207" t="s">
        <v>4773</v>
      </c>
      <c r="I63" s="34"/>
      <c r="J63" s="34" t="s">
        <v>643</v>
      </c>
      <c r="K63" s="133" t="s">
        <v>15</v>
      </c>
      <c r="L63" s="17"/>
      <c r="M63" s="8">
        <v>2</v>
      </c>
      <c r="N63" s="34"/>
      <c r="O63" s="341" t="s">
        <v>4774</v>
      </c>
    </row>
    <row r="64" spans="1:19" s="18" customFormat="1" ht="33" customHeight="1" x14ac:dyDescent="0.3">
      <c r="A64" s="518"/>
      <c r="B64" s="439">
        <v>46042</v>
      </c>
      <c r="C64" s="4" t="s">
        <v>21</v>
      </c>
      <c r="D64" s="4" t="s">
        <v>4754</v>
      </c>
      <c r="E64" s="207" t="s">
        <v>4760</v>
      </c>
      <c r="F64" s="207" t="s">
        <v>4759</v>
      </c>
      <c r="G64" s="17" t="s">
        <v>23</v>
      </c>
      <c r="H64" s="207" t="s">
        <v>4772</v>
      </c>
      <c r="I64" s="34"/>
      <c r="J64" s="34" t="s">
        <v>489</v>
      </c>
      <c r="K64" s="133" t="s">
        <v>15</v>
      </c>
      <c r="L64" s="17">
        <v>9080</v>
      </c>
      <c r="M64" s="8">
        <v>2</v>
      </c>
      <c r="N64" s="34"/>
      <c r="O64" s="32" t="s">
        <v>4758</v>
      </c>
      <c r="P64" s="515"/>
      <c r="Q64" s="516"/>
      <c r="R64" s="516"/>
      <c r="S64" s="516"/>
    </row>
    <row r="65" spans="1:19" s="18" customFormat="1" ht="33" customHeight="1" x14ac:dyDescent="0.3">
      <c r="A65" s="518"/>
      <c r="B65" s="445"/>
      <c r="C65" s="4" t="s">
        <v>21</v>
      </c>
      <c r="D65" s="4" t="s">
        <v>14</v>
      </c>
      <c r="E65" s="34" t="s">
        <v>108</v>
      </c>
      <c r="F65" s="207" t="s">
        <v>4835</v>
      </c>
      <c r="G65" s="17" t="s">
        <v>1396</v>
      </c>
      <c r="H65" s="207" t="s">
        <v>4857</v>
      </c>
      <c r="I65" s="207"/>
      <c r="J65" s="207" t="s">
        <v>4838</v>
      </c>
      <c r="K65" s="133" t="s">
        <v>4614</v>
      </c>
      <c r="L65" s="17"/>
      <c r="M65" s="8">
        <v>1</v>
      </c>
      <c r="N65" s="34"/>
      <c r="O65" s="446" t="s">
        <v>4870</v>
      </c>
    </row>
    <row r="66" spans="1:19" s="18" customFormat="1" ht="33" customHeight="1" x14ac:dyDescent="0.3">
      <c r="A66" s="518"/>
      <c r="B66" s="445"/>
      <c r="C66" s="4" t="s">
        <v>21</v>
      </c>
      <c r="D66" s="4" t="s">
        <v>17</v>
      </c>
      <c r="E66" s="34" t="s">
        <v>108</v>
      </c>
      <c r="F66" s="34" t="s">
        <v>4836</v>
      </c>
      <c r="G66" s="17" t="s">
        <v>4823</v>
      </c>
      <c r="H66" s="334" t="s">
        <v>4961</v>
      </c>
      <c r="I66" s="34" t="s">
        <v>90</v>
      </c>
      <c r="J66" s="133" t="s">
        <v>688</v>
      </c>
      <c r="K66" s="133" t="s">
        <v>15</v>
      </c>
      <c r="L66" s="17"/>
      <c r="M66" s="8">
        <v>2</v>
      </c>
      <c r="N66" s="454"/>
      <c r="O66" s="446" t="s">
        <v>4837</v>
      </c>
    </row>
    <row r="67" spans="1:19" s="18" customFormat="1" ht="33" customHeight="1" x14ac:dyDescent="0.3">
      <c r="A67" s="518"/>
      <c r="B67" s="439">
        <v>46043</v>
      </c>
      <c r="C67" s="4" t="s">
        <v>21</v>
      </c>
      <c r="D67" s="4" t="s">
        <v>31</v>
      </c>
      <c r="E67" s="207" t="s">
        <v>78</v>
      </c>
      <c r="F67" s="34">
        <v>7060</v>
      </c>
      <c r="G67" s="17" t="s">
        <v>4877</v>
      </c>
      <c r="H67" s="334" t="s">
        <v>4842</v>
      </c>
      <c r="I67" s="34" t="s">
        <v>90</v>
      </c>
      <c r="J67" s="34" t="s">
        <v>4594</v>
      </c>
      <c r="K67" s="133" t="s">
        <v>15</v>
      </c>
      <c r="L67" s="17"/>
      <c r="M67" s="8">
        <v>3</v>
      </c>
      <c r="N67" s="34"/>
      <c r="O67" s="341" t="s">
        <v>5072</v>
      </c>
      <c r="P67" s="515"/>
      <c r="Q67" s="516"/>
      <c r="R67" s="516"/>
      <c r="S67" s="516"/>
    </row>
    <row r="68" spans="1:19" s="18" customFormat="1" ht="33" customHeight="1" x14ac:dyDescent="0.3">
      <c r="A68" s="518"/>
      <c r="B68" s="445"/>
      <c r="C68" s="4"/>
      <c r="D68" s="4"/>
      <c r="E68" s="310"/>
      <c r="F68" s="34"/>
      <c r="G68" s="17"/>
      <c r="H68" s="207"/>
      <c r="I68" s="34"/>
      <c r="J68" s="34"/>
      <c r="K68" s="133"/>
      <c r="L68" s="17"/>
      <c r="M68" s="8"/>
      <c r="N68" s="34"/>
      <c r="O68" s="342"/>
    </row>
    <row r="69" spans="1:19" s="18" customFormat="1" ht="33" customHeight="1" x14ac:dyDescent="0.3">
      <c r="A69" s="518"/>
      <c r="B69" s="439">
        <v>46044</v>
      </c>
      <c r="C69" s="4" t="s">
        <v>4832</v>
      </c>
      <c r="D69" s="4" t="s">
        <v>4695</v>
      </c>
      <c r="E69" s="207" t="s">
        <v>624</v>
      </c>
      <c r="F69" s="34" t="s">
        <v>2856</v>
      </c>
      <c r="G69" s="17" t="s">
        <v>4696</v>
      </c>
      <c r="H69" s="207" t="s">
        <v>4876</v>
      </c>
      <c r="I69" s="34" t="s">
        <v>4697</v>
      </c>
      <c r="J69" s="34"/>
      <c r="K69" s="133" t="s">
        <v>4698</v>
      </c>
      <c r="L69" s="17"/>
      <c r="M69" s="8">
        <v>2</v>
      </c>
      <c r="N69" s="34"/>
      <c r="O69" s="32" t="s">
        <v>4701</v>
      </c>
    </row>
    <row r="70" spans="1:19" s="18" customFormat="1" ht="33" customHeight="1" x14ac:dyDescent="0.3">
      <c r="A70" s="518"/>
      <c r="B70" s="445"/>
      <c r="C70" s="4" t="s">
        <v>21</v>
      </c>
      <c r="D70" s="4" t="s">
        <v>17</v>
      </c>
      <c r="E70" s="207" t="s">
        <v>78</v>
      </c>
      <c r="F70" s="34">
        <v>7060</v>
      </c>
      <c r="G70" s="17" t="s">
        <v>4992</v>
      </c>
      <c r="H70" s="207" t="s">
        <v>4866</v>
      </c>
      <c r="I70" s="34"/>
      <c r="J70" s="34" t="s">
        <v>4864</v>
      </c>
      <c r="K70" s="133" t="s">
        <v>15</v>
      </c>
      <c r="L70" s="17"/>
      <c r="M70" s="8">
        <v>3</v>
      </c>
      <c r="N70" s="34"/>
      <c r="O70" s="341" t="s">
        <v>4861</v>
      </c>
    </row>
    <row r="71" spans="1:19" s="18" customFormat="1" ht="33" customHeight="1" x14ac:dyDescent="0.3">
      <c r="A71" s="518"/>
      <c r="B71" s="445"/>
      <c r="C71" s="4" t="s">
        <v>21</v>
      </c>
      <c r="D71" s="4" t="s">
        <v>17</v>
      </c>
      <c r="E71" s="207" t="s">
        <v>78</v>
      </c>
      <c r="F71" s="34">
        <v>7060</v>
      </c>
      <c r="G71" s="17" t="s">
        <v>4991</v>
      </c>
      <c r="H71" s="207" t="s">
        <v>4871</v>
      </c>
      <c r="I71" s="34"/>
      <c r="J71" s="34" t="s">
        <v>4862</v>
      </c>
      <c r="K71" s="133" t="s">
        <v>15</v>
      </c>
      <c r="L71" s="17"/>
      <c r="M71" s="8">
        <v>1</v>
      </c>
      <c r="N71" s="34"/>
      <c r="O71" s="32" t="s">
        <v>4863</v>
      </c>
    </row>
    <row r="72" spans="1:19" s="18" customFormat="1" ht="33" customHeight="1" x14ac:dyDescent="0.3">
      <c r="A72" s="518"/>
      <c r="B72" s="439">
        <v>46045</v>
      </c>
      <c r="C72" s="4" t="s">
        <v>21</v>
      </c>
      <c r="D72" s="4" t="s">
        <v>14</v>
      </c>
      <c r="E72" s="6" t="s">
        <v>4839</v>
      </c>
      <c r="F72" s="6" t="s">
        <v>4940</v>
      </c>
      <c r="G72" s="296" t="s">
        <v>4941</v>
      </c>
      <c r="H72" s="133" t="s">
        <v>4942</v>
      </c>
      <c r="I72" s="6"/>
      <c r="J72" s="6" t="s">
        <v>4874</v>
      </c>
      <c r="K72" s="133" t="s">
        <v>15</v>
      </c>
      <c r="L72" s="296">
        <v>9080</v>
      </c>
      <c r="M72" s="490">
        <v>3</v>
      </c>
      <c r="N72" s="6"/>
      <c r="O72" s="491" t="s">
        <v>4875</v>
      </c>
    </row>
    <row r="73" spans="1:19" s="18" customFormat="1" ht="33" customHeight="1" x14ac:dyDescent="0.3">
      <c r="A73" s="518"/>
      <c r="B73" s="445"/>
      <c r="C73" s="4"/>
      <c r="D73" s="4"/>
      <c r="E73" s="34"/>
      <c r="F73" s="34"/>
      <c r="G73" s="17"/>
      <c r="H73" s="207"/>
      <c r="I73" s="207"/>
      <c r="J73" s="207"/>
      <c r="K73" s="133"/>
      <c r="L73" s="17"/>
      <c r="M73" s="8"/>
      <c r="N73" s="207"/>
      <c r="O73" s="39"/>
    </row>
    <row r="74" spans="1:19" s="18" customFormat="1" ht="33" customHeight="1" x14ac:dyDescent="0.3">
      <c r="A74" s="518"/>
      <c r="B74" s="439">
        <v>46046</v>
      </c>
      <c r="C74" s="4"/>
      <c r="D74" s="4"/>
      <c r="E74" s="34"/>
      <c r="F74" s="34"/>
      <c r="G74" s="17"/>
      <c r="H74" s="207"/>
      <c r="I74" s="207"/>
      <c r="J74" s="207"/>
      <c r="K74" s="133"/>
      <c r="L74" s="17"/>
      <c r="M74" s="8"/>
      <c r="N74" s="207"/>
      <c r="O74" s="39"/>
      <c r="P74" s="515"/>
      <c r="Q74" s="516"/>
      <c r="R74" s="516"/>
      <c r="S74" s="516"/>
    </row>
    <row r="75" spans="1:19" s="18" customFormat="1" ht="33" customHeight="1" x14ac:dyDescent="0.3">
      <c r="A75" s="519"/>
      <c r="B75" s="440"/>
      <c r="C75" s="4"/>
      <c r="D75" s="4"/>
      <c r="E75" s="34"/>
      <c r="F75" s="34"/>
      <c r="G75" s="17"/>
      <c r="H75" s="207"/>
      <c r="I75" s="207"/>
      <c r="J75" s="207"/>
      <c r="K75" s="133"/>
      <c r="L75" s="17"/>
      <c r="M75" s="8"/>
      <c r="N75" s="34"/>
      <c r="O75" s="342"/>
    </row>
    <row r="76" spans="1:19" s="18" customFormat="1" ht="33" customHeight="1" x14ac:dyDescent="0.3">
      <c r="A76" s="345" t="s">
        <v>0</v>
      </c>
      <c r="B76" s="346" t="s">
        <v>1</v>
      </c>
      <c r="C76" s="345" t="s">
        <v>2</v>
      </c>
      <c r="D76" s="345" t="s">
        <v>3</v>
      </c>
      <c r="E76" s="345" t="s">
        <v>4</v>
      </c>
      <c r="F76" s="345" t="s">
        <v>5</v>
      </c>
      <c r="G76" s="345" t="s">
        <v>6</v>
      </c>
      <c r="H76" s="347" t="s">
        <v>7</v>
      </c>
      <c r="I76" s="345" t="s">
        <v>8</v>
      </c>
      <c r="J76" s="345" t="s">
        <v>9</v>
      </c>
      <c r="K76" s="348" t="s">
        <v>10</v>
      </c>
      <c r="L76" s="349" t="s">
        <v>11</v>
      </c>
      <c r="M76" s="345" t="s">
        <v>12</v>
      </c>
      <c r="N76" s="352" t="s">
        <v>13</v>
      </c>
      <c r="O76" s="345" t="s">
        <v>63</v>
      </c>
    </row>
    <row r="77" spans="1:19" s="18" customFormat="1" ht="33" customHeight="1" x14ac:dyDescent="0.3">
      <c r="A77" s="517" t="s">
        <v>4778</v>
      </c>
      <c r="B77" s="439">
        <v>46048</v>
      </c>
      <c r="C77" s="4" t="s">
        <v>3637</v>
      </c>
      <c r="D77" s="4" t="s">
        <v>3638</v>
      </c>
      <c r="E77" s="34" t="s">
        <v>3636</v>
      </c>
      <c r="F77" s="207">
        <v>3006</v>
      </c>
      <c r="G77" s="17" t="s">
        <v>3639</v>
      </c>
      <c r="H77" s="334" t="s">
        <v>4946</v>
      </c>
      <c r="I77" s="34"/>
      <c r="J77" s="34" t="s">
        <v>3640</v>
      </c>
      <c r="K77" s="133" t="s">
        <v>4700</v>
      </c>
      <c r="L77" s="17"/>
      <c r="M77" s="8">
        <v>2</v>
      </c>
      <c r="N77" s="34"/>
      <c r="O77" s="32" t="s">
        <v>4766</v>
      </c>
      <c r="P77" s="487" t="s">
        <v>4575</v>
      </c>
    </row>
    <row r="78" spans="1:19" s="18" customFormat="1" ht="33" customHeight="1" x14ac:dyDescent="0.3">
      <c r="A78" s="518"/>
      <c r="B78" s="445"/>
      <c r="C78" s="4" t="s">
        <v>4833</v>
      </c>
      <c r="D78" s="4" t="s">
        <v>4829</v>
      </c>
      <c r="E78" s="207" t="s">
        <v>4952</v>
      </c>
      <c r="F78" s="34" t="s">
        <v>4830</v>
      </c>
      <c r="G78" s="17" t="s">
        <v>4834</v>
      </c>
      <c r="H78" s="207" t="s">
        <v>4950</v>
      </c>
      <c r="I78" s="34" t="s">
        <v>4831</v>
      </c>
      <c r="J78" s="34"/>
      <c r="K78" s="133" t="s">
        <v>15</v>
      </c>
      <c r="L78" s="17" t="s">
        <v>4943</v>
      </c>
      <c r="M78" s="8">
        <v>2</v>
      </c>
      <c r="N78" s="34"/>
      <c r="O78" s="32" t="s">
        <v>4951</v>
      </c>
    </row>
    <row r="79" spans="1:19" s="18" customFormat="1" ht="33" customHeight="1" x14ac:dyDescent="0.3">
      <c r="A79" s="518"/>
      <c r="B79" s="445"/>
      <c r="C79" s="63" t="s">
        <v>21</v>
      </c>
      <c r="D79" s="63" t="s">
        <v>17</v>
      </c>
      <c r="E79" s="330" t="s">
        <v>78</v>
      </c>
      <c r="F79" s="330" t="s">
        <v>1654</v>
      </c>
      <c r="G79" s="211" t="s">
        <v>23</v>
      </c>
      <c r="H79" s="329" t="s">
        <v>4858</v>
      </c>
      <c r="I79" s="330" t="s">
        <v>4852</v>
      </c>
      <c r="J79" s="330" t="s">
        <v>4859</v>
      </c>
      <c r="K79" s="328" t="s">
        <v>15</v>
      </c>
      <c r="L79" s="211"/>
      <c r="M79" s="196">
        <v>4</v>
      </c>
      <c r="N79" s="330"/>
      <c r="O79" s="500" t="s">
        <v>4853</v>
      </c>
    </row>
    <row r="80" spans="1:19" s="18" customFormat="1" ht="33" customHeight="1" x14ac:dyDescent="0.3">
      <c r="A80" s="518"/>
      <c r="B80" s="439">
        <v>46049</v>
      </c>
      <c r="C80" s="4" t="s">
        <v>3637</v>
      </c>
      <c r="D80" s="4" t="s">
        <v>3638</v>
      </c>
      <c r="E80" s="34" t="s">
        <v>3636</v>
      </c>
      <c r="F80" s="207">
        <v>3006</v>
      </c>
      <c r="G80" s="17" t="s">
        <v>3639</v>
      </c>
      <c r="H80" s="334" t="s">
        <v>4765</v>
      </c>
      <c r="I80" s="34"/>
      <c r="J80" s="34" t="s">
        <v>3640</v>
      </c>
      <c r="K80" s="133" t="s">
        <v>4699</v>
      </c>
      <c r="L80" s="17"/>
      <c r="M80" s="8">
        <v>2</v>
      </c>
      <c r="N80" s="207" t="s">
        <v>4955</v>
      </c>
      <c r="O80" s="32" t="s">
        <v>4766</v>
      </c>
      <c r="P80" s="496"/>
    </row>
    <row r="81" spans="1:19" s="18" customFormat="1" ht="33" customHeight="1" x14ac:dyDescent="0.3">
      <c r="A81" s="518"/>
      <c r="B81" s="445"/>
      <c r="C81" s="4" t="s">
        <v>24</v>
      </c>
      <c r="D81" s="4" t="s">
        <v>5117</v>
      </c>
      <c r="E81" s="207" t="s">
        <v>4764</v>
      </c>
      <c r="F81" s="34">
        <v>222003</v>
      </c>
      <c r="G81" s="17" t="s">
        <v>4855</v>
      </c>
      <c r="H81" s="334" t="s">
        <v>4948</v>
      </c>
      <c r="I81" s="34" t="s">
        <v>4697</v>
      </c>
      <c r="J81" s="34" t="s">
        <v>4854</v>
      </c>
      <c r="K81" s="133" t="s">
        <v>15</v>
      </c>
      <c r="L81" s="17">
        <v>8585</v>
      </c>
      <c r="M81" s="8">
        <v>4</v>
      </c>
      <c r="N81" s="34"/>
      <c r="O81" s="32" t="s">
        <v>4949</v>
      </c>
      <c r="P81" s="496"/>
    </row>
    <row r="82" spans="1:19" s="18" customFormat="1" ht="33" customHeight="1" x14ac:dyDescent="0.3">
      <c r="A82" s="518"/>
      <c r="B82" s="445"/>
      <c r="C82" s="4" t="s">
        <v>21</v>
      </c>
      <c r="D82" s="4" t="s">
        <v>14</v>
      </c>
      <c r="E82" s="207" t="s">
        <v>4937</v>
      </c>
      <c r="F82" s="34" t="s">
        <v>109</v>
      </c>
      <c r="G82" s="17" t="s">
        <v>4936</v>
      </c>
      <c r="H82" s="334" t="s">
        <v>4935</v>
      </c>
      <c r="I82" s="34" t="s">
        <v>4938</v>
      </c>
      <c r="J82" s="34" t="s">
        <v>4944</v>
      </c>
      <c r="K82" s="133" t="s">
        <v>15</v>
      </c>
      <c r="L82" s="17">
        <v>9080</v>
      </c>
      <c r="M82" s="8">
        <v>2</v>
      </c>
      <c r="N82" s="34"/>
      <c r="O82" s="32" t="s">
        <v>4945</v>
      </c>
      <c r="P82" s="496"/>
    </row>
    <row r="83" spans="1:19" s="18" customFormat="1" ht="33" customHeight="1" x14ac:dyDescent="0.3">
      <c r="A83" s="518"/>
      <c r="B83" s="439">
        <v>46050</v>
      </c>
      <c r="C83" s="63" t="s">
        <v>21</v>
      </c>
      <c r="D83" s="63" t="s">
        <v>3350</v>
      </c>
      <c r="E83" s="330" t="s">
        <v>1796</v>
      </c>
      <c r="F83" s="330" t="s">
        <v>2145</v>
      </c>
      <c r="G83" s="211" t="s">
        <v>1310</v>
      </c>
      <c r="H83" s="329" t="s">
        <v>4767</v>
      </c>
      <c r="I83" s="330" t="s">
        <v>4956</v>
      </c>
      <c r="J83" s="329"/>
      <c r="K83" s="328" t="s">
        <v>3351</v>
      </c>
      <c r="L83" s="211"/>
      <c r="M83" s="196">
        <v>2</v>
      </c>
      <c r="N83" s="454" t="s">
        <v>4848</v>
      </c>
      <c r="O83" s="501" t="s">
        <v>4957</v>
      </c>
      <c r="P83" s="515"/>
      <c r="Q83" s="516"/>
      <c r="R83" s="516"/>
      <c r="S83" s="516"/>
    </row>
    <row r="84" spans="1:19" s="18" customFormat="1" ht="33" customHeight="1" x14ac:dyDescent="0.3">
      <c r="A84" s="518"/>
      <c r="B84" s="445"/>
      <c r="C84" s="4" t="s">
        <v>21</v>
      </c>
      <c r="D84" s="4" t="s">
        <v>14</v>
      </c>
      <c r="E84" s="34" t="s">
        <v>212</v>
      </c>
      <c r="F84" s="34" t="s">
        <v>2941</v>
      </c>
      <c r="G84" s="17" t="s">
        <v>2942</v>
      </c>
      <c r="H84" s="207" t="s">
        <v>4966</v>
      </c>
      <c r="I84" s="34" t="s">
        <v>4879</v>
      </c>
      <c r="J84" s="34" t="s">
        <v>4878</v>
      </c>
      <c r="K84" s="133" t="s">
        <v>15</v>
      </c>
      <c r="L84" s="17">
        <v>8585</v>
      </c>
      <c r="M84" s="8">
        <v>2</v>
      </c>
      <c r="N84" s="34"/>
      <c r="O84" s="341" t="s">
        <v>4965</v>
      </c>
      <c r="P84" s="496"/>
    </row>
    <row r="85" spans="1:19" s="18" customFormat="1" ht="33" customHeight="1" x14ac:dyDescent="0.3">
      <c r="A85" s="518"/>
      <c r="B85" s="445"/>
      <c r="C85" s="4" t="s">
        <v>21</v>
      </c>
      <c r="D85" s="4" t="s">
        <v>17</v>
      </c>
      <c r="E85" s="207" t="s">
        <v>4964</v>
      </c>
      <c r="F85" s="310" t="s">
        <v>4694</v>
      </c>
      <c r="G85" s="17" t="s">
        <v>23</v>
      </c>
      <c r="H85" s="207" t="s">
        <v>4967</v>
      </c>
      <c r="I85" s="34" t="s">
        <v>90</v>
      </c>
      <c r="J85" s="207"/>
      <c r="K85" s="133" t="s">
        <v>15</v>
      </c>
      <c r="L85" s="17">
        <v>9080</v>
      </c>
      <c r="M85" s="8">
        <v>1</v>
      </c>
      <c r="N85" s="34"/>
      <c r="O85" s="446" t="s">
        <v>4958</v>
      </c>
      <c r="P85" s="515"/>
      <c r="Q85" s="516"/>
      <c r="R85" s="516"/>
      <c r="S85" s="516"/>
    </row>
    <row r="86" spans="1:19" s="18" customFormat="1" ht="33" customHeight="1" x14ac:dyDescent="0.3">
      <c r="A86" s="518"/>
      <c r="B86" s="439">
        <v>46051</v>
      </c>
      <c r="C86" s="4" t="s">
        <v>21</v>
      </c>
      <c r="D86" s="4" t="s">
        <v>14</v>
      </c>
      <c r="E86" s="207" t="s">
        <v>3477</v>
      </c>
      <c r="F86" s="34">
        <v>222003</v>
      </c>
      <c r="G86" s="17" t="s">
        <v>4872</v>
      </c>
      <c r="H86" s="207" t="s">
        <v>4986</v>
      </c>
      <c r="I86" s="34" t="s">
        <v>4873</v>
      </c>
      <c r="J86" s="34"/>
      <c r="K86" s="133" t="s">
        <v>15</v>
      </c>
      <c r="L86" s="17" t="s">
        <v>4982</v>
      </c>
      <c r="M86" s="8">
        <v>1</v>
      </c>
      <c r="N86" s="454" t="s">
        <v>4771</v>
      </c>
      <c r="O86" s="341" t="s">
        <v>4947</v>
      </c>
    </row>
    <row r="87" spans="1:19" s="18" customFormat="1" ht="33" customHeight="1" x14ac:dyDescent="0.3">
      <c r="A87" s="518"/>
      <c r="B87" s="445"/>
      <c r="C87" s="4" t="s">
        <v>21</v>
      </c>
      <c r="D87" s="4" t="s">
        <v>4883</v>
      </c>
      <c r="E87" s="34" t="s">
        <v>4884</v>
      </c>
      <c r="F87" s="34" t="s">
        <v>4885</v>
      </c>
      <c r="G87" s="17"/>
      <c r="H87" s="207" t="s">
        <v>4987</v>
      </c>
      <c r="I87" s="34"/>
      <c r="J87" s="34" t="s">
        <v>4954</v>
      </c>
      <c r="K87" s="133" t="s">
        <v>4882</v>
      </c>
      <c r="L87" s="17">
        <v>9080</v>
      </c>
      <c r="M87" s="8">
        <v>2</v>
      </c>
      <c r="N87" s="34"/>
      <c r="O87" s="341" t="s">
        <v>4959</v>
      </c>
    </row>
    <row r="88" spans="1:19" s="18" customFormat="1" ht="33" customHeight="1" x14ac:dyDescent="0.3">
      <c r="A88" s="518"/>
      <c r="B88" s="439">
        <v>46052</v>
      </c>
      <c r="C88" s="4" t="s">
        <v>21</v>
      </c>
      <c r="D88" s="4" t="s">
        <v>14</v>
      </c>
      <c r="E88" s="34" t="s">
        <v>4978</v>
      </c>
      <c r="F88" s="34" t="s">
        <v>4843</v>
      </c>
      <c r="G88" s="17" t="s">
        <v>4851</v>
      </c>
      <c r="H88" s="310" t="s">
        <v>5074</v>
      </c>
      <c r="I88" s="34" t="s">
        <v>4844</v>
      </c>
      <c r="J88" s="34" t="s">
        <v>4845</v>
      </c>
      <c r="K88" s="133" t="s">
        <v>4846</v>
      </c>
      <c r="L88" s="17"/>
      <c r="M88" s="8">
        <v>2</v>
      </c>
      <c r="N88" s="34" t="s">
        <v>4849</v>
      </c>
      <c r="O88" s="341" t="s">
        <v>4962</v>
      </c>
    </row>
    <row r="89" spans="1:19" s="18" customFormat="1" ht="33" customHeight="1" x14ac:dyDescent="0.3">
      <c r="A89" s="518"/>
      <c r="B89" s="445"/>
      <c r="C89" s="4" t="s">
        <v>21</v>
      </c>
      <c r="D89" s="4" t="s">
        <v>4883</v>
      </c>
      <c r="E89" s="34" t="s">
        <v>4884</v>
      </c>
      <c r="F89" s="34" t="s">
        <v>4885</v>
      </c>
      <c r="G89" s="17"/>
      <c r="H89" s="207" t="s">
        <v>5004</v>
      </c>
      <c r="I89" s="34"/>
      <c r="J89" s="34" t="s">
        <v>4954</v>
      </c>
      <c r="K89" s="133" t="s">
        <v>4882</v>
      </c>
      <c r="L89" s="17">
        <v>9080</v>
      </c>
      <c r="M89" s="8">
        <v>2</v>
      </c>
      <c r="N89" s="34"/>
      <c r="O89" s="341" t="s">
        <v>4994</v>
      </c>
    </row>
    <row r="90" spans="1:19" s="18" customFormat="1" ht="33" customHeight="1" x14ac:dyDescent="0.3">
      <c r="A90" s="518"/>
      <c r="B90" s="439">
        <v>46053</v>
      </c>
      <c r="C90" s="4"/>
      <c r="D90" s="4"/>
      <c r="E90" s="34"/>
      <c r="F90" s="34"/>
      <c r="G90" s="17"/>
      <c r="H90" s="207"/>
      <c r="I90" s="207"/>
      <c r="J90" s="207"/>
      <c r="K90" s="133"/>
      <c r="L90" s="17"/>
      <c r="M90" s="8"/>
      <c r="N90" s="334" t="s">
        <v>4771</v>
      </c>
      <c r="O90" s="39"/>
    </row>
    <row r="91" spans="1:19" s="18" customFormat="1" ht="33" customHeight="1" x14ac:dyDescent="0.3">
      <c r="A91" s="519"/>
      <c r="B91" s="440"/>
      <c r="C91" s="4"/>
      <c r="D91" s="4"/>
      <c r="E91" s="34"/>
      <c r="F91" s="34"/>
      <c r="G91" s="17"/>
      <c r="H91" s="207"/>
      <c r="I91" s="207"/>
      <c r="J91" s="207"/>
      <c r="K91" s="133"/>
      <c r="L91" s="17"/>
      <c r="M91" s="8"/>
      <c r="N91" s="34"/>
      <c r="O91" s="342"/>
    </row>
    <row r="92" spans="1:19" s="18" customFormat="1" ht="33" customHeight="1" x14ac:dyDescent="0.3">
      <c r="A92" s="345" t="s">
        <v>0</v>
      </c>
      <c r="B92" s="346" t="s">
        <v>1</v>
      </c>
      <c r="C92" s="345" t="s">
        <v>2</v>
      </c>
      <c r="D92" s="345" t="s">
        <v>3</v>
      </c>
      <c r="E92" s="345" t="s">
        <v>4</v>
      </c>
      <c r="F92" s="345" t="s">
        <v>5</v>
      </c>
      <c r="G92" s="345" t="s">
        <v>6</v>
      </c>
      <c r="H92" s="347" t="s">
        <v>7</v>
      </c>
      <c r="I92" s="345" t="s">
        <v>8</v>
      </c>
      <c r="J92" s="345" t="s">
        <v>9</v>
      </c>
      <c r="K92" s="348" t="s">
        <v>10</v>
      </c>
      <c r="L92" s="349" t="s">
        <v>11</v>
      </c>
      <c r="M92" s="345" t="s">
        <v>12</v>
      </c>
      <c r="N92" s="352" t="s">
        <v>13</v>
      </c>
      <c r="O92" s="345" t="s">
        <v>63</v>
      </c>
    </row>
    <row r="93" spans="1:19" s="18" customFormat="1" ht="33" customHeight="1" x14ac:dyDescent="0.3">
      <c r="A93" s="517" t="s">
        <v>4779</v>
      </c>
      <c r="B93" s="439">
        <v>46055</v>
      </c>
      <c r="C93" s="4" t="s">
        <v>21</v>
      </c>
      <c r="D93" s="4" t="s">
        <v>17</v>
      </c>
      <c r="E93" s="6" t="s">
        <v>4559</v>
      </c>
      <c r="F93" s="6">
        <v>1017</v>
      </c>
      <c r="G93" s="296" t="s">
        <v>23</v>
      </c>
      <c r="H93" s="207" t="s">
        <v>4981</v>
      </c>
      <c r="I93" s="207"/>
      <c r="J93" s="207" t="s">
        <v>5005</v>
      </c>
      <c r="K93" s="133" t="s">
        <v>15</v>
      </c>
      <c r="L93" s="17">
        <v>8585</v>
      </c>
      <c r="M93" s="8">
        <v>1</v>
      </c>
      <c r="N93" s="34" t="s">
        <v>4886</v>
      </c>
      <c r="O93" s="444" t="s">
        <v>4562</v>
      </c>
      <c r="P93" s="515" t="s">
        <v>4685</v>
      </c>
      <c r="Q93" s="516"/>
      <c r="R93" s="516"/>
      <c r="S93" s="516"/>
    </row>
    <row r="94" spans="1:19" s="18" customFormat="1" ht="33" customHeight="1" x14ac:dyDescent="0.3">
      <c r="A94" s="518"/>
      <c r="B94" s="445"/>
      <c r="C94" s="4" t="s">
        <v>21</v>
      </c>
      <c r="D94" s="4" t="s">
        <v>14</v>
      </c>
      <c r="E94" s="334" t="s">
        <v>4998</v>
      </c>
      <c r="F94" s="207" t="s">
        <v>4984</v>
      </c>
      <c r="G94" s="17" t="s">
        <v>4985</v>
      </c>
      <c r="H94" s="207" t="s">
        <v>5080</v>
      </c>
      <c r="I94" s="34" t="s">
        <v>4983</v>
      </c>
      <c r="J94" s="34"/>
      <c r="K94" s="133" t="s">
        <v>15</v>
      </c>
      <c r="L94" s="17"/>
      <c r="M94" s="8">
        <v>1</v>
      </c>
      <c r="N94" s="34" t="s">
        <v>5059</v>
      </c>
      <c r="O94" s="32" t="s">
        <v>4997</v>
      </c>
    </row>
    <row r="95" spans="1:19" s="18" customFormat="1" ht="33" customHeight="1" x14ac:dyDescent="0.3">
      <c r="A95" s="518"/>
      <c r="B95" s="439">
        <v>46056</v>
      </c>
      <c r="C95" s="4" t="s">
        <v>21</v>
      </c>
      <c r="D95" s="4" t="s">
        <v>17</v>
      </c>
      <c r="E95" s="6" t="s">
        <v>4559</v>
      </c>
      <c r="F95" s="6">
        <v>1017</v>
      </c>
      <c r="G95" s="296" t="s">
        <v>23</v>
      </c>
      <c r="H95" s="207" t="s">
        <v>5100</v>
      </c>
      <c r="I95" s="207"/>
      <c r="J95" s="207" t="s">
        <v>5005</v>
      </c>
      <c r="K95" s="133" t="s">
        <v>15</v>
      </c>
      <c r="L95" s="17">
        <v>8585</v>
      </c>
      <c r="M95" s="8">
        <v>1</v>
      </c>
      <c r="N95" s="34" t="s">
        <v>5093</v>
      </c>
      <c r="O95" s="444" t="s">
        <v>4996</v>
      </c>
    </row>
    <row r="96" spans="1:19" s="18" customFormat="1" ht="33" customHeight="1" x14ac:dyDescent="0.3">
      <c r="A96" s="518"/>
      <c r="B96" s="445"/>
      <c r="C96" s="4" t="s">
        <v>21</v>
      </c>
      <c r="D96" s="4" t="s">
        <v>14</v>
      </c>
      <c r="E96" s="34" t="s">
        <v>1902</v>
      </c>
      <c r="F96" s="34" t="s">
        <v>3826</v>
      </c>
      <c r="G96" s="17"/>
      <c r="H96" s="207" t="s">
        <v>5097</v>
      </c>
      <c r="I96" s="207" t="s">
        <v>4993</v>
      </c>
      <c r="J96" s="207"/>
      <c r="K96" s="133" t="s">
        <v>15</v>
      </c>
      <c r="L96" s="17">
        <v>9080</v>
      </c>
      <c r="M96" s="8">
        <v>1</v>
      </c>
      <c r="N96" s="454"/>
      <c r="O96" s="444" t="s">
        <v>4995</v>
      </c>
    </row>
    <row r="97" spans="1:16" s="18" customFormat="1" ht="33" customHeight="1" x14ac:dyDescent="0.3">
      <c r="A97" s="518"/>
      <c r="B97" s="445"/>
      <c r="C97" s="4" t="s">
        <v>21</v>
      </c>
      <c r="D97" s="4" t="s">
        <v>14</v>
      </c>
      <c r="E97" s="207" t="s">
        <v>1796</v>
      </c>
      <c r="F97" s="207" t="s">
        <v>2145</v>
      </c>
      <c r="G97" s="17" t="s">
        <v>144</v>
      </c>
      <c r="H97" s="207" t="s">
        <v>5000</v>
      </c>
      <c r="I97" s="207" t="s">
        <v>90</v>
      </c>
      <c r="J97" s="207"/>
      <c r="K97" s="133" t="s">
        <v>15</v>
      </c>
      <c r="L97" s="17"/>
      <c r="M97" s="8">
        <v>1</v>
      </c>
      <c r="N97" s="334"/>
      <c r="O97" s="464" t="s">
        <v>4957</v>
      </c>
    </row>
    <row r="98" spans="1:16" s="18" customFormat="1" ht="33" customHeight="1" x14ac:dyDescent="0.3">
      <c r="A98" s="518"/>
      <c r="B98" s="445"/>
      <c r="C98" s="4" t="s">
        <v>21</v>
      </c>
      <c r="D98" s="4" t="s">
        <v>17</v>
      </c>
      <c r="E98" s="34" t="s">
        <v>3636</v>
      </c>
      <c r="F98" s="207">
        <v>3006</v>
      </c>
      <c r="G98" s="17" t="s">
        <v>23</v>
      </c>
      <c r="H98" s="334" t="s">
        <v>5098</v>
      </c>
      <c r="I98" s="207"/>
      <c r="J98" s="34" t="s">
        <v>5094</v>
      </c>
      <c r="K98" s="133" t="s">
        <v>15</v>
      </c>
      <c r="L98" s="17"/>
      <c r="M98" s="8">
        <v>2</v>
      </c>
      <c r="N98" s="34"/>
      <c r="O98" s="32" t="s">
        <v>5082</v>
      </c>
    </row>
    <row r="99" spans="1:16" s="18" customFormat="1" ht="33" customHeight="1" x14ac:dyDescent="0.3">
      <c r="A99" s="518"/>
      <c r="B99" s="445"/>
      <c r="C99" s="4" t="s">
        <v>21</v>
      </c>
      <c r="D99" s="4" t="s">
        <v>14</v>
      </c>
      <c r="E99" s="207" t="s">
        <v>1796</v>
      </c>
      <c r="F99" s="207" t="s">
        <v>5085</v>
      </c>
      <c r="G99" s="17" t="s">
        <v>5078</v>
      </c>
      <c r="H99" s="334" t="s">
        <v>5101</v>
      </c>
      <c r="I99" s="207" t="s">
        <v>90</v>
      </c>
      <c r="J99" s="34" t="s">
        <v>5096</v>
      </c>
      <c r="K99" s="133" t="s">
        <v>15</v>
      </c>
      <c r="L99" s="17"/>
      <c r="M99" s="8">
        <v>2</v>
      </c>
      <c r="N99" s="34"/>
      <c r="O99" s="32" t="s">
        <v>5086</v>
      </c>
      <c r="P99" s="467" t="s">
        <v>5079</v>
      </c>
    </row>
    <row r="100" spans="1:16" s="18" customFormat="1" ht="33" customHeight="1" x14ac:dyDescent="0.3">
      <c r="A100" s="518"/>
      <c r="B100" s="445"/>
      <c r="C100" s="4" t="s">
        <v>21</v>
      </c>
      <c r="D100" s="4" t="s">
        <v>14</v>
      </c>
      <c r="E100" s="207" t="s">
        <v>5092</v>
      </c>
      <c r="F100" s="207" t="s">
        <v>5095</v>
      </c>
      <c r="G100" s="17" t="s">
        <v>151</v>
      </c>
      <c r="H100" s="334" t="s">
        <v>5099</v>
      </c>
      <c r="I100" s="34"/>
      <c r="J100" s="34" t="s">
        <v>1882</v>
      </c>
      <c r="K100" s="133" t="s">
        <v>15</v>
      </c>
      <c r="L100" s="17"/>
      <c r="M100" s="8">
        <v>2</v>
      </c>
      <c r="N100" s="34"/>
      <c r="O100" s="32" t="s">
        <v>5084</v>
      </c>
    </row>
    <row r="101" spans="1:16" s="18" customFormat="1" ht="33" customHeight="1" x14ac:dyDescent="0.3">
      <c r="A101" s="518"/>
      <c r="B101" s="439">
        <v>46057</v>
      </c>
      <c r="C101" s="4" t="s">
        <v>21</v>
      </c>
      <c r="D101" s="4" t="s">
        <v>14</v>
      </c>
      <c r="E101" s="34" t="s">
        <v>5091</v>
      </c>
      <c r="F101" s="34" t="s">
        <v>2839</v>
      </c>
      <c r="G101" s="17" t="s">
        <v>5090</v>
      </c>
      <c r="H101" s="207" t="s">
        <v>5105</v>
      </c>
      <c r="I101" s="34" t="s">
        <v>5104</v>
      </c>
      <c r="J101" s="34" t="s">
        <v>3160</v>
      </c>
      <c r="K101" s="133" t="s">
        <v>182</v>
      </c>
      <c r="L101" s="17"/>
      <c r="M101" s="8">
        <v>1</v>
      </c>
      <c r="N101" s="34"/>
      <c r="O101" s="444" t="s">
        <v>4999</v>
      </c>
    </row>
    <row r="102" spans="1:16" s="18" customFormat="1" ht="33" customHeight="1" x14ac:dyDescent="0.3">
      <c r="A102" s="518"/>
      <c r="B102" s="445"/>
      <c r="C102" s="4" t="s">
        <v>21</v>
      </c>
      <c r="D102" s="4" t="s">
        <v>17</v>
      </c>
      <c r="E102" s="34" t="s">
        <v>3636</v>
      </c>
      <c r="F102" s="207">
        <v>3006</v>
      </c>
      <c r="G102" s="17" t="s">
        <v>23</v>
      </c>
      <c r="H102" s="334" t="s">
        <v>5026</v>
      </c>
      <c r="I102" s="34"/>
      <c r="J102" s="34" t="s">
        <v>5028</v>
      </c>
      <c r="K102" s="133" t="s">
        <v>15</v>
      </c>
      <c r="L102" s="17"/>
      <c r="M102" s="8">
        <v>2</v>
      </c>
      <c r="N102" s="34"/>
      <c r="O102" s="32" t="s">
        <v>5042</v>
      </c>
    </row>
    <row r="103" spans="1:16" s="18" customFormat="1" ht="33" customHeight="1" x14ac:dyDescent="0.3">
      <c r="A103" s="518"/>
      <c r="B103" s="445"/>
      <c r="C103" s="4" t="s">
        <v>21</v>
      </c>
      <c r="D103" s="4" t="s">
        <v>14</v>
      </c>
      <c r="E103" s="34" t="s">
        <v>5106</v>
      </c>
      <c r="F103" s="207">
        <v>222003</v>
      </c>
      <c r="G103" s="17" t="s">
        <v>5107</v>
      </c>
      <c r="H103" s="334" t="s">
        <v>5109</v>
      </c>
      <c r="I103" s="34"/>
      <c r="J103" s="34" t="s">
        <v>5108</v>
      </c>
      <c r="K103" s="133" t="s">
        <v>15</v>
      </c>
      <c r="L103" s="17"/>
      <c r="M103" s="8">
        <v>1</v>
      </c>
      <c r="N103" s="34"/>
      <c r="O103" s="32" t="s">
        <v>5113</v>
      </c>
    </row>
    <row r="104" spans="1:16" s="18" customFormat="1" ht="33" customHeight="1" x14ac:dyDescent="0.3">
      <c r="A104" s="518"/>
      <c r="B104" s="439">
        <v>46058</v>
      </c>
      <c r="C104" s="4" t="s">
        <v>21</v>
      </c>
      <c r="D104" s="4" t="s">
        <v>14</v>
      </c>
      <c r="E104" s="34" t="s">
        <v>4978</v>
      </c>
      <c r="F104" s="34" t="s">
        <v>2839</v>
      </c>
      <c r="G104" s="17" t="s">
        <v>5089</v>
      </c>
      <c r="H104" s="334" t="s">
        <v>5118</v>
      </c>
      <c r="I104" s="34"/>
      <c r="J104" s="34" t="s">
        <v>4963</v>
      </c>
      <c r="K104" s="133" t="s">
        <v>32</v>
      </c>
      <c r="L104" s="17"/>
      <c r="M104" s="8">
        <v>2</v>
      </c>
      <c r="N104" s="34" t="s">
        <v>5121</v>
      </c>
      <c r="O104" s="444" t="s">
        <v>5083</v>
      </c>
    </row>
    <row r="105" spans="1:16" s="18" customFormat="1" ht="33" customHeight="1" x14ac:dyDescent="0.3">
      <c r="A105" s="518"/>
      <c r="B105" s="445"/>
      <c r="C105" s="4" t="s">
        <v>21</v>
      </c>
      <c r="D105" s="4" t="s">
        <v>14</v>
      </c>
      <c r="E105" s="34" t="s">
        <v>4978</v>
      </c>
      <c r="F105" s="34" t="s">
        <v>2839</v>
      </c>
      <c r="G105" s="17" t="s">
        <v>5089</v>
      </c>
      <c r="H105" s="207" t="s">
        <v>5119</v>
      </c>
      <c r="I105" s="34"/>
      <c r="J105" s="34" t="s">
        <v>5115</v>
      </c>
      <c r="K105" s="133" t="s">
        <v>32</v>
      </c>
      <c r="L105" s="17">
        <v>9080</v>
      </c>
      <c r="M105" s="8">
        <v>2</v>
      </c>
      <c r="N105" s="34"/>
      <c r="O105" s="446" t="s">
        <v>5116</v>
      </c>
    </row>
    <row r="106" spans="1:16" s="18" customFormat="1" ht="33" customHeight="1" x14ac:dyDescent="0.3">
      <c r="A106" s="518"/>
      <c r="B106" s="445"/>
      <c r="C106" s="4" t="s">
        <v>21</v>
      </c>
      <c r="D106" s="4" t="s">
        <v>14</v>
      </c>
      <c r="E106" s="34" t="s">
        <v>5103</v>
      </c>
      <c r="F106" s="207" t="s">
        <v>3078</v>
      </c>
      <c r="G106" s="17" t="s">
        <v>1387</v>
      </c>
      <c r="H106" s="334" t="s">
        <v>4747</v>
      </c>
      <c r="I106" s="34" t="s">
        <v>203</v>
      </c>
      <c r="J106" s="34"/>
      <c r="K106" s="133" t="s">
        <v>15</v>
      </c>
      <c r="L106" s="17"/>
      <c r="M106" s="8">
        <v>1</v>
      </c>
      <c r="N106" s="34"/>
      <c r="O106" s="32"/>
    </row>
    <row r="107" spans="1:16" s="18" customFormat="1" ht="33" customHeight="1" x14ac:dyDescent="0.3">
      <c r="A107" s="518"/>
      <c r="B107" s="439">
        <v>46059</v>
      </c>
      <c r="C107" s="4" t="s">
        <v>21</v>
      </c>
      <c r="D107" s="4" t="s">
        <v>14</v>
      </c>
      <c r="E107" s="34" t="s">
        <v>4978</v>
      </c>
      <c r="F107" s="34" t="s">
        <v>2839</v>
      </c>
      <c r="G107" s="17" t="s">
        <v>1395</v>
      </c>
      <c r="H107" s="334" t="s">
        <v>5126</v>
      </c>
      <c r="I107" s="34"/>
      <c r="J107" s="34" t="s">
        <v>5123</v>
      </c>
      <c r="K107" s="133" t="s">
        <v>32</v>
      </c>
      <c r="L107" s="17"/>
      <c r="M107" s="8">
        <v>1</v>
      </c>
      <c r="N107" s="207" t="s">
        <v>5127</v>
      </c>
      <c r="O107" s="444" t="s">
        <v>5125</v>
      </c>
    </row>
    <row r="108" spans="1:16" s="18" customFormat="1" ht="33" customHeight="1" x14ac:dyDescent="0.3">
      <c r="A108" s="518"/>
      <c r="B108" s="445"/>
      <c r="C108" s="4"/>
      <c r="D108" s="4"/>
      <c r="E108" s="34"/>
      <c r="F108" s="34"/>
      <c r="G108" s="17"/>
      <c r="H108" s="207"/>
      <c r="I108" s="34"/>
      <c r="J108" s="34"/>
      <c r="K108" s="133"/>
      <c r="L108" s="17"/>
      <c r="M108" s="8"/>
      <c r="N108" s="34"/>
      <c r="O108" s="341"/>
    </row>
    <row r="109" spans="1:16" s="18" customFormat="1" ht="33" customHeight="1" x14ac:dyDescent="0.3">
      <c r="A109" s="518"/>
      <c r="B109" s="439">
        <v>46060</v>
      </c>
      <c r="C109" s="4" t="s">
        <v>21</v>
      </c>
      <c r="D109" s="4" t="s">
        <v>14</v>
      </c>
      <c r="E109" s="310" t="s">
        <v>108</v>
      </c>
      <c r="F109" s="34" t="s">
        <v>5076</v>
      </c>
      <c r="G109" s="17" t="s">
        <v>5088</v>
      </c>
      <c r="H109" s="207" t="s">
        <v>5087</v>
      </c>
      <c r="I109" s="34"/>
      <c r="J109" s="34" t="s">
        <v>5075</v>
      </c>
      <c r="K109" s="133" t="s">
        <v>15</v>
      </c>
      <c r="L109" s="17"/>
      <c r="M109" s="8">
        <v>3</v>
      </c>
      <c r="N109" s="34"/>
      <c r="O109" s="32" t="s">
        <v>5073</v>
      </c>
    </row>
    <row r="110" spans="1:16" s="18" customFormat="1" ht="33" customHeight="1" x14ac:dyDescent="0.3">
      <c r="A110" s="519"/>
      <c r="B110" s="440"/>
      <c r="C110" s="4"/>
      <c r="D110" s="4"/>
      <c r="E110" s="34"/>
      <c r="F110" s="34"/>
      <c r="G110" s="17"/>
      <c r="H110" s="207"/>
      <c r="I110" s="207"/>
      <c r="J110" s="207"/>
      <c r="K110" s="133"/>
      <c r="L110" s="17"/>
      <c r="M110" s="8"/>
      <c r="N110" s="34"/>
      <c r="O110" s="342"/>
    </row>
    <row r="111" spans="1:16" s="18" customFormat="1" ht="33" customHeight="1" x14ac:dyDescent="0.3">
      <c r="A111" s="345" t="s">
        <v>0</v>
      </c>
      <c r="B111" s="346" t="s">
        <v>1</v>
      </c>
      <c r="C111" s="345" t="s">
        <v>2</v>
      </c>
      <c r="D111" s="345" t="s">
        <v>3</v>
      </c>
      <c r="E111" s="345" t="s">
        <v>4</v>
      </c>
      <c r="F111" s="345" t="s">
        <v>5</v>
      </c>
      <c r="G111" s="345" t="s">
        <v>6</v>
      </c>
      <c r="H111" s="347" t="s">
        <v>7</v>
      </c>
      <c r="I111" s="345" t="s">
        <v>8</v>
      </c>
      <c r="J111" s="345" t="s">
        <v>9</v>
      </c>
      <c r="K111" s="348" t="s">
        <v>10</v>
      </c>
      <c r="L111" s="349" t="s">
        <v>11</v>
      </c>
      <c r="M111" s="345" t="s">
        <v>12</v>
      </c>
      <c r="N111" s="352" t="s">
        <v>13</v>
      </c>
      <c r="O111" s="345" t="s">
        <v>63</v>
      </c>
    </row>
    <row r="112" spans="1:16" s="18" customFormat="1" ht="33" customHeight="1" x14ac:dyDescent="0.3">
      <c r="A112" s="517" t="s">
        <v>3349</v>
      </c>
      <c r="B112" s="439">
        <v>46062</v>
      </c>
      <c r="C112" s="4" t="s">
        <v>312</v>
      </c>
      <c r="D112" s="4" t="s">
        <v>321</v>
      </c>
      <c r="E112" s="310" t="s">
        <v>338</v>
      </c>
      <c r="F112" s="34" t="s">
        <v>5171</v>
      </c>
      <c r="G112" s="17" t="s">
        <v>5172</v>
      </c>
      <c r="H112" s="207" t="s">
        <v>5173</v>
      </c>
      <c r="I112" s="34" t="s">
        <v>704</v>
      </c>
      <c r="J112" s="207" t="s">
        <v>5174</v>
      </c>
      <c r="K112" s="133" t="s">
        <v>310</v>
      </c>
      <c r="L112" s="17">
        <v>9080</v>
      </c>
      <c r="M112" s="8">
        <v>6</v>
      </c>
      <c r="N112" s="34"/>
      <c r="O112" s="32" t="s">
        <v>5175</v>
      </c>
    </row>
    <row r="113" spans="1:16" s="18" customFormat="1" ht="33" customHeight="1" x14ac:dyDescent="0.3">
      <c r="A113" s="518"/>
      <c r="B113" s="445"/>
      <c r="C113" s="4"/>
      <c r="D113" s="4"/>
      <c r="E113" s="207"/>
      <c r="F113" s="34"/>
      <c r="G113" s="17"/>
      <c r="H113" s="334"/>
      <c r="I113" s="34"/>
      <c r="J113" s="207"/>
      <c r="K113" s="133"/>
      <c r="L113" s="17"/>
      <c r="M113" s="8"/>
      <c r="N113" s="34"/>
      <c r="O113" s="342"/>
    </row>
    <row r="114" spans="1:16" s="18" customFormat="1" ht="33" customHeight="1" x14ac:dyDescent="0.3">
      <c r="A114" s="518"/>
      <c r="B114" s="439">
        <v>46063</v>
      </c>
      <c r="C114" s="4" t="s">
        <v>312</v>
      </c>
      <c r="D114" s="4" t="s">
        <v>321</v>
      </c>
      <c r="E114" s="334" t="s">
        <v>692</v>
      </c>
      <c r="F114" s="207" t="s">
        <v>3148</v>
      </c>
      <c r="G114" s="17" t="s">
        <v>3255</v>
      </c>
      <c r="H114" s="207" t="s">
        <v>5176</v>
      </c>
      <c r="I114" s="34" t="s">
        <v>5177</v>
      </c>
      <c r="J114" s="34" t="s">
        <v>5178</v>
      </c>
      <c r="K114" s="133" t="s">
        <v>310</v>
      </c>
      <c r="L114" s="17"/>
      <c r="M114" s="8">
        <v>3</v>
      </c>
      <c r="N114" s="34" t="s">
        <v>640</v>
      </c>
      <c r="O114" s="341" t="s">
        <v>5179</v>
      </c>
    </row>
    <row r="115" spans="1:16" s="18" customFormat="1" ht="33" customHeight="1" x14ac:dyDescent="0.3">
      <c r="A115" s="518"/>
      <c r="B115" s="445"/>
      <c r="C115" s="63" t="s">
        <v>312</v>
      </c>
      <c r="D115" s="63" t="s">
        <v>321</v>
      </c>
      <c r="E115" s="508" t="s">
        <v>5180</v>
      </c>
      <c r="F115" s="329">
        <v>222003</v>
      </c>
      <c r="G115" s="211" t="s">
        <v>5181</v>
      </c>
      <c r="H115" s="329" t="s">
        <v>5182</v>
      </c>
      <c r="I115" s="330"/>
      <c r="J115" s="330" t="s">
        <v>5183</v>
      </c>
      <c r="K115" s="328" t="s">
        <v>310</v>
      </c>
      <c r="L115" s="211"/>
      <c r="M115" s="196">
        <v>1</v>
      </c>
      <c r="N115" s="34" t="s">
        <v>5184</v>
      </c>
      <c r="O115" s="488" t="s">
        <v>5185</v>
      </c>
    </row>
    <row r="116" spans="1:16" s="18" customFormat="1" ht="33" customHeight="1" x14ac:dyDescent="0.3">
      <c r="A116" s="518"/>
      <c r="B116" s="445"/>
      <c r="C116" s="4" t="s">
        <v>312</v>
      </c>
      <c r="D116" s="4" t="s">
        <v>321</v>
      </c>
      <c r="E116" s="310" t="s">
        <v>338</v>
      </c>
      <c r="F116" s="34" t="s">
        <v>355</v>
      </c>
      <c r="G116" s="17" t="s">
        <v>3255</v>
      </c>
      <c r="H116" s="207" t="s">
        <v>5186</v>
      </c>
      <c r="I116" s="34"/>
      <c r="J116" s="207" t="s">
        <v>3278</v>
      </c>
      <c r="K116" s="133" t="s">
        <v>310</v>
      </c>
      <c r="L116" s="17"/>
      <c r="M116" s="8">
        <v>1</v>
      </c>
      <c r="N116" s="34"/>
      <c r="O116" s="32" t="s">
        <v>5175</v>
      </c>
    </row>
    <row r="117" spans="1:16" s="18" customFormat="1" ht="33" customHeight="1" x14ac:dyDescent="0.3">
      <c r="A117" s="518"/>
      <c r="B117" s="439">
        <v>46064</v>
      </c>
      <c r="C117" s="4" t="s">
        <v>312</v>
      </c>
      <c r="D117" s="4" t="s">
        <v>321</v>
      </c>
      <c r="E117" s="310" t="s">
        <v>338</v>
      </c>
      <c r="F117" s="34" t="s">
        <v>1204</v>
      </c>
      <c r="G117" s="17" t="s">
        <v>3255</v>
      </c>
      <c r="H117" s="207" t="s">
        <v>5187</v>
      </c>
      <c r="I117" s="34" t="s">
        <v>704</v>
      </c>
      <c r="J117" s="207" t="s">
        <v>5174</v>
      </c>
      <c r="K117" s="133" t="s">
        <v>310</v>
      </c>
      <c r="L117" s="17">
        <v>9080</v>
      </c>
      <c r="M117" s="8">
        <v>6</v>
      </c>
      <c r="N117" s="34"/>
      <c r="O117" s="32" t="s">
        <v>5175</v>
      </c>
    </row>
    <row r="118" spans="1:16" s="18" customFormat="1" ht="33" customHeight="1" x14ac:dyDescent="0.3">
      <c r="A118" s="518"/>
      <c r="B118" s="445"/>
      <c r="C118" s="4" t="s">
        <v>312</v>
      </c>
      <c r="D118" s="4" t="s">
        <v>677</v>
      </c>
      <c r="E118" s="207" t="s">
        <v>722</v>
      </c>
      <c r="F118" s="34">
        <v>7060</v>
      </c>
      <c r="G118" s="17" t="s">
        <v>5188</v>
      </c>
      <c r="H118" s="334" t="s">
        <v>5189</v>
      </c>
      <c r="I118" s="34" t="s">
        <v>640</v>
      </c>
      <c r="J118" s="207" t="s">
        <v>5183</v>
      </c>
      <c r="K118" s="133" t="s">
        <v>310</v>
      </c>
      <c r="L118" s="17"/>
      <c r="M118" s="8">
        <v>2</v>
      </c>
      <c r="N118" s="34"/>
      <c r="O118" s="446" t="s">
        <v>5190</v>
      </c>
    </row>
    <row r="119" spans="1:16" s="18" customFormat="1" ht="33" customHeight="1" x14ac:dyDescent="0.3">
      <c r="A119" s="518"/>
      <c r="B119" s="439">
        <v>46065</v>
      </c>
      <c r="C119" s="4" t="s">
        <v>312</v>
      </c>
      <c r="D119" s="4" t="s">
        <v>321</v>
      </c>
      <c r="E119" s="310" t="s">
        <v>338</v>
      </c>
      <c r="F119" s="34" t="s">
        <v>1204</v>
      </c>
      <c r="G119" s="17" t="s">
        <v>3255</v>
      </c>
      <c r="H119" s="207" t="s">
        <v>5187</v>
      </c>
      <c r="I119" s="34" t="s">
        <v>704</v>
      </c>
      <c r="J119" s="207" t="s">
        <v>5174</v>
      </c>
      <c r="K119" s="133" t="s">
        <v>310</v>
      </c>
      <c r="L119" s="17">
        <v>9080</v>
      </c>
      <c r="M119" s="8">
        <v>6</v>
      </c>
      <c r="N119" s="34" t="s">
        <v>5191</v>
      </c>
      <c r="O119" s="32" t="s">
        <v>5175</v>
      </c>
    </row>
    <row r="120" spans="1:16" s="18" customFormat="1" ht="33" customHeight="1" x14ac:dyDescent="0.3">
      <c r="A120" s="518"/>
      <c r="B120" s="445"/>
      <c r="C120" s="4"/>
      <c r="D120" s="4"/>
      <c r="E120" s="310"/>
      <c r="F120" s="34"/>
      <c r="G120" s="17"/>
      <c r="H120" s="207"/>
      <c r="I120" s="34"/>
      <c r="J120" s="34"/>
      <c r="K120" s="133"/>
      <c r="L120" s="17"/>
      <c r="M120" s="8"/>
      <c r="N120" s="34"/>
      <c r="O120" s="342"/>
    </row>
    <row r="121" spans="1:16" s="18" customFormat="1" ht="33" customHeight="1" x14ac:dyDescent="0.3">
      <c r="A121" s="518"/>
      <c r="B121" s="439">
        <v>46066</v>
      </c>
      <c r="C121" s="4" t="s">
        <v>312</v>
      </c>
      <c r="D121" s="4" t="s">
        <v>321</v>
      </c>
      <c r="E121" s="310" t="s">
        <v>338</v>
      </c>
      <c r="F121" s="34" t="s">
        <v>5171</v>
      </c>
      <c r="G121" s="17" t="s">
        <v>5172</v>
      </c>
      <c r="H121" s="207" t="s">
        <v>5192</v>
      </c>
      <c r="I121" s="34" t="s">
        <v>704</v>
      </c>
      <c r="J121" s="207" t="s">
        <v>5174</v>
      </c>
      <c r="K121" s="133" t="s">
        <v>310</v>
      </c>
      <c r="L121" s="17">
        <v>9080</v>
      </c>
      <c r="M121" s="8">
        <v>6</v>
      </c>
      <c r="N121" s="34" t="s">
        <v>1539</v>
      </c>
      <c r="O121" s="458" t="s">
        <v>5175</v>
      </c>
    </row>
    <row r="122" spans="1:16" s="18" customFormat="1" ht="33" customHeight="1" x14ac:dyDescent="0.3">
      <c r="A122" s="518"/>
      <c r="B122" s="445"/>
      <c r="C122" s="4" t="s">
        <v>312</v>
      </c>
      <c r="D122" s="4" t="s">
        <v>321</v>
      </c>
      <c r="E122" s="334" t="s">
        <v>722</v>
      </c>
      <c r="F122" s="34" t="s">
        <v>5193</v>
      </c>
      <c r="G122" s="17" t="s">
        <v>3142</v>
      </c>
      <c r="H122" s="334" t="s">
        <v>5194</v>
      </c>
      <c r="I122" s="34" t="s">
        <v>640</v>
      </c>
      <c r="J122" s="34" t="s">
        <v>3191</v>
      </c>
      <c r="K122" s="133" t="s">
        <v>310</v>
      </c>
      <c r="L122" s="506" t="s">
        <v>5195</v>
      </c>
      <c r="M122" s="8">
        <v>2</v>
      </c>
      <c r="N122" s="34"/>
      <c r="O122" s="461" t="s">
        <v>5196</v>
      </c>
      <c r="P122" s="450" t="s">
        <v>5170</v>
      </c>
    </row>
    <row r="123" spans="1:16" s="18" customFormat="1" ht="33" customHeight="1" x14ac:dyDescent="0.3">
      <c r="A123" s="518"/>
      <c r="B123" s="439">
        <v>46067</v>
      </c>
      <c r="C123" s="4"/>
      <c r="D123" s="4"/>
      <c r="E123" s="34"/>
      <c r="F123" s="34"/>
      <c r="G123" s="17"/>
      <c r="H123" s="207"/>
      <c r="I123" s="207"/>
      <c r="J123" s="207"/>
      <c r="K123" s="133"/>
      <c r="L123" s="17"/>
      <c r="M123" s="8"/>
      <c r="N123" s="34" t="s">
        <v>5197</v>
      </c>
      <c r="O123" s="342"/>
    </row>
    <row r="124" spans="1:16" s="18" customFormat="1" ht="33" customHeight="1" x14ac:dyDescent="0.3">
      <c r="A124" s="519"/>
      <c r="B124" s="440"/>
      <c r="C124" s="4"/>
      <c r="D124" s="4"/>
      <c r="E124" s="34"/>
      <c r="F124" s="34"/>
      <c r="G124" s="17"/>
      <c r="H124" s="207"/>
      <c r="I124" s="207"/>
      <c r="J124" s="207"/>
      <c r="K124" s="133"/>
      <c r="L124" s="17"/>
      <c r="M124" s="8"/>
      <c r="N124" s="17"/>
      <c r="O124" s="17"/>
    </row>
    <row r="125" spans="1:16" s="18" customFormat="1" ht="33" customHeight="1" x14ac:dyDescent="0.3">
      <c r="A125" s="345" t="s">
        <v>0</v>
      </c>
      <c r="B125" s="346" t="s">
        <v>1</v>
      </c>
      <c r="C125" s="345" t="s">
        <v>2</v>
      </c>
      <c r="D125" s="345" t="s">
        <v>3</v>
      </c>
      <c r="E125" s="345" t="s">
        <v>4</v>
      </c>
      <c r="F125" s="345" t="s">
        <v>5</v>
      </c>
      <c r="G125" s="345" t="s">
        <v>6</v>
      </c>
      <c r="H125" s="347" t="s">
        <v>7</v>
      </c>
      <c r="I125" s="345" t="s">
        <v>8</v>
      </c>
      <c r="J125" s="345" t="s">
        <v>9</v>
      </c>
      <c r="K125" s="348" t="s">
        <v>10</v>
      </c>
      <c r="L125" s="349" t="s">
        <v>11</v>
      </c>
      <c r="M125" s="345" t="s">
        <v>12</v>
      </c>
      <c r="N125" s="352" t="s">
        <v>13</v>
      </c>
      <c r="O125" s="345" t="s">
        <v>63</v>
      </c>
    </row>
    <row r="126" spans="1:16" s="18" customFormat="1" ht="33" customHeight="1" x14ac:dyDescent="0.3">
      <c r="A126" s="517" t="s">
        <v>5207</v>
      </c>
      <c r="B126" s="439">
        <v>46069</v>
      </c>
      <c r="C126" s="4"/>
      <c r="D126" s="4"/>
      <c r="E126" s="310"/>
      <c r="F126" s="511"/>
      <c r="G126" s="17"/>
      <c r="H126" s="468" t="s">
        <v>5198</v>
      </c>
      <c r="I126" s="511"/>
      <c r="J126" s="511"/>
      <c r="K126" s="133"/>
      <c r="L126" s="17"/>
      <c r="M126" s="8"/>
      <c r="N126" s="511"/>
      <c r="O126" s="32"/>
    </row>
    <row r="127" spans="1:16" s="18" customFormat="1" ht="33" customHeight="1" x14ac:dyDescent="0.3">
      <c r="A127" s="518"/>
      <c r="B127" s="445"/>
      <c r="C127" s="4"/>
      <c r="D127" s="4"/>
      <c r="E127" s="310"/>
      <c r="F127" s="511"/>
      <c r="G127" s="17"/>
      <c r="H127" s="468"/>
      <c r="I127" s="511"/>
      <c r="J127" s="511"/>
      <c r="K127" s="133"/>
      <c r="L127" s="17"/>
      <c r="M127" s="8"/>
      <c r="N127" s="511"/>
      <c r="O127" s="32"/>
    </row>
    <row r="128" spans="1:16" s="18" customFormat="1" ht="33" customHeight="1" x14ac:dyDescent="0.3">
      <c r="A128" s="518"/>
      <c r="B128" s="439">
        <v>46070</v>
      </c>
      <c r="C128" s="4"/>
      <c r="D128" s="4"/>
      <c r="E128" s="511"/>
      <c r="F128" s="511"/>
      <c r="G128" s="17"/>
      <c r="H128" s="468" t="s">
        <v>5198</v>
      </c>
      <c r="I128" s="511"/>
      <c r="J128" s="513"/>
      <c r="K128" s="133"/>
      <c r="L128" s="17"/>
      <c r="M128" s="8"/>
      <c r="N128" s="512"/>
      <c r="O128" s="444"/>
    </row>
    <row r="129" spans="1:16" s="18" customFormat="1" ht="33" customHeight="1" x14ac:dyDescent="0.3">
      <c r="A129" s="518"/>
      <c r="B129" s="445"/>
      <c r="C129" s="4"/>
      <c r="D129" s="4"/>
      <c r="E129" s="511"/>
      <c r="F129" s="511"/>
      <c r="G129" s="17"/>
      <c r="H129" s="468"/>
      <c r="I129" s="511"/>
      <c r="J129" s="513"/>
      <c r="K129" s="133"/>
      <c r="L129" s="17"/>
      <c r="M129" s="8"/>
      <c r="N129" s="512"/>
      <c r="O129" s="444"/>
    </row>
    <row r="130" spans="1:16" s="18" customFormat="1" ht="33" customHeight="1" x14ac:dyDescent="0.3">
      <c r="A130" s="518"/>
      <c r="B130" s="439">
        <v>46071</v>
      </c>
      <c r="C130" s="4"/>
      <c r="D130" s="4"/>
      <c r="E130" s="511"/>
      <c r="F130" s="511"/>
      <c r="G130" s="17"/>
      <c r="H130" s="468" t="s">
        <v>5208</v>
      </c>
      <c r="I130" s="511"/>
      <c r="J130" s="513"/>
      <c r="K130" s="133"/>
      <c r="L130" s="17"/>
      <c r="M130" s="8"/>
      <c r="N130" s="512"/>
      <c r="O130" s="444"/>
    </row>
    <row r="131" spans="1:16" s="18" customFormat="1" ht="33" customHeight="1" x14ac:dyDescent="0.3">
      <c r="A131" s="518"/>
      <c r="B131" s="445"/>
      <c r="C131" s="4"/>
      <c r="D131" s="4"/>
      <c r="E131" s="310"/>
      <c r="F131" s="511"/>
      <c r="G131" s="17"/>
      <c r="H131" s="513"/>
      <c r="I131" s="511"/>
      <c r="J131" s="511"/>
      <c r="K131" s="133"/>
      <c r="L131" s="17"/>
      <c r="M131" s="8"/>
      <c r="N131" s="511"/>
      <c r="O131" s="342"/>
    </row>
    <row r="132" spans="1:16" s="18" customFormat="1" ht="33" customHeight="1" x14ac:dyDescent="0.3">
      <c r="A132" s="518"/>
      <c r="B132" s="439">
        <v>46072</v>
      </c>
      <c r="C132" s="4" t="s">
        <v>5209</v>
      </c>
      <c r="D132" s="4" t="s">
        <v>77</v>
      </c>
      <c r="E132" s="310" t="s">
        <v>5210</v>
      </c>
      <c r="F132" s="511">
        <v>3307</v>
      </c>
      <c r="G132" s="17" t="s">
        <v>5199</v>
      </c>
      <c r="H132" s="729" t="s">
        <v>5211</v>
      </c>
      <c r="I132" s="511" t="s">
        <v>5200</v>
      </c>
      <c r="J132" s="511" t="s">
        <v>5212</v>
      </c>
      <c r="K132" s="133"/>
      <c r="L132" s="17"/>
      <c r="M132" s="8">
        <v>2</v>
      </c>
      <c r="N132" s="310" t="s">
        <v>5213</v>
      </c>
      <c r="O132" s="342"/>
    </row>
    <row r="133" spans="1:16" s="18" customFormat="1" ht="33" customHeight="1" x14ac:dyDescent="0.3">
      <c r="A133" s="518"/>
      <c r="B133" s="445"/>
      <c r="C133" s="4"/>
      <c r="D133" s="4"/>
      <c r="E133" s="310"/>
      <c r="F133" s="511"/>
      <c r="G133" s="17"/>
      <c r="H133" s="729"/>
      <c r="I133" s="511"/>
      <c r="J133" s="511"/>
      <c r="K133" s="133"/>
      <c r="L133" s="17"/>
      <c r="M133" s="8"/>
      <c r="N133" s="511" t="s">
        <v>5214</v>
      </c>
      <c r="O133" s="342"/>
      <c r="P133" s="450" t="s">
        <v>5215</v>
      </c>
    </row>
    <row r="134" spans="1:16" s="18" customFormat="1" ht="33" customHeight="1" x14ac:dyDescent="0.3">
      <c r="A134" s="518"/>
      <c r="B134" s="439">
        <v>46073</v>
      </c>
      <c r="C134" s="730" t="s">
        <v>5216</v>
      </c>
      <c r="D134" s="730" t="s">
        <v>14</v>
      </c>
      <c r="E134" s="731" t="s">
        <v>2217</v>
      </c>
      <c r="F134" s="729" t="s">
        <v>5217</v>
      </c>
      <c r="G134" s="732" t="s">
        <v>5218</v>
      </c>
      <c r="H134" s="729" t="s">
        <v>5219</v>
      </c>
      <c r="I134" s="731" t="s">
        <v>90</v>
      </c>
      <c r="J134" s="729" t="s">
        <v>5220</v>
      </c>
      <c r="K134" s="733" t="s">
        <v>66</v>
      </c>
      <c r="L134" s="732">
        <v>9080</v>
      </c>
      <c r="M134" s="734">
        <v>4</v>
      </c>
      <c r="N134" s="735"/>
      <c r="O134" s="736" t="s">
        <v>5221</v>
      </c>
      <c r="P134" s="497" t="s">
        <v>5222</v>
      </c>
    </row>
    <row r="135" spans="1:16" s="18" customFormat="1" ht="33" customHeight="1" x14ac:dyDescent="0.3">
      <c r="A135" s="518"/>
      <c r="B135" s="445"/>
      <c r="C135" s="730" t="s">
        <v>5223</v>
      </c>
      <c r="D135" s="730" t="s">
        <v>5224</v>
      </c>
      <c r="E135" s="731" t="s">
        <v>2217</v>
      </c>
      <c r="F135" s="731" t="s">
        <v>5217</v>
      </c>
      <c r="G135" s="732" t="s">
        <v>5225</v>
      </c>
      <c r="H135" s="729" t="s">
        <v>5204</v>
      </c>
      <c r="I135" s="733" t="s">
        <v>5226</v>
      </c>
      <c r="J135" s="729" t="s">
        <v>5227</v>
      </c>
      <c r="K135" s="733" t="s">
        <v>5202</v>
      </c>
      <c r="L135" s="732" t="s">
        <v>5228</v>
      </c>
      <c r="M135" s="734">
        <v>3</v>
      </c>
      <c r="N135" s="737"/>
      <c r="O135" s="736" t="s">
        <v>5229</v>
      </c>
      <c r="P135" s="467" t="s">
        <v>5230</v>
      </c>
    </row>
    <row r="136" spans="1:16" s="18" customFormat="1" ht="33" customHeight="1" x14ac:dyDescent="0.3">
      <c r="A136" s="518"/>
      <c r="B136" s="439">
        <v>46074</v>
      </c>
      <c r="C136" s="730" t="s">
        <v>64</v>
      </c>
      <c r="D136" s="730" t="s">
        <v>5231</v>
      </c>
      <c r="E136" s="731" t="s">
        <v>5232</v>
      </c>
      <c r="F136" s="729" t="s">
        <v>5233</v>
      </c>
      <c r="G136" s="732" t="s">
        <v>5234</v>
      </c>
      <c r="H136" s="729" t="s">
        <v>5235</v>
      </c>
      <c r="I136" s="731"/>
      <c r="J136" s="513" t="s">
        <v>5201</v>
      </c>
      <c r="K136" s="733" t="s">
        <v>66</v>
      </c>
      <c r="L136" s="732">
        <v>9080</v>
      </c>
      <c r="M136" s="734">
        <v>3</v>
      </c>
      <c r="N136" s="735"/>
      <c r="O136" s="736" t="s">
        <v>5206</v>
      </c>
    </row>
    <row r="137" spans="1:16" s="18" customFormat="1" ht="33" customHeight="1" x14ac:dyDescent="0.3">
      <c r="A137" s="519"/>
      <c r="B137" s="440"/>
      <c r="C137" s="4"/>
      <c r="D137" s="4"/>
      <c r="E137" s="511"/>
      <c r="F137" s="511"/>
      <c r="G137" s="17"/>
      <c r="H137" s="513"/>
      <c r="I137" s="513"/>
      <c r="J137" s="513"/>
      <c r="K137" s="133"/>
      <c r="L137" s="17"/>
      <c r="M137" s="8"/>
      <c r="N137" s="511"/>
      <c r="O137" s="342"/>
    </row>
    <row r="138" spans="1:16" s="18" customFormat="1" ht="33" customHeight="1" x14ac:dyDescent="0.3">
      <c r="A138" s="345" t="s">
        <v>5236</v>
      </c>
      <c r="B138" s="346" t="s">
        <v>1</v>
      </c>
      <c r="C138" s="345" t="s">
        <v>2</v>
      </c>
      <c r="D138" s="345" t="s">
        <v>3</v>
      </c>
      <c r="E138" s="345" t="s">
        <v>4</v>
      </c>
      <c r="F138" s="345" t="s">
        <v>5</v>
      </c>
      <c r="G138" s="345" t="s">
        <v>6</v>
      </c>
      <c r="H138" s="347" t="s">
        <v>7</v>
      </c>
      <c r="I138" s="345" t="s">
        <v>5237</v>
      </c>
      <c r="J138" s="345" t="s">
        <v>9</v>
      </c>
      <c r="K138" s="348" t="s">
        <v>10</v>
      </c>
      <c r="L138" s="349" t="s">
        <v>5239</v>
      </c>
      <c r="M138" s="345" t="s">
        <v>5241</v>
      </c>
      <c r="N138" s="352" t="s">
        <v>5243</v>
      </c>
      <c r="O138" s="345" t="s">
        <v>5244</v>
      </c>
    </row>
    <row r="139" spans="1:16" s="18" customFormat="1" ht="33" customHeight="1" x14ac:dyDescent="0.3">
      <c r="A139" s="517" t="s">
        <v>5245</v>
      </c>
      <c r="B139" s="439">
        <v>46076</v>
      </c>
      <c r="C139" s="4" t="s">
        <v>64</v>
      </c>
      <c r="D139" s="4" t="s">
        <v>5246</v>
      </c>
      <c r="E139" s="511" t="s">
        <v>5247</v>
      </c>
      <c r="F139" s="511" t="s">
        <v>5248</v>
      </c>
      <c r="G139" s="17" t="s">
        <v>5078</v>
      </c>
      <c r="H139" s="513" t="s">
        <v>4780</v>
      </c>
      <c r="I139" s="731" t="s">
        <v>5249</v>
      </c>
      <c r="J139" s="513"/>
      <c r="K139" s="133" t="s">
        <v>66</v>
      </c>
      <c r="L139" s="17"/>
      <c r="M139" s="8">
        <v>1</v>
      </c>
      <c r="N139" s="511" t="s">
        <v>5250</v>
      </c>
      <c r="O139" s="32" t="s">
        <v>5251</v>
      </c>
      <c r="P139" s="450" t="s">
        <v>5252</v>
      </c>
    </row>
    <row r="140" spans="1:16" s="18" customFormat="1" ht="33" customHeight="1" x14ac:dyDescent="0.3">
      <c r="A140" s="518"/>
      <c r="B140" s="445"/>
      <c r="C140" s="4" t="s">
        <v>5253</v>
      </c>
      <c r="D140" s="4" t="s">
        <v>5246</v>
      </c>
      <c r="E140" s="511" t="s">
        <v>5254</v>
      </c>
      <c r="F140" s="511" t="s">
        <v>5255</v>
      </c>
      <c r="G140" s="17" t="s">
        <v>845</v>
      </c>
      <c r="H140" s="513" t="s">
        <v>5256</v>
      </c>
      <c r="I140" s="511"/>
      <c r="J140" s="513" t="s">
        <v>5257</v>
      </c>
      <c r="K140" s="133" t="s">
        <v>66</v>
      </c>
      <c r="L140" s="17"/>
      <c r="M140" s="8">
        <v>2</v>
      </c>
      <c r="N140" s="512"/>
      <c r="O140" s="507" t="s">
        <v>5258</v>
      </c>
      <c r="P140" s="738" t="s">
        <v>5259</v>
      </c>
    </row>
    <row r="141" spans="1:16" s="18" customFormat="1" ht="33" customHeight="1" x14ac:dyDescent="0.3">
      <c r="A141" s="518"/>
      <c r="B141" s="445"/>
      <c r="C141" s="218" t="s">
        <v>5260</v>
      </c>
      <c r="D141" s="218" t="s">
        <v>5246</v>
      </c>
      <c r="E141" s="739" t="s">
        <v>5261</v>
      </c>
      <c r="F141" s="337" t="s">
        <v>4480</v>
      </c>
      <c r="G141" s="459" t="s">
        <v>5262</v>
      </c>
      <c r="H141" s="739" t="s">
        <v>5263</v>
      </c>
      <c r="I141" s="740" t="s">
        <v>4744</v>
      </c>
      <c r="J141" s="741" t="s">
        <v>5264</v>
      </c>
      <c r="K141" s="358" t="s">
        <v>66</v>
      </c>
      <c r="L141" s="459">
        <v>9080</v>
      </c>
      <c r="M141" s="460">
        <v>2</v>
      </c>
      <c r="N141" s="337"/>
      <c r="O141" s="502" t="s">
        <v>5265</v>
      </c>
      <c r="P141" s="497" t="s">
        <v>5266</v>
      </c>
    </row>
    <row r="142" spans="1:16" s="18" customFormat="1" ht="33" customHeight="1" x14ac:dyDescent="0.3">
      <c r="A142" s="518"/>
      <c r="B142" s="439">
        <v>46077</v>
      </c>
      <c r="C142" s="4" t="s">
        <v>5267</v>
      </c>
      <c r="D142" s="4" t="s">
        <v>14</v>
      </c>
      <c r="E142" s="511" t="s">
        <v>5268</v>
      </c>
      <c r="F142" s="511" t="s">
        <v>2145</v>
      </c>
      <c r="G142" s="17" t="s">
        <v>5269</v>
      </c>
      <c r="H142" s="513" t="s">
        <v>5270</v>
      </c>
      <c r="I142" s="731" t="s">
        <v>5249</v>
      </c>
      <c r="J142" s="513"/>
      <c r="K142" s="133" t="s">
        <v>5271</v>
      </c>
      <c r="L142" s="17"/>
      <c r="M142" s="8">
        <v>1</v>
      </c>
      <c r="N142" s="511" t="s">
        <v>5272</v>
      </c>
      <c r="O142" s="32" t="s">
        <v>5251</v>
      </c>
    </row>
    <row r="143" spans="1:16" s="18" customFormat="1" ht="33" customHeight="1" x14ac:dyDescent="0.3">
      <c r="A143" s="518"/>
      <c r="B143" s="445"/>
      <c r="C143" s="4" t="s">
        <v>5253</v>
      </c>
      <c r="D143" s="4" t="s">
        <v>403</v>
      </c>
      <c r="E143" s="511" t="s">
        <v>2217</v>
      </c>
      <c r="F143" s="511" t="s">
        <v>5273</v>
      </c>
      <c r="G143" s="17" t="s">
        <v>845</v>
      </c>
      <c r="H143" s="513" t="s">
        <v>5274</v>
      </c>
      <c r="I143" s="511"/>
      <c r="J143" s="513" t="s">
        <v>5275</v>
      </c>
      <c r="K143" s="133" t="s">
        <v>5276</v>
      </c>
      <c r="L143" s="17"/>
      <c r="M143" s="8">
        <v>1</v>
      </c>
      <c r="N143" s="512"/>
      <c r="O143" s="503" t="s">
        <v>5277</v>
      </c>
    </row>
    <row r="144" spans="1:16" s="18" customFormat="1" ht="33" customHeight="1" x14ac:dyDescent="0.3">
      <c r="A144" s="518"/>
      <c r="B144" s="445"/>
      <c r="C144" s="730" t="s">
        <v>5253</v>
      </c>
      <c r="D144" s="730" t="s">
        <v>5278</v>
      </c>
      <c r="E144" s="729" t="s">
        <v>5279</v>
      </c>
      <c r="F144" s="742" t="s">
        <v>5280</v>
      </c>
      <c r="G144" s="743" t="s">
        <v>5281</v>
      </c>
      <c r="H144" s="729" t="s">
        <v>5282</v>
      </c>
      <c r="I144" s="731"/>
      <c r="J144" s="729" t="s">
        <v>5283</v>
      </c>
      <c r="K144" s="733" t="s">
        <v>5271</v>
      </c>
      <c r="L144" s="732"/>
      <c r="M144" s="734">
        <v>2</v>
      </c>
      <c r="N144" s="742"/>
      <c r="O144" s="744" t="s">
        <v>5284</v>
      </c>
      <c r="P144" s="450" t="s">
        <v>5285</v>
      </c>
    </row>
    <row r="145" spans="1:19" s="18" customFormat="1" ht="33" customHeight="1" x14ac:dyDescent="0.3">
      <c r="A145" s="518"/>
      <c r="B145" s="439">
        <v>46078</v>
      </c>
      <c r="C145" s="730" t="s">
        <v>5286</v>
      </c>
      <c r="D145" s="730" t="s">
        <v>5287</v>
      </c>
      <c r="E145" s="731" t="s">
        <v>5247</v>
      </c>
      <c r="F145" s="731" t="s">
        <v>5217</v>
      </c>
      <c r="G145" s="732" t="s">
        <v>5288</v>
      </c>
      <c r="H145" s="729" t="s">
        <v>5289</v>
      </c>
      <c r="I145" s="731" t="s">
        <v>5290</v>
      </c>
      <c r="J145" s="729"/>
      <c r="K145" s="733" t="s">
        <v>5271</v>
      </c>
      <c r="L145" s="732"/>
      <c r="M145" s="734">
        <v>1</v>
      </c>
      <c r="N145" s="731" t="s">
        <v>5291</v>
      </c>
      <c r="O145" s="745" t="s">
        <v>5292</v>
      </c>
      <c r="P145" s="450" t="s">
        <v>5293</v>
      </c>
    </row>
    <row r="146" spans="1:19" s="18" customFormat="1" ht="33" customHeight="1" x14ac:dyDescent="0.3">
      <c r="A146" s="518"/>
      <c r="B146" s="445"/>
      <c r="C146" s="4"/>
      <c r="D146" s="4"/>
      <c r="E146" s="310"/>
      <c r="F146" s="511"/>
      <c r="G146" s="17"/>
      <c r="H146" s="513"/>
      <c r="I146" s="511"/>
      <c r="J146" s="511"/>
      <c r="K146" s="133"/>
      <c r="L146" s="17"/>
      <c r="M146" s="8"/>
      <c r="N146" s="511"/>
      <c r="O146" s="342"/>
    </row>
    <row r="147" spans="1:19" s="18" customFormat="1" ht="33" customHeight="1" x14ac:dyDescent="0.3">
      <c r="A147" s="518"/>
      <c r="B147" s="439">
        <v>46079</v>
      </c>
      <c r="C147" s="4"/>
      <c r="D147" s="4"/>
      <c r="E147" s="511"/>
      <c r="F147" s="511"/>
      <c r="G147" s="17"/>
      <c r="H147" s="513"/>
      <c r="I147" s="511"/>
      <c r="J147" s="513"/>
      <c r="K147" s="133"/>
      <c r="L147" s="17"/>
      <c r="M147" s="8"/>
      <c r="N147" s="511" t="s">
        <v>5294</v>
      </c>
      <c r="O147" s="444"/>
    </row>
    <row r="148" spans="1:19" s="18" customFormat="1" ht="33" customHeight="1" x14ac:dyDescent="0.3">
      <c r="A148" s="518"/>
      <c r="B148" s="445"/>
      <c r="C148" s="4"/>
      <c r="D148" s="4"/>
      <c r="E148" s="310"/>
      <c r="F148" s="511"/>
      <c r="G148" s="17"/>
      <c r="H148" s="513"/>
      <c r="I148" s="511"/>
      <c r="J148" s="511"/>
      <c r="K148" s="133"/>
      <c r="L148" s="17"/>
      <c r="M148" s="8"/>
      <c r="N148" s="511"/>
      <c r="O148" s="342"/>
    </row>
    <row r="149" spans="1:19" s="18" customFormat="1" ht="33" customHeight="1" x14ac:dyDescent="0.3">
      <c r="A149" s="518"/>
      <c r="B149" s="439">
        <v>46080</v>
      </c>
      <c r="C149" s="218" t="s">
        <v>5286</v>
      </c>
      <c r="D149" s="218" t="s">
        <v>5224</v>
      </c>
      <c r="E149" s="337" t="s">
        <v>108</v>
      </c>
      <c r="F149" s="459" t="s">
        <v>2300</v>
      </c>
      <c r="G149" s="459" t="s">
        <v>5295</v>
      </c>
      <c r="H149" s="421" t="s">
        <v>5296</v>
      </c>
      <c r="I149" s="337" t="s">
        <v>90</v>
      </c>
      <c r="J149" s="421" t="s">
        <v>5205</v>
      </c>
      <c r="K149" s="358" t="s">
        <v>5276</v>
      </c>
      <c r="L149" s="459"/>
      <c r="M149" s="460">
        <v>3</v>
      </c>
      <c r="N149" s="421"/>
      <c r="O149" s="502" t="s">
        <v>5297</v>
      </c>
    </row>
    <row r="150" spans="1:19" s="18" customFormat="1" ht="33" customHeight="1" x14ac:dyDescent="0.3">
      <c r="A150" s="518"/>
      <c r="B150" s="445"/>
      <c r="C150" s="4"/>
      <c r="D150" s="4"/>
      <c r="E150" s="511"/>
      <c r="F150" s="511"/>
      <c r="G150" s="17"/>
      <c r="H150" s="513"/>
      <c r="I150" s="511"/>
      <c r="J150" s="511"/>
      <c r="K150" s="133"/>
      <c r="L150" s="17"/>
      <c r="M150" s="8"/>
      <c r="N150" s="511"/>
      <c r="O150" s="341"/>
    </row>
    <row r="151" spans="1:19" s="18" customFormat="1" ht="33" customHeight="1" x14ac:dyDescent="0.3">
      <c r="A151" s="518"/>
      <c r="B151" s="439">
        <v>46081</v>
      </c>
      <c r="C151" s="4"/>
      <c r="D151" s="4"/>
      <c r="E151" s="511"/>
      <c r="F151" s="511"/>
      <c r="G151" s="17"/>
      <c r="H151" s="513"/>
      <c r="I151" s="513"/>
      <c r="J151" s="513"/>
      <c r="K151" s="133"/>
      <c r="L151" s="17"/>
      <c r="M151" s="8"/>
      <c r="N151" s="513"/>
      <c r="O151" s="39"/>
    </row>
    <row r="152" spans="1:19" s="18" customFormat="1" ht="33" customHeight="1" x14ac:dyDescent="0.3">
      <c r="A152" s="519"/>
      <c r="B152" s="440"/>
      <c r="C152" s="4"/>
      <c r="D152" s="4"/>
      <c r="E152" s="511"/>
      <c r="F152" s="511"/>
      <c r="G152" s="17"/>
      <c r="H152" s="513"/>
      <c r="I152" s="513"/>
      <c r="J152" s="513"/>
      <c r="K152" s="133"/>
      <c r="L152" s="17"/>
      <c r="M152" s="8"/>
      <c r="N152" s="511"/>
      <c r="O152" s="342"/>
    </row>
    <row r="153" spans="1:19" s="18" customFormat="1" ht="33" customHeight="1" x14ac:dyDescent="0.3">
      <c r="A153" s="345" t="s">
        <v>5298</v>
      </c>
      <c r="B153" s="346" t="s">
        <v>1</v>
      </c>
      <c r="C153" s="345" t="s">
        <v>2</v>
      </c>
      <c r="D153" s="345" t="s">
        <v>3</v>
      </c>
      <c r="E153" s="345" t="s">
        <v>4</v>
      </c>
      <c r="F153" s="345" t="s">
        <v>5</v>
      </c>
      <c r="G153" s="345" t="s">
        <v>6</v>
      </c>
      <c r="H153" s="347" t="s">
        <v>7</v>
      </c>
      <c r="I153" s="345" t="s">
        <v>5237</v>
      </c>
      <c r="J153" s="345" t="s">
        <v>9</v>
      </c>
      <c r="K153" s="348" t="s">
        <v>5299</v>
      </c>
      <c r="L153" s="349" t="s">
        <v>5300</v>
      </c>
      <c r="M153" s="345" t="s">
        <v>5240</v>
      </c>
      <c r="N153" s="352" t="s">
        <v>5301</v>
      </c>
      <c r="O153" s="345" t="s">
        <v>5302</v>
      </c>
    </row>
    <row r="154" spans="1:19" s="18" customFormat="1" ht="33" customHeight="1" x14ac:dyDescent="0.3">
      <c r="A154" s="517" t="s">
        <v>5303</v>
      </c>
      <c r="B154" s="439">
        <v>46083</v>
      </c>
      <c r="C154" s="4"/>
      <c r="D154" s="4"/>
      <c r="E154" s="310"/>
      <c r="F154" s="511"/>
      <c r="G154" s="17"/>
      <c r="H154" s="509" t="s">
        <v>5304</v>
      </c>
      <c r="I154" s="511"/>
      <c r="J154" s="511"/>
      <c r="K154" s="133"/>
      <c r="L154" s="17"/>
      <c r="M154" s="8"/>
      <c r="N154" s="511"/>
      <c r="O154" s="32"/>
      <c r="P154" s="514" t="s">
        <v>5305</v>
      </c>
      <c r="Q154" s="746"/>
      <c r="R154" s="746"/>
      <c r="S154" s="746"/>
    </row>
    <row r="155" spans="1:19" s="18" customFormat="1" ht="33" customHeight="1" x14ac:dyDescent="0.3">
      <c r="A155" s="518"/>
      <c r="B155" s="445"/>
      <c r="C155" s="4"/>
      <c r="D155" s="4"/>
      <c r="E155" s="310"/>
      <c r="F155" s="511"/>
      <c r="G155" s="17"/>
      <c r="H155" s="513"/>
      <c r="I155" s="511"/>
      <c r="J155" s="511"/>
      <c r="K155" s="133"/>
      <c r="L155" s="17"/>
      <c r="M155" s="8"/>
      <c r="N155" s="511"/>
      <c r="O155" s="32"/>
      <c r="P155" s="510"/>
      <c r="Q155" s="747"/>
    </row>
    <row r="156" spans="1:19" s="18" customFormat="1" ht="33" customHeight="1" x14ac:dyDescent="0.3">
      <c r="A156" s="518"/>
      <c r="B156" s="439">
        <v>46084</v>
      </c>
      <c r="C156" s="4"/>
      <c r="D156" s="4"/>
      <c r="E156" s="511"/>
      <c r="F156" s="511"/>
      <c r="G156" s="17"/>
      <c r="H156" s="513"/>
      <c r="I156" s="511"/>
      <c r="J156" s="513"/>
      <c r="K156" s="133"/>
      <c r="L156" s="17"/>
      <c r="M156" s="8"/>
      <c r="N156" s="511"/>
      <c r="O156" s="444"/>
    </row>
    <row r="157" spans="1:19" s="18" customFormat="1" ht="33" customHeight="1" x14ac:dyDescent="0.3">
      <c r="A157" s="518"/>
      <c r="B157" s="445"/>
      <c r="C157" s="4"/>
      <c r="D157" s="4"/>
      <c r="E157" s="511"/>
      <c r="F157" s="511"/>
      <c r="G157" s="17"/>
      <c r="H157" s="513"/>
      <c r="I157" s="511"/>
      <c r="J157" s="513"/>
      <c r="K157" s="133"/>
      <c r="L157" s="17"/>
      <c r="M157" s="8"/>
      <c r="N157" s="512"/>
      <c r="O157" s="444"/>
    </row>
    <row r="158" spans="1:19" s="18" customFormat="1" ht="33" customHeight="1" x14ac:dyDescent="0.3">
      <c r="A158" s="518"/>
      <c r="B158" s="439">
        <v>46085</v>
      </c>
      <c r="C158" s="197" t="s">
        <v>64</v>
      </c>
      <c r="D158" s="197" t="s">
        <v>5306</v>
      </c>
      <c r="E158" s="336" t="s">
        <v>5307</v>
      </c>
      <c r="F158" s="255" t="s">
        <v>5102</v>
      </c>
      <c r="G158" s="423" t="s">
        <v>5288</v>
      </c>
      <c r="H158" s="255" t="s">
        <v>5308</v>
      </c>
      <c r="I158" s="337" t="s">
        <v>5309</v>
      </c>
      <c r="J158" s="255" t="s">
        <v>5310</v>
      </c>
      <c r="K158" s="256" t="s">
        <v>5311</v>
      </c>
      <c r="L158" s="423"/>
      <c r="M158" s="449">
        <v>3</v>
      </c>
      <c r="N158" s="453" t="s">
        <v>5313</v>
      </c>
      <c r="O158" s="452" t="s">
        <v>5314</v>
      </c>
      <c r="P158" s="497" t="s">
        <v>5315</v>
      </c>
    </row>
    <row r="159" spans="1:19" s="18" customFormat="1" ht="33" customHeight="1" x14ac:dyDescent="0.3">
      <c r="A159" s="518"/>
      <c r="B159" s="445"/>
      <c r="C159" s="4"/>
      <c r="D159" s="4"/>
      <c r="E159" s="310"/>
      <c r="F159" s="511"/>
      <c r="G159" s="17"/>
      <c r="H159" s="513"/>
      <c r="I159" s="511"/>
      <c r="J159" s="511"/>
      <c r="K159" s="133"/>
      <c r="L159" s="17"/>
      <c r="M159" s="8"/>
      <c r="N159" s="511"/>
      <c r="O159" s="342"/>
    </row>
    <row r="160" spans="1:19" s="18" customFormat="1" ht="33" customHeight="1" x14ac:dyDescent="0.3">
      <c r="A160" s="518"/>
      <c r="B160" s="439">
        <v>46086</v>
      </c>
      <c r="C160" s="4"/>
      <c r="D160" s="4"/>
      <c r="E160" s="310"/>
      <c r="F160" s="511"/>
      <c r="G160" s="17"/>
      <c r="H160" s="513"/>
      <c r="I160" s="511"/>
      <c r="J160" s="511"/>
      <c r="K160" s="133"/>
      <c r="L160" s="17"/>
      <c r="M160" s="8"/>
      <c r="N160" s="511"/>
      <c r="O160" s="342"/>
    </row>
    <row r="161" spans="1:16" s="18" customFormat="1" ht="33" customHeight="1" x14ac:dyDescent="0.3">
      <c r="A161" s="518"/>
      <c r="B161" s="445"/>
      <c r="C161" s="4"/>
      <c r="D161" s="4"/>
      <c r="E161" s="310"/>
      <c r="F161" s="511"/>
      <c r="G161" s="17"/>
      <c r="H161" s="513"/>
      <c r="I161" s="511"/>
      <c r="J161" s="511"/>
      <c r="K161" s="133"/>
      <c r="L161" s="17"/>
      <c r="M161" s="8"/>
      <c r="N161" s="511"/>
      <c r="O161" s="342"/>
    </row>
    <row r="162" spans="1:16" s="18" customFormat="1" ht="33" customHeight="1" x14ac:dyDescent="0.3">
      <c r="A162" s="518"/>
      <c r="B162" s="439">
        <v>46087</v>
      </c>
      <c r="C162" s="218" t="s">
        <v>5260</v>
      </c>
      <c r="D162" s="218" t="s">
        <v>677</v>
      </c>
      <c r="E162" s="337" t="s">
        <v>5316</v>
      </c>
      <c r="F162" s="471" t="s">
        <v>5317</v>
      </c>
      <c r="G162" s="459" t="s">
        <v>5318</v>
      </c>
      <c r="H162" s="421" t="s">
        <v>5319</v>
      </c>
      <c r="I162" s="337"/>
      <c r="J162" s="421" t="s">
        <v>5320</v>
      </c>
      <c r="K162" s="358" t="s">
        <v>438</v>
      </c>
      <c r="L162" s="459"/>
      <c r="M162" s="460">
        <v>3</v>
      </c>
      <c r="N162" s="459" t="s">
        <v>5321</v>
      </c>
      <c r="O162" s="472" t="s">
        <v>5322</v>
      </c>
      <c r="P162" s="497" t="s">
        <v>5323</v>
      </c>
    </row>
    <row r="163" spans="1:16" s="18" customFormat="1" ht="33" customHeight="1" x14ac:dyDescent="0.3">
      <c r="A163" s="518"/>
      <c r="B163" s="445"/>
      <c r="C163" s="4"/>
      <c r="D163" s="4"/>
      <c r="E163" s="511"/>
      <c r="F163" s="511"/>
      <c r="G163" s="17"/>
      <c r="H163" s="513"/>
      <c r="I163" s="511"/>
      <c r="J163" s="511"/>
      <c r="K163" s="133"/>
      <c r="L163" s="17"/>
      <c r="M163" s="8"/>
      <c r="N163" s="511"/>
      <c r="O163" s="341"/>
    </row>
    <row r="164" spans="1:16" s="18" customFormat="1" ht="33" customHeight="1" x14ac:dyDescent="0.3">
      <c r="A164" s="518"/>
      <c r="B164" s="439">
        <v>46088</v>
      </c>
      <c r="C164" s="4"/>
      <c r="D164" s="4"/>
      <c r="E164" s="511"/>
      <c r="F164" s="511"/>
      <c r="G164" s="17"/>
      <c r="H164" s="513"/>
      <c r="I164" s="513"/>
      <c r="J164" s="513"/>
      <c r="K164" s="133"/>
      <c r="L164" s="17"/>
      <c r="M164" s="8"/>
      <c r="N164" s="513"/>
      <c r="O164" s="39"/>
    </row>
    <row r="165" spans="1:16" s="18" customFormat="1" ht="33" customHeight="1" x14ac:dyDescent="0.3">
      <c r="A165" s="519"/>
      <c r="B165" s="440"/>
      <c r="C165" s="4"/>
      <c r="D165" s="4"/>
      <c r="E165" s="511"/>
      <c r="F165" s="511"/>
      <c r="G165" s="17"/>
      <c r="H165" s="513"/>
      <c r="I165" s="513"/>
      <c r="J165" s="513"/>
      <c r="K165" s="133"/>
      <c r="L165" s="17"/>
      <c r="M165" s="8"/>
      <c r="N165" s="511"/>
      <c r="O165" s="342"/>
    </row>
    <row r="166" spans="1:16" s="18" customFormat="1" ht="33" customHeight="1" x14ac:dyDescent="0.3">
      <c r="A166" s="345" t="s">
        <v>0</v>
      </c>
      <c r="B166" s="346" t="s">
        <v>1</v>
      </c>
      <c r="C166" s="345" t="s">
        <v>2</v>
      </c>
      <c r="D166" s="345" t="s">
        <v>3</v>
      </c>
      <c r="E166" s="345" t="s">
        <v>4</v>
      </c>
      <c r="F166" s="345" t="s">
        <v>5</v>
      </c>
      <c r="G166" s="345" t="s">
        <v>6</v>
      </c>
      <c r="H166" s="347" t="s">
        <v>7</v>
      </c>
      <c r="I166" s="345" t="s">
        <v>5237</v>
      </c>
      <c r="J166" s="345" t="s">
        <v>9</v>
      </c>
      <c r="K166" s="348" t="s">
        <v>10</v>
      </c>
      <c r="L166" s="349" t="s">
        <v>5239</v>
      </c>
      <c r="M166" s="345" t="s">
        <v>5324</v>
      </c>
      <c r="N166" s="352" t="s">
        <v>5325</v>
      </c>
      <c r="O166" s="345" t="s">
        <v>5326</v>
      </c>
    </row>
    <row r="167" spans="1:16" s="18" customFormat="1" ht="33" customHeight="1" x14ac:dyDescent="0.3">
      <c r="A167" s="517" t="s">
        <v>5327</v>
      </c>
      <c r="B167" s="439">
        <v>46090</v>
      </c>
      <c r="C167" s="4"/>
      <c r="D167" s="4"/>
      <c r="E167" s="310"/>
      <c r="F167" s="511"/>
      <c r="G167" s="17"/>
      <c r="H167" s="513"/>
      <c r="I167" s="511"/>
      <c r="J167" s="511"/>
      <c r="K167" s="133"/>
      <c r="L167" s="17"/>
      <c r="M167" s="8"/>
      <c r="N167" s="511" t="s">
        <v>5328</v>
      </c>
      <c r="O167" s="32"/>
    </row>
    <row r="168" spans="1:16" s="18" customFormat="1" ht="33" customHeight="1" x14ac:dyDescent="0.3">
      <c r="A168" s="518"/>
      <c r="B168" s="445"/>
      <c r="C168" s="4"/>
      <c r="D168" s="4"/>
      <c r="E168" s="310"/>
      <c r="F168" s="511"/>
      <c r="G168" s="17"/>
      <c r="H168" s="513"/>
      <c r="I168" s="511"/>
      <c r="J168" s="511"/>
      <c r="K168" s="133"/>
      <c r="L168" s="17"/>
      <c r="M168" s="8"/>
      <c r="N168" s="511"/>
      <c r="O168" s="32"/>
    </row>
    <row r="169" spans="1:16" s="18" customFormat="1" ht="33" customHeight="1" x14ac:dyDescent="0.3">
      <c r="A169" s="518"/>
      <c r="B169" s="439">
        <v>46091</v>
      </c>
      <c r="C169" s="197" t="s">
        <v>5253</v>
      </c>
      <c r="D169" s="197" t="s">
        <v>5287</v>
      </c>
      <c r="E169" s="336" t="s">
        <v>5329</v>
      </c>
      <c r="F169" s="336" t="s">
        <v>5330</v>
      </c>
      <c r="G169" s="423" t="s">
        <v>5331</v>
      </c>
      <c r="H169" s="255" t="s">
        <v>5332</v>
      </c>
      <c r="I169" s="336" t="s">
        <v>5294</v>
      </c>
      <c r="J169" s="336" t="s">
        <v>5333</v>
      </c>
      <c r="K169" s="256" t="s">
        <v>5276</v>
      </c>
      <c r="L169" s="423"/>
      <c r="M169" s="449">
        <v>3</v>
      </c>
      <c r="N169" s="336"/>
      <c r="O169" s="452" t="s">
        <v>5334</v>
      </c>
      <c r="P169" s="497" t="s">
        <v>5077</v>
      </c>
    </row>
    <row r="170" spans="1:16" s="18" customFormat="1" ht="33" customHeight="1" x14ac:dyDescent="0.3">
      <c r="A170" s="518"/>
      <c r="B170" s="445"/>
      <c r="C170" s="4"/>
      <c r="D170" s="4"/>
      <c r="E170" s="511"/>
      <c r="F170" s="511"/>
      <c r="G170" s="17"/>
      <c r="H170" s="513"/>
      <c r="I170" s="511"/>
      <c r="J170" s="513"/>
      <c r="K170" s="133"/>
      <c r="L170" s="17"/>
      <c r="M170" s="8"/>
      <c r="N170" s="512"/>
      <c r="O170" s="444"/>
    </row>
    <row r="171" spans="1:16" s="18" customFormat="1" ht="33" customHeight="1" x14ac:dyDescent="0.3">
      <c r="A171" s="518"/>
      <c r="B171" s="439">
        <v>46092</v>
      </c>
      <c r="C171" s="4"/>
      <c r="D171" s="4"/>
      <c r="E171" s="511"/>
      <c r="F171" s="511"/>
      <c r="G171" s="17"/>
      <c r="H171" s="513"/>
      <c r="I171" s="511"/>
      <c r="J171" s="513"/>
      <c r="K171" s="133"/>
      <c r="L171" s="17"/>
      <c r="M171" s="8"/>
      <c r="N171" s="512" t="s">
        <v>5321</v>
      </c>
      <c r="O171" s="444"/>
    </row>
    <row r="172" spans="1:16" s="18" customFormat="1" ht="33" customHeight="1" x14ac:dyDescent="0.3">
      <c r="A172" s="518"/>
      <c r="B172" s="445"/>
      <c r="C172" s="4"/>
      <c r="D172" s="4"/>
      <c r="E172" s="310"/>
      <c r="F172" s="511"/>
      <c r="G172" s="17"/>
      <c r="H172" s="513"/>
      <c r="I172" s="511"/>
      <c r="J172" s="511"/>
      <c r="K172" s="133"/>
      <c r="L172" s="17"/>
      <c r="M172" s="8"/>
      <c r="N172" s="511"/>
      <c r="O172" s="342"/>
    </row>
    <row r="173" spans="1:16" s="18" customFormat="1" ht="33" customHeight="1" x14ac:dyDescent="0.3">
      <c r="A173" s="518"/>
      <c r="B173" s="439">
        <v>46093</v>
      </c>
      <c r="C173" s="4"/>
      <c r="D173" s="4"/>
      <c r="E173" s="511"/>
      <c r="F173" s="511"/>
      <c r="G173" s="17"/>
      <c r="H173" s="513"/>
      <c r="I173" s="511"/>
      <c r="J173" s="513"/>
      <c r="K173" s="133"/>
      <c r="L173" s="17"/>
      <c r="M173" s="8"/>
      <c r="N173" s="512"/>
      <c r="O173" s="444"/>
    </row>
    <row r="174" spans="1:16" s="18" customFormat="1" ht="33" customHeight="1" x14ac:dyDescent="0.3">
      <c r="A174" s="518"/>
      <c r="B174" s="445"/>
      <c r="C174" s="4"/>
      <c r="D174" s="4"/>
      <c r="E174" s="310"/>
      <c r="F174" s="511"/>
      <c r="G174" s="17"/>
      <c r="H174" s="513"/>
      <c r="I174" s="511"/>
      <c r="J174" s="511"/>
      <c r="K174" s="133"/>
      <c r="L174" s="17"/>
      <c r="M174" s="8"/>
      <c r="N174" s="511"/>
      <c r="O174" s="342"/>
    </row>
    <row r="175" spans="1:16" s="18" customFormat="1" ht="33" customHeight="1" x14ac:dyDescent="0.3">
      <c r="A175" s="518"/>
      <c r="B175" s="439">
        <v>46094</v>
      </c>
      <c r="C175" s="4"/>
      <c r="D175" s="4"/>
      <c r="E175" s="511"/>
      <c r="F175" s="310"/>
      <c r="G175" s="17"/>
      <c r="H175" s="513"/>
      <c r="I175" s="511"/>
      <c r="J175" s="513"/>
      <c r="K175" s="133"/>
      <c r="L175" s="17"/>
      <c r="M175" s="8"/>
      <c r="N175" s="511" t="s">
        <v>5312</v>
      </c>
      <c r="O175" s="446"/>
    </row>
    <row r="176" spans="1:16" s="18" customFormat="1" ht="33" customHeight="1" x14ac:dyDescent="0.3">
      <c r="A176" s="518"/>
      <c r="B176" s="445"/>
      <c r="C176" s="4"/>
      <c r="D176" s="4"/>
      <c r="E176" s="511"/>
      <c r="F176" s="511"/>
      <c r="G176" s="17"/>
      <c r="H176" s="513"/>
      <c r="I176" s="511"/>
      <c r="J176" s="511"/>
      <c r="K176" s="133"/>
      <c r="L176" s="17"/>
      <c r="M176" s="8"/>
      <c r="N176" s="511"/>
      <c r="O176" s="341"/>
    </row>
    <row r="177" spans="1:16" s="18" customFormat="1" ht="33" customHeight="1" x14ac:dyDescent="0.3">
      <c r="A177" s="518"/>
      <c r="B177" s="439">
        <v>46095</v>
      </c>
      <c r="C177" s="218" t="s">
        <v>5203</v>
      </c>
      <c r="D177" s="218" t="s">
        <v>5335</v>
      </c>
      <c r="E177" s="471" t="s">
        <v>5336</v>
      </c>
      <c r="F177" s="337"/>
      <c r="G177" s="459"/>
      <c r="H177" s="421" t="s">
        <v>5337</v>
      </c>
      <c r="I177" s="337" t="s">
        <v>5338</v>
      </c>
      <c r="J177" s="337"/>
      <c r="K177" s="358" t="s">
        <v>5339</v>
      </c>
      <c r="L177" s="459"/>
      <c r="M177" s="460">
        <v>2</v>
      </c>
      <c r="N177" s="337"/>
      <c r="O177" s="499" t="s">
        <v>5340</v>
      </c>
      <c r="P177" s="497" t="s">
        <v>5341</v>
      </c>
    </row>
    <row r="178" spans="1:16" s="18" customFormat="1" ht="33" customHeight="1" x14ac:dyDescent="0.3">
      <c r="A178" s="519"/>
      <c r="B178" s="440"/>
      <c r="C178" s="4"/>
      <c r="D178" s="4"/>
      <c r="E178" s="511"/>
      <c r="F178" s="511"/>
      <c r="G178" s="17"/>
      <c r="H178" s="513"/>
      <c r="I178" s="513"/>
      <c r="J178" s="513"/>
      <c r="K178" s="133"/>
      <c r="L178" s="17"/>
      <c r="M178" s="8"/>
      <c r="N178" s="511"/>
      <c r="O178" s="342"/>
    </row>
    <row r="179" spans="1:16" s="18" customFormat="1" ht="33" customHeight="1" x14ac:dyDescent="0.3">
      <c r="A179" s="345" t="s">
        <v>5298</v>
      </c>
      <c r="B179" s="346" t="s">
        <v>1</v>
      </c>
      <c r="C179" s="345" t="s">
        <v>2</v>
      </c>
      <c r="D179" s="345" t="s">
        <v>3</v>
      </c>
      <c r="E179" s="345" t="s">
        <v>4</v>
      </c>
      <c r="F179" s="345" t="s">
        <v>5</v>
      </c>
      <c r="G179" s="345" t="s">
        <v>6</v>
      </c>
      <c r="H179" s="347" t="s">
        <v>7</v>
      </c>
      <c r="I179" s="345" t="s">
        <v>5342</v>
      </c>
      <c r="J179" s="345" t="s">
        <v>9</v>
      </c>
      <c r="K179" s="348" t="s">
        <v>5343</v>
      </c>
      <c r="L179" s="349" t="s">
        <v>5238</v>
      </c>
      <c r="M179" s="345" t="s">
        <v>5344</v>
      </c>
      <c r="N179" s="352" t="s">
        <v>5345</v>
      </c>
      <c r="O179" s="345" t="s">
        <v>5302</v>
      </c>
    </row>
    <row r="180" spans="1:16" s="18" customFormat="1" ht="33" customHeight="1" x14ac:dyDescent="0.3">
      <c r="A180" s="517" t="s">
        <v>5346</v>
      </c>
      <c r="B180" s="439">
        <v>46097</v>
      </c>
      <c r="C180" s="4"/>
      <c r="D180" s="4"/>
      <c r="E180" s="511"/>
      <c r="F180" s="513"/>
      <c r="G180" s="17"/>
      <c r="H180" s="513"/>
      <c r="I180" s="511"/>
      <c r="J180" s="511"/>
      <c r="K180" s="133"/>
      <c r="L180" s="17"/>
      <c r="M180" s="8"/>
      <c r="N180" s="511" t="s">
        <v>5328</v>
      </c>
      <c r="O180" s="32"/>
    </row>
    <row r="181" spans="1:16" s="18" customFormat="1" ht="33" customHeight="1" x14ac:dyDescent="0.3">
      <c r="A181" s="518"/>
      <c r="B181" s="445"/>
      <c r="C181" s="4"/>
      <c r="D181" s="4"/>
      <c r="E181" s="310"/>
      <c r="F181" s="511"/>
      <c r="G181" s="17"/>
      <c r="H181" s="513"/>
      <c r="I181" s="511"/>
      <c r="J181" s="511"/>
      <c r="K181" s="133"/>
      <c r="L181" s="17"/>
      <c r="M181" s="8"/>
      <c r="N181" s="511"/>
      <c r="O181" s="32"/>
    </row>
    <row r="182" spans="1:16" s="18" customFormat="1" ht="33" customHeight="1" x14ac:dyDescent="0.3">
      <c r="A182" s="518"/>
      <c r="B182" s="439">
        <v>46098</v>
      </c>
      <c r="C182" s="4"/>
      <c r="D182" s="4"/>
      <c r="E182" s="511"/>
      <c r="F182" s="511"/>
      <c r="G182" s="17"/>
      <c r="H182" s="513"/>
      <c r="I182" s="511"/>
      <c r="J182" s="513"/>
      <c r="K182" s="133"/>
      <c r="L182" s="17"/>
      <c r="M182" s="8"/>
      <c r="N182" s="512"/>
      <c r="O182" s="444"/>
    </row>
    <row r="183" spans="1:16" s="18" customFormat="1" ht="33" customHeight="1" x14ac:dyDescent="0.3">
      <c r="A183" s="518"/>
      <c r="B183" s="445"/>
      <c r="C183" s="4"/>
      <c r="D183" s="4"/>
      <c r="E183" s="511"/>
      <c r="F183" s="511"/>
      <c r="G183" s="17"/>
      <c r="H183" s="513"/>
      <c r="I183" s="511"/>
      <c r="J183" s="513"/>
      <c r="K183" s="133"/>
      <c r="L183" s="17"/>
      <c r="M183" s="8"/>
      <c r="N183" s="512"/>
      <c r="O183" s="444"/>
    </row>
    <row r="184" spans="1:16" s="18" customFormat="1" ht="33" customHeight="1" x14ac:dyDescent="0.3">
      <c r="A184" s="518"/>
      <c r="B184" s="439">
        <v>46099</v>
      </c>
      <c r="C184" s="4"/>
      <c r="D184" s="4"/>
      <c r="E184" s="511"/>
      <c r="F184" s="511"/>
      <c r="G184" s="17"/>
      <c r="H184" s="513"/>
      <c r="I184" s="511"/>
      <c r="J184" s="513"/>
      <c r="K184" s="133"/>
      <c r="L184" s="17"/>
      <c r="M184" s="8"/>
      <c r="N184" s="511" t="s">
        <v>5328</v>
      </c>
      <c r="O184" s="444"/>
    </row>
    <row r="185" spans="1:16" s="18" customFormat="1" ht="33" customHeight="1" x14ac:dyDescent="0.3">
      <c r="A185" s="518"/>
      <c r="B185" s="445"/>
      <c r="C185" s="4"/>
      <c r="D185" s="4"/>
      <c r="E185" s="310"/>
      <c r="F185" s="511"/>
      <c r="G185" s="17"/>
      <c r="H185" s="513"/>
      <c r="I185" s="511"/>
      <c r="J185" s="511"/>
      <c r="K185" s="133"/>
      <c r="L185" s="17"/>
      <c r="M185" s="8"/>
      <c r="N185" s="511"/>
      <c r="O185" s="342"/>
    </row>
    <row r="186" spans="1:16" s="18" customFormat="1" ht="33" customHeight="1" x14ac:dyDescent="0.3">
      <c r="A186" s="518"/>
      <c r="B186" s="439">
        <v>46100</v>
      </c>
      <c r="C186" s="4"/>
      <c r="D186" s="4"/>
      <c r="E186" s="511"/>
      <c r="F186" s="511"/>
      <c r="G186" s="17"/>
      <c r="H186" s="513"/>
      <c r="I186" s="511"/>
      <c r="J186" s="513"/>
      <c r="K186" s="133"/>
      <c r="L186" s="17"/>
      <c r="M186" s="8"/>
      <c r="N186" s="512"/>
      <c r="O186" s="444"/>
    </row>
    <row r="187" spans="1:16" s="18" customFormat="1" ht="33" customHeight="1" x14ac:dyDescent="0.3">
      <c r="A187" s="518"/>
      <c r="B187" s="445"/>
      <c r="C187" s="4"/>
      <c r="D187" s="4"/>
      <c r="E187" s="310"/>
      <c r="F187" s="511"/>
      <c r="G187" s="17"/>
      <c r="H187" s="513"/>
      <c r="I187" s="511"/>
      <c r="J187" s="511"/>
      <c r="K187" s="133"/>
      <c r="L187" s="17"/>
      <c r="M187" s="8"/>
      <c r="N187" s="511"/>
      <c r="O187" s="342"/>
    </row>
    <row r="188" spans="1:16" s="18" customFormat="1" ht="33" customHeight="1" x14ac:dyDescent="0.3">
      <c r="A188" s="518"/>
      <c r="B188" s="439">
        <v>46101</v>
      </c>
      <c r="C188" s="4"/>
      <c r="D188" s="4"/>
      <c r="E188" s="511"/>
      <c r="F188" s="310"/>
      <c r="G188" s="17"/>
      <c r="H188" s="513"/>
      <c r="I188" s="511"/>
      <c r="J188" s="513"/>
      <c r="K188" s="133"/>
      <c r="L188" s="17"/>
      <c r="M188" s="8"/>
      <c r="N188" s="511" t="s">
        <v>5312</v>
      </c>
      <c r="O188" s="446"/>
    </row>
    <row r="189" spans="1:16" s="18" customFormat="1" ht="33" customHeight="1" x14ac:dyDescent="0.3">
      <c r="A189" s="518"/>
      <c r="B189" s="445"/>
      <c r="C189" s="4"/>
      <c r="D189" s="4"/>
      <c r="E189" s="511"/>
      <c r="F189" s="511"/>
      <c r="G189" s="17"/>
      <c r="H189" s="513"/>
      <c r="I189" s="511"/>
      <c r="J189" s="511"/>
      <c r="K189" s="133"/>
      <c r="L189" s="17"/>
      <c r="M189" s="8"/>
      <c r="N189" s="511"/>
      <c r="O189" s="341"/>
    </row>
    <row r="190" spans="1:16" s="18" customFormat="1" ht="33" customHeight="1" x14ac:dyDescent="0.3">
      <c r="A190" s="518"/>
      <c r="B190" s="439">
        <v>46102</v>
      </c>
      <c r="C190" s="4"/>
      <c r="D190" s="4"/>
      <c r="E190" s="511"/>
      <c r="F190" s="511"/>
      <c r="G190" s="17"/>
      <c r="H190" s="513"/>
      <c r="I190" s="513"/>
      <c r="J190" s="513"/>
      <c r="K190" s="133"/>
      <c r="L190" s="17"/>
      <c r="M190" s="8"/>
      <c r="N190" s="513"/>
      <c r="O190" s="39"/>
    </row>
    <row r="191" spans="1:16" s="18" customFormat="1" ht="33" customHeight="1" x14ac:dyDescent="0.3">
      <c r="A191" s="519"/>
      <c r="B191" s="440"/>
      <c r="C191" s="4"/>
      <c r="D191" s="4"/>
      <c r="E191" s="511"/>
      <c r="F191" s="511"/>
      <c r="G191" s="17"/>
      <c r="H191" s="513"/>
      <c r="I191" s="513"/>
      <c r="J191" s="513"/>
      <c r="K191" s="133"/>
      <c r="L191" s="17"/>
      <c r="M191" s="8"/>
      <c r="N191" s="511"/>
      <c r="O191" s="342"/>
    </row>
    <row r="192" spans="1:16" s="18" customFormat="1" ht="33" customHeight="1" x14ac:dyDescent="0.3">
      <c r="A192" s="345" t="s">
        <v>5347</v>
      </c>
      <c r="B192" s="346" t="s">
        <v>1</v>
      </c>
      <c r="C192" s="345" t="s">
        <v>2</v>
      </c>
      <c r="D192" s="345" t="s">
        <v>3</v>
      </c>
      <c r="E192" s="345" t="s">
        <v>4</v>
      </c>
      <c r="F192" s="345" t="s">
        <v>5</v>
      </c>
      <c r="G192" s="345" t="s">
        <v>6</v>
      </c>
      <c r="H192" s="347" t="s">
        <v>7</v>
      </c>
      <c r="I192" s="345" t="s">
        <v>2233</v>
      </c>
      <c r="J192" s="345" t="s">
        <v>9</v>
      </c>
      <c r="K192" s="348" t="s">
        <v>5343</v>
      </c>
      <c r="L192" s="349" t="s">
        <v>5300</v>
      </c>
      <c r="M192" s="345" t="s">
        <v>5324</v>
      </c>
      <c r="N192" s="352" t="s">
        <v>5243</v>
      </c>
      <c r="O192" s="345" t="s">
        <v>5302</v>
      </c>
    </row>
    <row r="193" spans="1:15" s="18" customFormat="1" ht="33" customHeight="1" x14ac:dyDescent="0.3">
      <c r="A193" s="517" t="s">
        <v>5348</v>
      </c>
      <c r="B193" s="439">
        <v>46104</v>
      </c>
      <c r="C193" s="4"/>
      <c r="D193" s="4"/>
      <c r="E193" s="511"/>
      <c r="F193" s="513"/>
      <c r="G193" s="17"/>
      <c r="H193" s="513"/>
      <c r="I193" s="511"/>
      <c r="J193" s="511"/>
      <c r="K193" s="133"/>
      <c r="L193" s="17"/>
      <c r="M193" s="8"/>
      <c r="N193" s="511" t="s">
        <v>5312</v>
      </c>
      <c r="O193" s="32"/>
    </row>
    <row r="194" spans="1:15" s="18" customFormat="1" ht="33" customHeight="1" x14ac:dyDescent="0.3">
      <c r="A194" s="518"/>
      <c r="B194" s="445"/>
      <c r="C194" s="4"/>
      <c r="D194" s="4"/>
      <c r="E194" s="310"/>
      <c r="F194" s="511"/>
      <c r="G194" s="17"/>
      <c r="H194" s="513"/>
      <c r="I194" s="511"/>
      <c r="J194" s="511"/>
      <c r="K194" s="133"/>
      <c r="L194" s="17"/>
      <c r="M194" s="8"/>
      <c r="N194" s="511"/>
      <c r="O194" s="32"/>
    </row>
    <row r="195" spans="1:15" s="18" customFormat="1" ht="33" customHeight="1" x14ac:dyDescent="0.3">
      <c r="A195" s="518"/>
      <c r="B195" s="439">
        <v>46105</v>
      </c>
      <c r="C195" s="4"/>
      <c r="D195" s="4"/>
      <c r="E195" s="511"/>
      <c r="F195" s="511"/>
      <c r="G195" s="17"/>
      <c r="H195" s="513"/>
      <c r="I195" s="511"/>
      <c r="J195" s="513"/>
      <c r="K195" s="133"/>
      <c r="L195" s="17"/>
      <c r="M195" s="8"/>
      <c r="N195" s="512"/>
      <c r="O195" s="444"/>
    </row>
    <row r="196" spans="1:15" s="18" customFormat="1" ht="33" customHeight="1" x14ac:dyDescent="0.3">
      <c r="A196" s="518"/>
      <c r="B196" s="445"/>
      <c r="C196" s="4"/>
      <c r="D196" s="4"/>
      <c r="E196" s="511"/>
      <c r="F196" s="511"/>
      <c r="G196" s="17"/>
      <c r="H196" s="513"/>
      <c r="I196" s="511"/>
      <c r="J196" s="513"/>
      <c r="K196" s="133"/>
      <c r="L196" s="17"/>
      <c r="M196" s="8"/>
      <c r="N196" s="512"/>
      <c r="O196" s="444"/>
    </row>
    <row r="197" spans="1:15" s="18" customFormat="1" ht="33" customHeight="1" x14ac:dyDescent="0.3">
      <c r="A197" s="518"/>
      <c r="B197" s="439">
        <v>46106</v>
      </c>
      <c r="C197" s="4"/>
      <c r="D197" s="4"/>
      <c r="E197" s="511"/>
      <c r="F197" s="511"/>
      <c r="G197" s="17"/>
      <c r="H197" s="513"/>
      <c r="I197" s="511"/>
      <c r="J197" s="513"/>
      <c r="K197" s="133"/>
      <c r="L197" s="17"/>
      <c r="M197" s="8"/>
      <c r="N197" s="511" t="s">
        <v>5328</v>
      </c>
      <c r="O197" s="444"/>
    </row>
    <row r="198" spans="1:15" s="18" customFormat="1" ht="33" customHeight="1" x14ac:dyDescent="0.3">
      <c r="A198" s="518"/>
      <c r="B198" s="445"/>
      <c r="C198" s="4"/>
      <c r="D198" s="4"/>
      <c r="E198" s="310"/>
      <c r="F198" s="511"/>
      <c r="G198" s="17"/>
      <c r="H198" s="513"/>
      <c r="I198" s="511"/>
      <c r="J198" s="511"/>
      <c r="K198" s="133"/>
      <c r="L198" s="17"/>
      <c r="M198" s="8"/>
      <c r="N198" s="511"/>
      <c r="O198" s="342"/>
    </row>
    <row r="199" spans="1:15" s="18" customFormat="1" ht="33" customHeight="1" x14ac:dyDescent="0.3">
      <c r="A199" s="518"/>
      <c r="B199" s="439">
        <v>46107</v>
      </c>
      <c r="C199" s="4"/>
      <c r="D199" s="4"/>
      <c r="E199" s="511"/>
      <c r="F199" s="511"/>
      <c r="G199" s="17"/>
      <c r="H199" s="513"/>
      <c r="I199" s="511"/>
      <c r="J199" s="513"/>
      <c r="K199" s="133"/>
      <c r="L199" s="17"/>
      <c r="M199" s="8"/>
      <c r="N199" s="512"/>
      <c r="O199" s="444"/>
    </row>
    <row r="200" spans="1:15" s="18" customFormat="1" ht="33" customHeight="1" x14ac:dyDescent="0.3">
      <c r="A200" s="518"/>
      <c r="B200" s="445"/>
      <c r="C200" s="4"/>
      <c r="D200" s="4"/>
      <c r="E200" s="310"/>
      <c r="F200" s="511"/>
      <c r="G200" s="17"/>
      <c r="H200" s="513"/>
      <c r="I200" s="511"/>
      <c r="J200" s="511"/>
      <c r="K200" s="133"/>
      <c r="L200" s="17"/>
      <c r="M200" s="8"/>
      <c r="N200" s="511"/>
      <c r="O200" s="342"/>
    </row>
    <row r="201" spans="1:15" s="18" customFormat="1" ht="33" customHeight="1" x14ac:dyDescent="0.3">
      <c r="A201" s="518"/>
      <c r="B201" s="439">
        <v>46108</v>
      </c>
      <c r="C201" s="4"/>
      <c r="D201" s="4"/>
      <c r="E201" s="511"/>
      <c r="F201" s="310"/>
      <c r="G201" s="17"/>
      <c r="H201" s="513"/>
      <c r="I201" s="511"/>
      <c r="J201" s="513"/>
      <c r="K201" s="133"/>
      <c r="L201" s="17"/>
      <c r="M201" s="8"/>
      <c r="N201" s="511" t="s">
        <v>5321</v>
      </c>
      <c r="O201" s="446"/>
    </row>
    <row r="202" spans="1:15" s="18" customFormat="1" ht="33" customHeight="1" x14ac:dyDescent="0.3">
      <c r="A202" s="518"/>
      <c r="B202" s="445"/>
      <c r="C202" s="4"/>
      <c r="D202" s="4"/>
      <c r="E202" s="511"/>
      <c r="F202" s="511"/>
      <c r="G202" s="17"/>
      <c r="H202" s="513"/>
      <c r="I202" s="511"/>
      <c r="J202" s="511"/>
      <c r="K202" s="133"/>
      <c r="L202" s="17"/>
      <c r="M202" s="8"/>
      <c r="N202" s="511"/>
      <c r="O202" s="341"/>
    </row>
    <row r="203" spans="1:15" s="18" customFormat="1" ht="33" customHeight="1" x14ac:dyDescent="0.3">
      <c r="A203" s="518"/>
      <c r="B203" s="439">
        <v>46109</v>
      </c>
      <c r="C203" s="4"/>
      <c r="D203" s="4"/>
      <c r="E203" s="511"/>
      <c r="F203" s="511"/>
      <c r="G203" s="17"/>
      <c r="H203" s="513"/>
      <c r="I203" s="513"/>
      <c r="J203" s="513"/>
      <c r="K203" s="133"/>
      <c r="L203" s="17"/>
      <c r="M203" s="8"/>
      <c r="N203" s="513"/>
      <c r="O203" s="39"/>
    </row>
    <row r="204" spans="1:15" s="18" customFormat="1" ht="33" customHeight="1" x14ac:dyDescent="0.3">
      <c r="A204" s="519"/>
      <c r="B204" s="440"/>
      <c r="C204" s="4"/>
      <c r="D204" s="4"/>
      <c r="E204" s="511"/>
      <c r="F204" s="511"/>
      <c r="G204" s="17"/>
      <c r="H204" s="513"/>
      <c r="I204" s="513"/>
      <c r="J204" s="513"/>
      <c r="K204" s="133"/>
      <c r="L204" s="17"/>
      <c r="M204" s="8"/>
      <c r="N204" s="511"/>
      <c r="O204" s="342"/>
    </row>
    <row r="205" spans="1:15" s="18" customFormat="1" ht="33" customHeight="1" x14ac:dyDescent="0.3">
      <c r="A205" s="345" t="s">
        <v>5298</v>
      </c>
      <c r="B205" s="346" t="s">
        <v>1</v>
      </c>
      <c r="C205" s="345" t="s">
        <v>2</v>
      </c>
      <c r="D205" s="345" t="s">
        <v>3</v>
      </c>
      <c r="E205" s="345" t="s">
        <v>4</v>
      </c>
      <c r="F205" s="345" t="s">
        <v>5</v>
      </c>
      <c r="G205" s="345" t="s">
        <v>6</v>
      </c>
      <c r="H205" s="347" t="s">
        <v>7</v>
      </c>
      <c r="I205" s="345" t="s">
        <v>5237</v>
      </c>
      <c r="J205" s="345" t="s">
        <v>9</v>
      </c>
      <c r="K205" s="348" t="s">
        <v>10</v>
      </c>
      <c r="L205" s="349" t="s">
        <v>5238</v>
      </c>
      <c r="M205" s="345" t="s">
        <v>5324</v>
      </c>
      <c r="N205" s="352" t="s">
        <v>5345</v>
      </c>
      <c r="O205" s="345" t="s">
        <v>5326</v>
      </c>
    </row>
    <row r="206" spans="1:15" s="18" customFormat="1" ht="33" customHeight="1" x14ac:dyDescent="0.3">
      <c r="A206" s="517" t="s">
        <v>5349</v>
      </c>
      <c r="B206" s="439">
        <v>46111</v>
      </c>
      <c r="C206" s="197" t="s">
        <v>5260</v>
      </c>
      <c r="D206" s="197" t="s">
        <v>5335</v>
      </c>
      <c r="E206" s="255" t="s">
        <v>5350</v>
      </c>
      <c r="F206" s="498" t="s">
        <v>5351</v>
      </c>
      <c r="G206" s="423" t="s">
        <v>5352</v>
      </c>
      <c r="H206" s="255" t="s">
        <v>5353</v>
      </c>
      <c r="I206" s="336" t="s">
        <v>5354</v>
      </c>
      <c r="J206" s="255"/>
      <c r="K206" s="256" t="s">
        <v>438</v>
      </c>
      <c r="L206" s="423"/>
      <c r="M206" s="449"/>
      <c r="N206" s="511" t="s">
        <v>5321</v>
      </c>
      <c r="O206" s="452" t="s">
        <v>5355</v>
      </c>
    </row>
    <row r="207" spans="1:15" s="18" customFormat="1" ht="33" customHeight="1" x14ac:dyDescent="0.3">
      <c r="A207" s="518"/>
      <c r="B207" s="445"/>
      <c r="C207" s="4"/>
      <c r="D207" s="4"/>
      <c r="E207" s="310"/>
      <c r="F207" s="511"/>
      <c r="G207" s="17"/>
      <c r="H207" s="513"/>
      <c r="I207" s="511"/>
      <c r="J207" s="511"/>
      <c r="K207" s="133"/>
      <c r="L207" s="17"/>
      <c r="M207" s="8"/>
      <c r="N207" s="511"/>
      <c r="O207" s="32"/>
    </row>
    <row r="208" spans="1:15" s="18" customFormat="1" ht="33" customHeight="1" x14ac:dyDescent="0.3">
      <c r="A208" s="518"/>
      <c r="B208" s="439">
        <v>46112</v>
      </c>
      <c r="C208" s="4"/>
      <c r="D208" s="4"/>
      <c r="E208" s="511"/>
      <c r="F208" s="511"/>
      <c r="G208" s="17"/>
      <c r="H208" s="513"/>
      <c r="I208" s="511"/>
      <c r="J208" s="513"/>
      <c r="K208" s="133"/>
      <c r="L208" s="17"/>
      <c r="M208" s="8"/>
      <c r="N208" s="512"/>
      <c r="O208" s="444"/>
    </row>
    <row r="209" spans="1:15" s="18" customFormat="1" ht="33" customHeight="1" x14ac:dyDescent="0.3">
      <c r="A209" s="518"/>
      <c r="B209" s="445"/>
      <c r="C209" s="4"/>
      <c r="D209" s="4"/>
      <c r="E209" s="511"/>
      <c r="F209" s="511"/>
      <c r="G209" s="17"/>
      <c r="H209" s="513"/>
      <c r="I209" s="511"/>
      <c r="J209" s="513"/>
      <c r="K209" s="133"/>
      <c r="L209" s="17"/>
      <c r="M209" s="8"/>
      <c r="N209" s="512"/>
      <c r="O209" s="444"/>
    </row>
    <row r="210" spans="1:15" s="18" customFormat="1" ht="33" customHeight="1" x14ac:dyDescent="0.3">
      <c r="A210" s="518"/>
      <c r="B210" s="439">
        <v>46113</v>
      </c>
      <c r="C210" s="4"/>
      <c r="D210" s="4"/>
      <c r="E210" s="511"/>
      <c r="F210" s="511"/>
      <c r="G210" s="17"/>
      <c r="H210" s="513"/>
      <c r="I210" s="511"/>
      <c r="J210" s="513"/>
      <c r="K210" s="133"/>
      <c r="L210" s="17"/>
      <c r="M210" s="8"/>
      <c r="N210" s="511" t="s">
        <v>5313</v>
      </c>
      <c r="O210" s="444"/>
    </row>
    <row r="211" spans="1:15" s="18" customFormat="1" ht="33" customHeight="1" x14ac:dyDescent="0.3">
      <c r="A211" s="518"/>
      <c r="B211" s="445"/>
      <c r="C211" s="4"/>
      <c r="D211" s="4"/>
      <c r="E211" s="310"/>
      <c r="F211" s="511"/>
      <c r="G211" s="17"/>
      <c r="H211" s="513"/>
      <c r="I211" s="511"/>
      <c r="J211" s="511"/>
      <c r="K211" s="133"/>
      <c r="L211" s="17"/>
      <c r="M211" s="8"/>
      <c r="N211" s="511"/>
      <c r="O211" s="342"/>
    </row>
    <row r="212" spans="1:15" s="18" customFormat="1" ht="33" customHeight="1" x14ac:dyDescent="0.3">
      <c r="A212" s="518"/>
      <c r="B212" s="439">
        <v>46114</v>
      </c>
      <c r="C212" s="4"/>
      <c r="D212" s="4"/>
      <c r="E212" s="511"/>
      <c r="F212" s="511"/>
      <c r="G212" s="17"/>
      <c r="H212" s="513"/>
      <c r="I212" s="511"/>
      <c r="J212" s="513"/>
      <c r="K212" s="133"/>
      <c r="L212" s="17"/>
      <c r="M212" s="8"/>
      <c r="N212" s="512"/>
      <c r="O212" s="444"/>
    </row>
    <row r="213" spans="1:15" s="18" customFormat="1" ht="33" customHeight="1" x14ac:dyDescent="0.3">
      <c r="A213" s="518"/>
      <c r="B213" s="445"/>
      <c r="C213" s="4"/>
      <c r="D213" s="4"/>
      <c r="E213" s="310"/>
      <c r="F213" s="511"/>
      <c r="G213" s="17"/>
      <c r="H213" s="513"/>
      <c r="I213" s="511"/>
      <c r="J213" s="511"/>
      <c r="K213" s="133"/>
      <c r="L213" s="17"/>
      <c r="M213" s="8"/>
      <c r="N213" s="511"/>
      <c r="O213" s="342"/>
    </row>
    <row r="214" spans="1:15" s="18" customFormat="1" ht="33" customHeight="1" x14ac:dyDescent="0.3">
      <c r="A214" s="518"/>
      <c r="B214" s="439">
        <v>46115</v>
      </c>
      <c r="C214" s="4"/>
      <c r="D214" s="4"/>
      <c r="E214" s="511"/>
      <c r="F214" s="310"/>
      <c r="G214" s="17"/>
      <c r="H214" s="513"/>
      <c r="I214" s="511"/>
      <c r="J214" s="513"/>
      <c r="K214" s="133"/>
      <c r="L214" s="17"/>
      <c r="M214" s="8"/>
      <c r="N214" s="511" t="s">
        <v>5356</v>
      </c>
      <c r="O214" s="446"/>
    </row>
    <row r="215" spans="1:15" s="18" customFormat="1" ht="33" customHeight="1" x14ac:dyDescent="0.3">
      <c r="A215" s="518"/>
      <c r="B215" s="445"/>
      <c r="C215" s="4"/>
      <c r="D215" s="4"/>
      <c r="E215" s="511"/>
      <c r="F215" s="511"/>
      <c r="G215" s="17"/>
      <c r="H215" s="513"/>
      <c r="I215" s="511"/>
      <c r="J215" s="511"/>
      <c r="K215" s="133"/>
      <c r="L215" s="17"/>
      <c r="M215" s="8"/>
      <c r="N215" s="511"/>
      <c r="O215" s="341"/>
    </row>
    <row r="216" spans="1:15" s="18" customFormat="1" ht="33" customHeight="1" x14ac:dyDescent="0.3">
      <c r="A216" s="518"/>
      <c r="B216" s="439">
        <v>46116</v>
      </c>
      <c r="C216" s="4"/>
      <c r="D216" s="4"/>
      <c r="E216" s="511"/>
      <c r="F216" s="511"/>
      <c r="G216" s="17"/>
      <c r="H216" s="513"/>
      <c r="I216" s="513"/>
      <c r="J216" s="513"/>
      <c r="K216" s="133"/>
      <c r="L216" s="17"/>
      <c r="M216" s="8"/>
      <c r="N216" s="513"/>
      <c r="O216" s="39"/>
    </row>
    <row r="217" spans="1:15" s="18" customFormat="1" ht="33" customHeight="1" x14ac:dyDescent="0.3">
      <c r="A217" s="519"/>
      <c r="B217" s="440"/>
      <c r="C217" s="4"/>
      <c r="D217" s="4"/>
      <c r="E217" s="511"/>
      <c r="F217" s="511"/>
      <c r="G217" s="17"/>
      <c r="H217" s="513"/>
      <c r="I217" s="513"/>
      <c r="J217" s="513"/>
      <c r="K217" s="133"/>
      <c r="L217" s="17"/>
      <c r="M217" s="8"/>
      <c r="N217" s="511"/>
      <c r="O217" s="342"/>
    </row>
    <row r="218" spans="1:15" s="18" customFormat="1" ht="33" customHeight="1" x14ac:dyDescent="0.3">
      <c r="A218" s="345" t="s">
        <v>5298</v>
      </c>
      <c r="B218" s="346" t="s">
        <v>1</v>
      </c>
      <c r="C218" s="345" t="s">
        <v>2</v>
      </c>
      <c r="D218" s="345" t="s">
        <v>3</v>
      </c>
      <c r="E218" s="345" t="s">
        <v>4</v>
      </c>
      <c r="F218" s="345" t="s">
        <v>5</v>
      </c>
      <c r="G218" s="345" t="s">
        <v>6</v>
      </c>
      <c r="H218" s="347" t="s">
        <v>7</v>
      </c>
      <c r="I218" s="345" t="s">
        <v>5357</v>
      </c>
      <c r="J218" s="345" t="s">
        <v>9</v>
      </c>
      <c r="K218" s="348" t="s">
        <v>5358</v>
      </c>
      <c r="L218" s="349" t="s">
        <v>5300</v>
      </c>
      <c r="M218" s="345" t="s">
        <v>5241</v>
      </c>
      <c r="N218" s="352" t="s">
        <v>5242</v>
      </c>
      <c r="O218" s="345" t="s">
        <v>5244</v>
      </c>
    </row>
    <row r="219" spans="1:15" s="18" customFormat="1" ht="33" customHeight="1" x14ac:dyDescent="0.3">
      <c r="A219" s="517" t="s">
        <v>5359</v>
      </c>
      <c r="B219" s="439">
        <v>46118</v>
      </c>
      <c r="C219" s="4"/>
      <c r="D219" s="4"/>
      <c r="E219" s="511"/>
      <c r="F219" s="513"/>
      <c r="G219" s="17"/>
      <c r="H219" s="513"/>
      <c r="I219" s="511"/>
      <c r="J219" s="511"/>
      <c r="K219" s="133"/>
      <c r="L219" s="17"/>
      <c r="M219" s="8"/>
      <c r="N219" s="511" t="s">
        <v>5328</v>
      </c>
      <c r="O219" s="32"/>
    </row>
    <row r="220" spans="1:15" s="18" customFormat="1" ht="33" customHeight="1" x14ac:dyDescent="0.3">
      <c r="A220" s="518"/>
      <c r="B220" s="445"/>
      <c r="C220" s="4"/>
      <c r="D220" s="4"/>
      <c r="E220" s="310"/>
      <c r="F220" s="511"/>
      <c r="G220" s="17"/>
      <c r="H220" s="513"/>
      <c r="I220" s="511"/>
      <c r="J220" s="511"/>
      <c r="K220" s="133"/>
      <c r="L220" s="17"/>
      <c r="M220" s="8"/>
      <c r="N220" s="511"/>
      <c r="O220" s="32"/>
    </row>
    <row r="221" spans="1:15" s="18" customFormat="1" ht="33" customHeight="1" x14ac:dyDescent="0.3">
      <c r="A221" s="518"/>
      <c r="B221" s="439">
        <v>46119</v>
      </c>
      <c r="C221" s="4"/>
      <c r="D221" s="4"/>
      <c r="E221" s="511"/>
      <c r="F221" s="511"/>
      <c r="G221" s="17"/>
      <c r="H221" s="513"/>
      <c r="I221" s="511"/>
      <c r="J221" s="513"/>
      <c r="K221" s="133"/>
      <c r="L221" s="17"/>
      <c r="M221" s="8"/>
      <c r="N221" s="512"/>
      <c r="O221" s="444"/>
    </row>
    <row r="222" spans="1:15" s="18" customFormat="1" ht="33" customHeight="1" x14ac:dyDescent="0.3">
      <c r="A222" s="518"/>
      <c r="B222" s="445"/>
      <c r="C222" s="4"/>
      <c r="D222" s="4"/>
      <c r="E222" s="511"/>
      <c r="F222" s="511"/>
      <c r="G222" s="17"/>
      <c r="H222" s="513"/>
      <c r="I222" s="511"/>
      <c r="J222" s="513"/>
      <c r="K222" s="133"/>
      <c r="L222" s="17"/>
      <c r="M222" s="8"/>
      <c r="N222" s="512"/>
      <c r="O222" s="444"/>
    </row>
    <row r="223" spans="1:15" s="18" customFormat="1" ht="33" customHeight="1" x14ac:dyDescent="0.3">
      <c r="A223" s="518"/>
      <c r="B223" s="439">
        <v>46120</v>
      </c>
      <c r="C223" s="4"/>
      <c r="D223" s="4"/>
      <c r="E223" s="511"/>
      <c r="F223" s="511"/>
      <c r="G223" s="17"/>
      <c r="H223" s="513"/>
      <c r="I223" s="511"/>
      <c r="J223" s="513"/>
      <c r="K223" s="133"/>
      <c r="L223" s="17"/>
      <c r="M223" s="8"/>
      <c r="N223" s="511" t="s">
        <v>5321</v>
      </c>
      <c r="O223" s="444"/>
    </row>
    <row r="224" spans="1:15" s="18" customFormat="1" ht="33" customHeight="1" x14ac:dyDescent="0.3">
      <c r="A224" s="518"/>
      <c r="B224" s="445"/>
      <c r="C224" s="4"/>
      <c r="D224" s="4"/>
      <c r="E224" s="310"/>
      <c r="F224" s="511"/>
      <c r="G224" s="17"/>
      <c r="H224" s="513"/>
      <c r="I224" s="511"/>
      <c r="J224" s="511"/>
      <c r="K224" s="133"/>
      <c r="L224" s="17"/>
      <c r="M224" s="8"/>
      <c r="N224" s="511"/>
      <c r="O224" s="342"/>
    </row>
    <row r="225" spans="1:15" s="18" customFormat="1" ht="33" customHeight="1" x14ac:dyDescent="0.3">
      <c r="A225" s="518"/>
      <c r="B225" s="439">
        <v>46121</v>
      </c>
      <c r="C225" s="4"/>
      <c r="D225" s="4"/>
      <c r="E225" s="511"/>
      <c r="F225" s="511"/>
      <c r="G225" s="17"/>
      <c r="H225" s="513"/>
      <c r="I225" s="511"/>
      <c r="J225" s="513"/>
      <c r="K225" s="133"/>
      <c r="L225" s="17"/>
      <c r="M225" s="8"/>
      <c r="N225" s="512"/>
      <c r="O225" s="444"/>
    </row>
    <row r="226" spans="1:15" s="18" customFormat="1" ht="33" customHeight="1" x14ac:dyDescent="0.3">
      <c r="A226" s="518"/>
      <c r="B226" s="445"/>
      <c r="C226" s="4"/>
      <c r="D226" s="4"/>
      <c r="E226" s="310"/>
      <c r="F226" s="511"/>
      <c r="G226" s="17"/>
      <c r="H226" s="513"/>
      <c r="I226" s="511"/>
      <c r="J226" s="511"/>
      <c r="K226" s="133"/>
      <c r="L226" s="17"/>
      <c r="M226" s="8"/>
      <c r="N226" s="511"/>
      <c r="O226" s="342"/>
    </row>
    <row r="227" spans="1:15" s="18" customFormat="1" ht="33" customHeight="1" x14ac:dyDescent="0.3">
      <c r="A227" s="518"/>
      <c r="B227" s="439">
        <v>46122</v>
      </c>
      <c r="C227" s="4"/>
      <c r="D227" s="4"/>
      <c r="E227" s="511"/>
      <c r="F227" s="310"/>
      <c r="G227" s="17"/>
      <c r="H227" s="513"/>
      <c r="I227" s="511"/>
      <c r="J227" s="513"/>
      <c r="K227" s="133"/>
      <c r="L227" s="17"/>
      <c r="M227" s="8"/>
      <c r="N227" s="511" t="s">
        <v>5321</v>
      </c>
      <c r="O227" s="446"/>
    </row>
    <row r="228" spans="1:15" s="18" customFormat="1" ht="33" customHeight="1" x14ac:dyDescent="0.3">
      <c r="A228" s="518"/>
      <c r="B228" s="445"/>
      <c r="C228" s="4"/>
      <c r="D228" s="4"/>
      <c r="E228" s="511"/>
      <c r="F228" s="511"/>
      <c r="G228" s="17"/>
      <c r="H228" s="513"/>
      <c r="I228" s="511"/>
      <c r="J228" s="511"/>
      <c r="K228" s="133"/>
      <c r="L228" s="17"/>
      <c r="M228" s="8"/>
      <c r="N228" s="511"/>
      <c r="O228" s="341"/>
    </row>
    <row r="229" spans="1:15" s="18" customFormat="1" ht="33" customHeight="1" x14ac:dyDescent="0.3">
      <c r="A229" s="518"/>
      <c r="B229" s="439">
        <v>46123</v>
      </c>
      <c r="C229" s="4"/>
      <c r="D229" s="4"/>
      <c r="E229" s="511"/>
      <c r="F229" s="511"/>
      <c r="G229" s="17"/>
      <c r="H229" s="513"/>
      <c r="I229" s="513"/>
      <c r="J229" s="513"/>
      <c r="K229" s="133"/>
      <c r="L229" s="17"/>
      <c r="M229" s="8"/>
      <c r="N229" s="513"/>
      <c r="O229" s="39"/>
    </row>
    <row r="230" spans="1:15" s="18" customFormat="1" ht="33" customHeight="1" x14ac:dyDescent="0.3">
      <c r="A230" s="519"/>
      <c r="B230" s="440"/>
      <c r="C230" s="4"/>
      <c r="D230" s="4"/>
      <c r="E230" s="511"/>
      <c r="F230" s="511"/>
      <c r="G230" s="17"/>
      <c r="H230" s="513"/>
      <c r="I230" s="513"/>
      <c r="J230" s="513"/>
      <c r="K230" s="133"/>
      <c r="L230" s="17"/>
      <c r="M230" s="8"/>
      <c r="N230" s="511"/>
      <c r="O230" s="342"/>
    </row>
    <row r="231" spans="1:15" s="18" customFormat="1" ht="33" customHeight="1" x14ac:dyDescent="0.3">
      <c r="A231" s="345" t="s">
        <v>5347</v>
      </c>
      <c r="B231" s="346" t="s">
        <v>1</v>
      </c>
      <c r="C231" s="345" t="s">
        <v>2</v>
      </c>
      <c r="D231" s="345" t="s">
        <v>3</v>
      </c>
      <c r="E231" s="345" t="s">
        <v>4</v>
      </c>
      <c r="F231" s="345" t="s">
        <v>5</v>
      </c>
      <c r="G231" s="345" t="s">
        <v>6</v>
      </c>
      <c r="H231" s="347" t="s">
        <v>7</v>
      </c>
      <c r="I231" s="345" t="s">
        <v>5360</v>
      </c>
      <c r="J231" s="345" t="s">
        <v>9</v>
      </c>
      <c r="K231" s="348" t="s">
        <v>5343</v>
      </c>
      <c r="L231" s="349" t="s">
        <v>5238</v>
      </c>
      <c r="M231" s="345" t="s">
        <v>5324</v>
      </c>
      <c r="N231" s="352" t="s">
        <v>5325</v>
      </c>
      <c r="O231" s="345" t="s">
        <v>5244</v>
      </c>
    </row>
    <row r="232" spans="1:15" s="18" customFormat="1" ht="33" customHeight="1" x14ac:dyDescent="0.3">
      <c r="A232" s="517" t="s">
        <v>5361</v>
      </c>
      <c r="B232" s="439">
        <v>46125</v>
      </c>
      <c r="C232" s="4"/>
      <c r="D232" s="4"/>
      <c r="E232" s="511"/>
      <c r="F232" s="513"/>
      <c r="G232" s="17"/>
      <c r="H232" s="513"/>
      <c r="I232" s="511"/>
      <c r="J232" s="511"/>
      <c r="K232" s="133"/>
      <c r="L232" s="17"/>
      <c r="M232" s="8"/>
      <c r="N232" s="511" t="s">
        <v>5321</v>
      </c>
      <c r="O232" s="32"/>
    </row>
    <row r="233" spans="1:15" s="18" customFormat="1" ht="33" customHeight="1" x14ac:dyDescent="0.3">
      <c r="A233" s="518"/>
      <c r="B233" s="445"/>
      <c r="C233" s="4"/>
      <c r="D233" s="4"/>
      <c r="E233" s="310"/>
      <c r="F233" s="511"/>
      <c r="G233" s="17"/>
      <c r="H233" s="513"/>
      <c r="I233" s="511"/>
      <c r="J233" s="511"/>
      <c r="K233" s="133"/>
      <c r="L233" s="17"/>
      <c r="M233" s="8"/>
      <c r="N233" s="511"/>
      <c r="O233" s="32"/>
    </row>
    <row r="234" spans="1:15" s="18" customFormat="1" ht="33" customHeight="1" x14ac:dyDescent="0.3">
      <c r="A234" s="518"/>
      <c r="B234" s="439">
        <v>46126</v>
      </c>
      <c r="C234" s="4"/>
      <c r="D234" s="4"/>
      <c r="E234" s="511"/>
      <c r="F234" s="511"/>
      <c r="G234" s="17"/>
      <c r="H234" s="513"/>
      <c r="I234" s="511"/>
      <c r="J234" s="513"/>
      <c r="K234" s="133"/>
      <c r="L234" s="17"/>
      <c r="M234" s="8"/>
      <c r="N234" s="512"/>
      <c r="O234" s="444"/>
    </row>
    <row r="235" spans="1:15" s="18" customFormat="1" ht="33" customHeight="1" x14ac:dyDescent="0.3">
      <c r="A235" s="518"/>
      <c r="B235" s="445"/>
      <c r="C235" s="4"/>
      <c r="D235" s="4"/>
      <c r="E235" s="511"/>
      <c r="F235" s="511"/>
      <c r="G235" s="17"/>
      <c r="H235" s="513"/>
      <c r="I235" s="511"/>
      <c r="J235" s="513"/>
      <c r="K235" s="133"/>
      <c r="L235" s="17"/>
      <c r="M235" s="8"/>
      <c r="N235" s="512"/>
      <c r="O235" s="444"/>
    </row>
    <row r="236" spans="1:15" s="18" customFormat="1" ht="33" customHeight="1" x14ac:dyDescent="0.3">
      <c r="A236" s="518"/>
      <c r="B236" s="439">
        <v>46127</v>
      </c>
      <c r="C236" s="4"/>
      <c r="D236" s="4"/>
      <c r="E236" s="511"/>
      <c r="F236" s="511"/>
      <c r="G236" s="17"/>
      <c r="H236" s="513"/>
      <c r="I236" s="511"/>
      <c r="J236" s="513"/>
      <c r="K236" s="133"/>
      <c r="L236" s="17"/>
      <c r="M236" s="8"/>
      <c r="N236" s="511" t="s">
        <v>5313</v>
      </c>
      <c r="O236" s="444"/>
    </row>
    <row r="237" spans="1:15" s="18" customFormat="1" ht="33" customHeight="1" x14ac:dyDescent="0.3">
      <c r="A237" s="518"/>
      <c r="B237" s="445"/>
      <c r="C237" s="4"/>
      <c r="D237" s="4"/>
      <c r="E237" s="310"/>
      <c r="F237" s="511"/>
      <c r="G237" s="17"/>
      <c r="H237" s="513"/>
      <c r="I237" s="511"/>
      <c r="J237" s="511"/>
      <c r="K237" s="133"/>
      <c r="L237" s="17"/>
      <c r="M237" s="8"/>
      <c r="N237" s="511"/>
      <c r="O237" s="342"/>
    </row>
    <row r="238" spans="1:15" s="18" customFormat="1" ht="33" customHeight="1" x14ac:dyDescent="0.3">
      <c r="A238" s="518"/>
      <c r="B238" s="439">
        <v>46128</v>
      </c>
      <c r="C238" s="4"/>
      <c r="D238" s="4"/>
      <c r="E238" s="511"/>
      <c r="F238" s="511"/>
      <c r="G238" s="17"/>
      <c r="H238" s="513"/>
      <c r="I238" s="511"/>
      <c r="J238" s="513"/>
      <c r="K238" s="133"/>
      <c r="L238" s="17"/>
      <c r="M238" s="8"/>
      <c r="N238" s="512"/>
      <c r="O238" s="444"/>
    </row>
    <row r="239" spans="1:15" s="18" customFormat="1" ht="33" customHeight="1" x14ac:dyDescent="0.3">
      <c r="A239" s="518"/>
      <c r="B239" s="445"/>
      <c r="C239" s="4"/>
      <c r="D239" s="4"/>
      <c r="E239" s="310"/>
      <c r="F239" s="511"/>
      <c r="G239" s="17"/>
      <c r="H239" s="513"/>
      <c r="I239" s="511"/>
      <c r="J239" s="511"/>
      <c r="K239" s="133"/>
      <c r="L239" s="17"/>
      <c r="M239" s="8"/>
      <c r="N239" s="511"/>
      <c r="O239" s="342"/>
    </row>
    <row r="240" spans="1:15" s="18" customFormat="1" ht="33" customHeight="1" x14ac:dyDescent="0.3">
      <c r="A240" s="518"/>
      <c r="B240" s="439">
        <v>46129</v>
      </c>
      <c r="C240" s="4"/>
      <c r="D240" s="4"/>
      <c r="E240" s="511"/>
      <c r="F240" s="310"/>
      <c r="G240" s="17"/>
      <c r="H240" s="513"/>
      <c r="I240" s="511"/>
      <c r="J240" s="513"/>
      <c r="K240" s="133"/>
      <c r="L240" s="17"/>
      <c r="M240" s="8"/>
      <c r="N240" s="511" t="s">
        <v>5321</v>
      </c>
      <c r="O240" s="446"/>
    </row>
    <row r="241" spans="1:15" s="18" customFormat="1" ht="33" customHeight="1" x14ac:dyDescent="0.3">
      <c r="A241" s="518"/>
      <c r="B241" s="445"/>
      <c r="C241" s="4"/>
      <c r="D241" s="4"/>
      <c r="E241" s="511"/>
      <c r="F241" s="511"/>
      <c r="G241" s="17"/>
      <c r="H241" s="513"/>
      <c r="I241" s="511"/>
      <c r="J241" s="511"/>
      <c r="K241" s="133"/>
      <c r="L241" s="17"/>
      <c r="M241" s="8"/>
      <c r="N241" s="511"/>
      <c r="O241" s="341"/>
    </row>
    <row r="242" spans="1:15" s="18" customFormat="1" ht="33" customHeight="1" x14ac:dyDescent="0.3">
      <c r="A242" s="518"/>
      <c r="B242" s="439">
        <v>46130</v>
      </c>
      <c r="C242" s="4"/>
      <c r="D242" s="4"/>
      <c r="E242" s="511"/>
      <c r="F242" s="511"/>
      <c r="G242" s="17"/>
      <c r="H242" s="513"/>
      <c r="I242" s="513"/>
      <c r="J242" s="513"/>
      <c r="K242" s="133"/>
      <c r="L242" s="17"/>
      <c r="M242" s="8"/>
      <c r="N242" s="513"/>
      <c r="O242" s="39"/>
    </row>
    <row r="243" spans="1:15" s="18" customFormat="1" ht="33" customHeight="1" x14ac:dyDescent="0.3">
      <c r="A243" s="519"/>
      <c r="B243" s="440"/>
      <c r="C243" s="4"/>
      <c r="D243" s="4"/>
      <c r="E243" s="511"/>
      <c r="F243" s="511"/>
      <c r="G243" s="17"/>
      <c r="H243" s="513"/>
      <c r="I243" s="513"/>
      <c r="J243" s="513"/>
      <c r="K243" s="133"/>
      <c r="L243" s="17"/>
      <c r="M243" s="8"/>
      <c r="N243" s="511"/>
      <c r="O243" s="342"/>
    </row>
    <row r="244" spans="1:15" s="18" customFormat="1" ht="33" customHeight="1" x14ac:dyDescent="0.3">
      <c r="A244" s="345" t="s">
        <v>5298</v>
      </c>
      <c r="B244" s="346" t="s">
        <v>1</v>
      </c>
      <c r="C244" s="345" t="s">
        <v>2</v>
      </c>
      <c r="D244" s="345" t="s">
        <v>3</v>
      </c>
      <c r="E244" s="345" t="s">
        <v>4</v>
      </c>
      <c r="F244" s="345" t="s">
        <v>5</v>
      </c>
      <c r="G244" s="345" t="s">
        <v>6</v>
      </c>
      <c r="H244" s="347" t="s">
        <v>7</v>
      </c>
      <c r="I244" s="345" t="s">
        <v>2233</v>
      </c>
      <c r="J244" s="345" t="s">
        <v>9</v>
      </c>
      <c r="K244" s="348" t="s">
        <v>5343</v>
      </c>
      <c r="L244" s="349" t="s">
        <v>5239</v>
      </c>
      <c r="M244" s="345" t="s">
        <v>5344</v>
      </c>
      <c r="N244" s="352" t="s">
        <v>5345</v>
      </c>
      <c r="O244" s="345" t="s">
        <v>5302</v>
      </c>
    </row>
    <row r="245" spans="1:15" s="18" customFormat="1" ht="33" customHeight="1" x14ac:dyDescent="0.3">
      <c r="A245" s="517" t="s">
        <v>5362</v>
      </c>
      <c r="B245" s="439">
        <v>46132</v>
      </c>
      <c r="C245" s="4"/>
      <c r="D245" s="4"/>
      <c r="E245" s="511"/>
      <c r="F245" s="513"/>
      <c r="G245" s="17"/>
      <c r="H245" s="513"/>
      <c r="I245" s="511"/>
      <c r="J245" s="511"/>
      <c r="K245" s="133"/>
      <c r="L245" s="17"/>
      <c r="M245" s="8"/>
      <c r="N245" s="511" t="s">
        <v>5321</v>
      </c>
      <c r="O245" s="32"/>
    </row>
    <row r="246" spans="1:15" s="18" customFormat="1" ht="33" customHeight="1" x14ac:dyDescent="0.3">
      <c r="A246" s="518"/>
      <c r="B246" s="445"/>
      <c r="C246" s="4"/>
      <c r="D246" s="4"/>
      <c r="E246" s="310"/>
      <c r="F246" s="511"/>
      <c r="G246" s="17"/>
      <c r="H246" s="513"/>
      <c r="I246" s="511"/>
      <c r="J246" s="511"/>
      <c r="K246" s="133"/>
      <c r="L246" s="17"/>
      <c r="M246" s="8"/>
      <c r="N246" s="511"/>
      <c r="O246" s="32"/>
    </row>
    <row r="247" spans="1:15" s="18" customFormat="1" ht="33" customHeight="1" x14ac:dyDescent="0.3">
      <c r="A247" s="518"/>
      <c r="B247" s="439">
        <v>46133</v>
      </c>
      <c r="C247" s="4"/>
      <c r="D247" s="4"/>
      <c r="E247" s="511"/>
      <c r="F247" s="511"/>
      <c r="G247" s="17"/>
      <c r="H247" s="513"/>
      <c r="I247" s="511"/>
      <c r="J247" s="513"/>
      <c r="K247" s="133"/>
      <c r="L247" s="17"/>
      <c r="M247" s="8"/>
      <c r="N247" s="512"/>
      <c r="O247" s="444"/>
    </row>
    <row r="248" spans="1:15" s="18" customFormat="1" ht="33" customHeight="1" x14ac:dyDescent="0.3">
      <c r="A248" s="518"/>
      <c r="B248" s="445"/>
      <c r="C248" s="4"/>
      <c r="D248" s="4"/>
      <c r="E248" s="511"/>
      <c r="F248" s="511"/>
      <c r="G248" s="17"/>
      <c r="H248" s="513"/>
      <c r="I248" s="511"/>
      <c r="J248" s="513"/>
      <c r="K248" s="133"/>
      <c r="L248" s="17"/>
      <c r="M248" s="8"/>
      <c r="N248" s="512"/>
      <c r="O248" s="444"/>
    </row>
    <row r="249" spans="1:15" s="18" customFormat="1" ht="33" customHeight="1" x14ac:dyDescent="0.3">
      <c r="A249" s="518"/>
      <c r="B249" s="439">
        <v>46134</v>
      </c>
      <c r="C249" s="4"/>
      <c r="D249" s="4"/>
      <c r="E249" s="511"/>
      <c r="F249" s="511"/>
      <c r="G249" s="17"/>
      <c r="H249" s="513"/>
      <c r="I249" s="511"/>
      <c r="J249" s="513"/>
      <c r="K249" s="133"/>
      <c r="L249" s="17"/>
      <c r="M249" s="8"/>
      <c r="N249" s="511" t="s">
        <v>5313</v>
      </c>
      <c r="O249" s="444"/>
    </row>
    <row r="250" spans="1:15" s="18" customFormat="1" ht="33" customHeight="1" x14ac:dyDescent="0.3">
      <c r="A250" s="518"/>
      <c r="B250" s="445"/>
      <c r="C250" s="4"/>
      <c r="D250" s="4"/>
      <c r="E250" s="310"/>
      <c r="F250" s="511"/>
      <c r="G250" s="17"/>
      <c r="H250" s="513"/>
      <c r="I250" s="511"/>
      <c r="J250" s="511"/>
      <c r="K250" s="133"/>
      <c r="L250" s="17"/>
      <c r="M250" s="8"/>
      <c r="N250" s="511"/>
      <c r="O250" s="342"/>
    </row>
    <row r="251" spans="1:15" s="18" customFormat="1" ht="33" customHeight="1" x14ac:dyDescent="0.3">
      <c r="A251" s="518"/>
      <c r="B251" s="439">
        <v>46135</v>
      </c>
      <c r="C251" s="4"/>
      <c r="D251" s="4"/>
      <c r="E251" s="511"/>
      <c r="F251" s="511"/>
      <c r="G251" s="17"/>
      <c r="H251" s="513"/>
      <c r="I251" s="511"/>
      <c r="J251" s="513"/>
      <c r="K251" s="133"/>
      <c r="L251" s="17"/>
      <c r="M251" s="8"/>
      <c r="N251" s="512"/>
      <c r="O251" s="444"/>
    </row>
    <row r="252" spans="1:15" s="18" customFormat="1" ht="33" customHeight="1" x14ac:dyDescent="0.3">
      <c r="A252" s="518"/>
      <c r="B252" s="445"/>
      <c r="C252" s="4"/>
      <c r="D252" s="4"/>
      <c r="E252" s="310"/>
      <c r="F252" s="511"/>
      <c r="G252" s="17"/>
      <c r="H252" s="513"/>
      <c r="I252" s="511"/>
      <c r="J252" s="511"/>
      <c r="K252" s="133"/>
      <c r="L252" s="17"/>
      <c r="M252" s="8"/>
      <c r="N252" s="511"/>
      <c r="O252" s="342"/>
    </row>
    <row r="253" spans="1:15" s="18" customFormat="1" ht="33" customHeight="1" x14ac:dyDescent="0.3">
      <c r="A253" s="518"/>
      <c r="B253" s="439">
        <v>46136</v>
      </c>
      <c r="C253" s="4"/>
      <c r="D253" s="4"/>
      <c r="E253" s="511"/>
      <c r="F253" s="310"/>
      <c r="G253" s="17"/>
      <c r="H253" s="513"/>
      <c r="I253" s="511"/>
      <c r="J253" s="513"/>
      <c r="K253" s="133"/>
      <c r="L253" s="17"/>
      <c r="M253" s="8"/>
      <c r="N253" s="511" t="s">
        <v>5321</v>
      </c>
      <c r="O253" s="446"/>
    </row>
    <row r="254" spans="1:15" s="18" customFormat="1" ht="33" customHeight="1" x14ac:dyDescent="0.3">
      <c r="A254" s="518"/>
      <c r="B254" s="445"/>
      <c r="C254" s="4"/>
      <c r="D254" s="4"/>
      <c r="E254" s="511"/>
      <c r="F254" s="511"/>
      <c r="G254" s="17"/>
      <c r="H254" s="513"/>
      <c r="I254" s="511"/>
      <c r="J254" s="511"/>
      <c r="K254" s="133"/>
      <c r="L254" s="17"/>
      <c r="M254" s="8"/>
      <c r="N254" s="511"/>
      <c r="O254" s="341"/>
    </row>
    <row r="255" spans="1:15" s="18" customFormat="1" ht="33" customHeight="1" x14ac:dyDescent="0.3">
      <c r="A255" s="518"/>
      <c r="B255" s="439">
        <v>46137</v>
      </c>
      <c r="C255" s="4"/>
      <c r="D255" s="4"/>
      <c r="E255" s="511"/>
      <c r="F255" s="511"/>
      <c r="G255" s="17"/>
      <c r="H255" s="513"/>
      <c r="I255" s="513"/>
      <c r="J255" s="513"/>
      <c r="K255" s="133"/>
      <c r="L255" s="17"/>
      <c r="M255" s="8"/>
      <c r="N255" s="513"/>
      <c r="O255" s="39"/>
    </row>
    <row r="256" spans="1:15" s="18" customFormat="1" ht="33" customHeight="1" x14ac:dyDescent="0.3">
      <c r="A256" s="519"/>
      <c r="B256" s="440"/>
      <c r="C256" s="4"/>
      <c r="D256" s="4"/>
      <c r="E256" s="511"/>
      <c r="F256" s="511"/>
      <c r="G256" s="17"/>
      <c r="H256" s="513"/>
      <c r="I256" s="513"/>
      <c r="J256" s="513"/>
      <c r="K256" s="133"/>
      <c r="L256" s="17"/>
      <c r="M256" s="8"/>
      <c r="N256" s="511"/>
      <c r="O256" s="342"/>
    </row>
    <row r="257" spans="1:15" s="18" customFormat="1" ht="33" customHeight="1" x14ac:dyDescent="0.3">
      <c r="A257" s="345" t="s">
        <v>5298</v>
      </c>
      <c r="B257" s="346" t="s">
        <v>1</v>
      </c>
      <c r="C257" s="345" t="s">
        <v>2</v>
      </c>
      <c r="D257" s="345" t="s">
        <v>3</v>
      </c>
      <c r="E257" s="345" t="s">
        <v>4</v>
      </c>
      <c r="F257" s="345" t="s">
        <v>5</v>
      </c>
      <c r="G257" s="345" t="s">
        <v>6</v>
      </c>
      <c r="H257" s="347" t="s">
        <v>7</v>
      </c>
      <c r="I257" s="345" t="s">
        <v>5363</v>
      </c>
      <c r="J257" s="345" t="s">
        <v>9</v>
      </c>
      <c r="K257" s="348" t="s">
        <v>5343</v>
      </c>
      <c r="L257" s="349" t="s">
        <v>5300</v>
      </c>
      <c r="M257" s="345" t="s">
        <v>5364</v>
      </c>
      <c r="N257" s="352" t="s">
        <v>5345</v>
      </c>
      <c r="O257" s="345" t="s">
        <v>5302</v>
      </c>
    </row>
    <row r="258" spans="1:15" s="18" customFormat="1" ht="33" customHeight="1" x14ac:dyDescent="0.3">
      <c r="A258" s="517" t="s">
        <v>5365</v>
      </c>
      <c r="B258" s="439">
        <v>46139</v>
      </c>
      <c r="C258" s="4"/>
      <c r="D258" s="4"/>
      <c r="E258" s="511"/>
      <c r="F258" s="513"/>
      <c r="G258" s="17"/>
      <c r="H258" s="513"/>
      <c r="I258" s="511"/>
      <c r="J258" s="511"/>
      <c r="K258" s="133"/>
      <c r="L258" s="17"/>
      <c r="M258" s="8"/>
      <c r="N258" s="511" t="s">
        <v>5321</v>
      </c>
      <c r="O258" s="32"/>
    </row>
    <row r="259" spans="1:15" s="18" customFormat="1" ht="33" customHeight="1" x14ac:dyDescent="0.3">
      <c r="A259" s="518"/>
      <c r="B259" s="445"/>
      <c r="C259" s="4"/>
      <c r="D259" s="4"/>
      <c r="E259" s="310"/>
      <c r="F259" s="511"/>
      <c r="G259" s="17"/>
      <c r="H259" s="513"/>
      <c r="I259" s="511"/>
      <c r="J259" s="511"/>
      <c r="K259" s="133"/>
      <c r="L259" s="17"/>
      <c r="M259" s="8"/>
      <c r="N259" s="511"/>
      <c r="O259" s="32"/>
    </row>
    <row r="260" spans="1:15" s="18" customFormat="1" ht="33" customHeight="1" x14ac:dyDescent="0.3">
      <c r="A260" s="518"/>
      <c r="B260" s="439">
        <v>46140</v>
      </c>
      <c r="C260" s="4"/>
      <c r="D260" s="4"/>
      <c r="E260" s="511"/>
      <c r="F260" s="511"/>
      <c r="G260" s="17"/>
      <c r="H260" s="513"/>
      <c r="I260" s="511"/>
      <c r="J260" s="513"/>
      <c r="K260" s="133"/>
      <c r="L260" s="17"/>
      <c r="M260" s="8"/>
      <c r="N260" s="512"/>
      <c r="O260" s="444"/>
    </row>
    <row r="261" spans="1:15" s="18" customFormat="1" ht="33" customHeight="1" x14ac:dyDescent="0.3">
      <c r="A261" s="518"/>
      <c r="B261" s="445"/>
      <c r="C261" s="4"/>
      <c r="D261" s="4"/>
      <c r="E261" s="511"/>
      <c r="F261" s="511"/>
      <c r="G261" s="17"/>
      <c r="H261" s="513"/>
      <c r="I261" s="511"/>
      <c r="J261" s="513"/>
      <c r="K261" s="133"/>
      <c r="L261" s="17"/>
      <c r="M261" s="8"/>
      <c r="N261" s="512"/>
      <c r="O261" s="444"/>
    </row>
    <row r="262" spans="1:15" s="18" customFormat="1" ht="33" customHeight="1" x14ac:dyDescent="0.3">
      <c r="A262" s="518"/>
      <c r="B262" s="439">
        <v>46141</v>
      </c>
      <c r="C262" s="4"/>
      <c r="D262" s="4"/>
      <c r="E262" s="511"/>
      <c r="F262" s="511"/>
      <c r="G262" s="17"/>
      <c r="H262" s="513"/>
      <c r="I262" s="511"/>
      <c r="J262" s="513"/>
      <c r="K262" s="133"/>
      <c r="L262" s="17"/>
      <c r="M262" s="8"/>
      <c r="N262" s="511" t="s">
        <v>5328</v>
      </c>
      <c r="O262" s="444"/>
    </row>
    <row r="263" spans="1:15" s="18" customFormat="1" ht="33" customHeight="1" x14ac:dyDescent="0.3">
      <c r="A263" s="518"/>
      <c r="B263" s="445"/>
      <c r="C263" s="4"/>
      <c r="D263" s="4"/>
      <c r="E263" s="310"/>
      <c r="F263" s="511"/>
      <c r="G263" s="17"/>
      <c r="H263" s="513"/>
      <c r="I263" s="511"/>
      <c r="J263" s="511"/>
      <c r="K263" s="133"/>
      <c r="L263" s="17"/>
      <c r="M263" s="8"/>
      <c r="N263" s="511"/>
      <c r="O263" s="342"/>
    </row>
    <row r="264" spans="1:15" s="18" customFormat="1" ht="33" customHeight="1" x14ac:dyDescent="0.3">
      <c r="A264" s="518"/>
      <c r="B264" s="439">
        <v>46142</v>
      </c>
      <c r="C264" s="4"/>
      <c r="D264" s="4"/>
      <c r="E264" s="511"/>
      <c r="F264" s="511"/>
      <c r="G264" s="17"/>
      <c r="H264" s="513"/>
      <c r="I264" s="511"/>
      <c r="J264" s="513"/>
      <c r="K264" s="133"/>
      <c r="L264" s="17"/>
      <c r="M264" s="8"/>
      <c r="N264" s="512"/>
      <c r="O264" s="444"/>
    </row>
    <row r="265" spans="1:15" s="18" customFormat="1" ht="33" customHeight="1" x14ac:dyDescent="0.3">
      <c r="A265" s="518"/>
      <c r="B265" s="445"/>
      <c r="C265" s="4"/>
      <c r="D265" s="4"/>
      <c r="E265" s="310"/>
      <c r="F265" s="511"/>
      <c r="G265" s="17"/>
      <c r="H265" s="513"/>
      <c r="I265" s="511"/>
      <c r="J265" s="511"/>
      <c r="K265" s="133"/>
      <c r="L265" s="17"/>
      <c r="M265" s="8"/>
      <c r="N265" s="511"/>
      <c r="O265" s="342"/>
    </row>
    <row r="266" spans="1:15" s="18" customFormat="1" ht="33" customHeight="1" x14ac:dyDescent="0.3">
      <c r="A266" s="518"/>
      <c r="B266" s="439">
        <v>46143</v>
      </c>
      <c r="C266" s="4"/>
      <c r="D266" s="4"/>
      <c r="E266" s="511"/>
      <c r="F266" s="310"/>
      <c r="G266" s="17"/>
      <c r="H266" s="513"/>
      <c r="I266" s="511"/>
      <c r="J266" s="513"/>
      <c r="K266" s="133"/>
      <c r="L266" s="17"/>
      <c r="M266" s="8"/>
      <c r="N266" s="511" t="s">
        <v>5356</v>
      </c>
      <c r="O266" s="446"/>
    </row>
    <row r="267" spans="1:15" s="18" customFormat="1" ht="33" customHeight="1" x14ac:dyDescent="0.3">
      <c r="A267" s="518"/>
      <c r="B267" s="445"/>
      <c r="C267" s="4"/>
      <c r="D267" s="4"/>
      <c r="E267" s="511"/>
      <c r="F267" s="511"/>
      <c r="G267" s="17"/>
      <c r="H267" s="513"/>
      <c r="I267" s="511"/>
      <c r="J267" s="511"/>
      <c r="K267" s="133"/>
      <c r="L267" s="17"/>
      <c r="M267" s="8"/>
      <c r="N267" s="511"/>
      <c r="O267" s="341"/>
    </row>
    <row r="268" spans="1:15" s="18" customFormat="1" ht="33" customHeight="1" x14ac:dyDescent="0.3">
      <c r="A268" s="518"/>
      <c r="B268" s="439">
        <v>46144</v>
      </c>
      <c r="C268" s="4"/>
      <c r="D268" s="4"/>
      <c r="E268" s="511"/>
      <c r="F268" s="511"/>
      <c r="G268" s="17"/>
      <c r="H268" s="513"/>
      <c r="I268" s="513"/>
      <c r="J268" s="513"/>
      <c r="K268" s="133"/>
      <c r="L268" s="17"/>
      <c r="M268" s="8"/>
      <c r="N268" s="513"/>
      <c r="O268" s="39"/>
    </row>
    <row r="269" spans="1:15" s="18" customFormat="1" ht="33" customHeight="1" x14ac:dyDescent="0.3">
      <c r="A269" s="519"/>
      <c r="B269" s="440"/>
      <c r="C269" s="4"/>
      <c r="D269" s="4"/>
      <c r="E269" s="511"/>
      <c r="F269" s="511"/>
      <c r="G269" s="17"/>
      <c r="H269" s="513"/>
      <c r="I269" s="513"/>
      <c r="J269" s="513"/>
      <c r="K269" s="133"/>
      <c r="L269" s="17"/>
      <c r="M269" s="8"/>
      <c r="N269" s="511"/>
      <c r="O269" s="342"/>
    </row>
    <row r="270" spans="1:15" s="18" customFormat="1" ht="33" customHeight="1" x14ac:dyDescent="0.3">
      <c r="A270" s="345" t="s">
        <v>5298</v>
      </c>
      <c r="B270" s="346" t="s">
        <v>1</v>
      </c>
      <c r="C270" s="345" t="s">
        <v>2</v>
      </c>
      <c r="D270" s="345" t="s">
        <v>3</v>
      </c>
      <c r="E270" s="345" t="s">
        <v>4</v>
      </c>
      <c r="F270" s="345" t="s">
        <v>5</v>
      </c>
      <c r="G270" s="345" t="s">
        <v>6</v>
      </c>
      <c r="H270" s="347" t="s">
        <v>7</v>
      </c>
      <c r="I270" s="345" t="s">
        <v>5363</v>
      </c>
      <c r="J270" s="345" t="s">
        <v>9</v>
      </c>
      <c r="K270" s="348" t="s">
        <v>5358</v>
      </c>
      <c r="L270" s="349" t="s">
        <v>5300</v>
      </c>
      <c r="M270" s="345" t="s">
        <v>5324</v>
      </c>
      <c r="N270" s="352" t="s">
        <v>5301</v>
      </c>
      <c r="O270" s="345" t="s">
        <v>5302</v>
      </c>
    </row>
    <row r="271" spans="1:15" s="18" customFormat="1" ht="33" customHeight="1" x14ac:dyDescent="0.3">
      <c r="A271" s="517" t="s">
        <v>5366</v>
      </c>
      <c r="B271" s="439">
        <v>46146</v>
      </c>
      <c r="C271" s="4"/>
      <c r="D271" s="4"/>
      <c r="E271" s="511"/>
      <c r="F271" s="513"/>
      <c r="G271" s="17"/>
      <c r="H271" s="513"/>
      <c r="I271" s="511"/>
      <c r="J271" s="511"/>
      <c r="K271" s="133"/>
      <c r="L271" s="17"/>
      <c r="M271" s="8"/>
      <c r="N271" s="511" t="s">
        <v>5321</v>
      </c>
      <c r="O271" s="32"/>
    </row>
    <row r="272" spans="1:15" s="18" customFormat="1" ht="33" customHeight="1" x14ac:dyDescent="0.3">
      <c r="A272" s="518"/>
      <c r="B272" s="445"/>
      <c r="C272" s="4"/>
      <c r="D272" s="4"/>
      <c r="E272" s="310"/>
      <c r="F272" s="511"/>
      <c r="G272" s="17"/>
      <c r="H272" s="513"/>
      <c r="I272" s="511"/>
      <c r="J272" s="511"/>
      <c r="K272" s="133"/>
      <c r="L272" s="17"/>
      <c r="M272" s="8"/>
      <c r="N272" s="511"/>
      <c r="O272" s="32"/>
    </row>
    <row r="273" spans="1:15" s="18" customFormat="1" ht="33" customHeight="1" x14ac:dyDescent="0.3">
      <c r="A273" s="518"/>
      <c r="B273" s="439">
        <v>46147</v>
      </c>
      <c r="C273" s="4"/>
      <c r="D273" s="4"/>
      <c r="E273" s="511"/>
      <c r="F273" s="511"/>
      <c r="G273" s="17"/>
      <c r="H273" s="468" t="s">
        <v>5367</v>
      </c>
      <c r="I273" s="511"/>
      <c r="J273" s="513"/>
      <c r="K273" s="133"/>
      <c r="L273" s="17"/>
      <c r="M273" s="8"/>
      <c r="N273" s="512"/>
      <c r="O273" s="444"/>
    </row>
    <row r="274" spans="1:15" s="18" customFormat="1" ht="33" customHeight="1" x14ac:dyDescent="0.3">
      <c r="A274" s="518"/>
      <c r="B274" s="445"/>
      <c r="C274" s="4"/>
      <c r="D274" s="4"/>
      <c r="E274" s="511"/>
      <c r="F274" s="511"/>
      <c r="G274" s="17"/>
      <c r="H274" s="513"/>
      <c r="I274" s="511"/>
      <c r="J274" s="513"/>
      <c r="K274" s="133"/>
      <c r="L274" s="17"/>
      <c r="M274" s="8"/>
      <c r="N274" s="512"/>
      <c r="O274" s="444"/>
    </row>
    <row r="275" spans="1:15" s="18" customFormat="1" ht="33" customHeight="1" x14ac:dyDescent="0.3">
      <c r="A275" s="518"/>
      <c r="B275" s="439">
        <v>46148</v>
      </c>
      <c r="C275" s="4"/>
      <c r="D275" s="4"/>
      <c r="E275" s="511"/>
      <c r="F275" s="511"/>
      <c r="G275" s="17"/>
      <c r="H275" s="513"/>
      <c r="I275" s="511"/>
      <c r="J275" s="513"/>
      <c r="K275" s="133"/>
      <c r="L275" s="17"/>
      <c r="M275" s="8"/>
      <c r="N275" s="511" t="s">
        <v>5356</v>
      </c>
      <c r="O275" s="444"/>
    </row>
    <row r="276" spans="1:15" s="18" customFormat="1" ht="33" customHeight="1" x14ac:dyDescent="0.3">
      <c r="A276" s="518"/>
      <c r="B276" s="445"/>
      <c r="C276" s="4"/>
      <c r="D276" s="4"/>
      <c r="E276" s="310"/>
      <c r="F276" s="511"/>
      <c r="G276" s="17"/>
      <c r="H276" s="513"/>
      <c r="I276" s="511"/>
      <c r="J276" s="511"/>
      <c r="K276" s="133"/>
      <c r="L276" s="17"/>
      <c r="M276" s="8"/>
      <c r="N276" s="511"/>
      <c r="O276" s="342"/>
    </row>
    <row r="277" spans="1:15" s="18" customFormat="1" ht="33" customHeight="1" x14ac:dyDescent="0.3">
      <c r="A277" s="518"/>
      <c r="B277" s="439">
        <v>46149</v>
      </c>
      <c r="C277" s="4"/>
      <c r="D277" s="4"/>
      <c r="E277" s="511"/>
      <c r="F277" s="511"/>
      <c r="G277" s="17"/>
      <c r="H277" s="513"/>
      <c r="I277" s="511"/>
      <c r="J277" s="513"/>
      <c r="K277" s="133"/>
      <c r="L277" s="17"/>
      <c r="M277" s="8"/>
      <c r="N277" s="512"/>
      <c r="O277" s="444"/>
    </row>
    <row r="278" spans="1:15" s="18" customFormat="1" ht="33" customHeight="1" x14ac:dyDescent="0.3">
      <c r="A278" s="518"/>
      <c r="B278" s="445"/>
      <c r="C278" s="4"/>
      <c r="D278" s="4"/>
      <c r="E278" s="310"/>
      <c r="F278" s="511"/>
      <c r="G278" s="17"/>
      <c r="H278" s="513"/>
      <c r="I278" s="511"/>
      <c r="J278" s="511"/>
      <c r="K278" s="133"/>
      <c r="L278" s="17"/>
      <c r="M278" s="8"/>
      <c r="N278" s="511"/>
      <c r="O278" s="342"/>
    </row>
    <row r="279" spans="1:15" s="18" customFormat="1" ht="33" customHeight="1" x14ac:dyDescent="0.3">
      <c r="A279" s="518"/>
      <c r="B279" s="439">
        <v>46150</v>
      </c>
      <c r="C279" s="4"/>
      <c r="D279" s="4"/>
      <c r="E279" s="511"/>
      <c r="F279" s="310"/>
      <c r="G279" s="17"/>
      <c r="H279" s="513"/>
      <c r="I279" s="511"/>
      <c r="J279" s="513"/>
      <c r="K279" s="133"/>
      <c r="L279" s="17"/>
      <c r="M279" s="8"/>
      <c r="N279" s="511" t="s">
        <v>5321</v>
      </c>
      <c r="O279" s="446"/>
    </row>
    <row r="280" spans="1:15" s="18" customFormat="1" ht="33" customHeight="1" x14ac:dyDescent="0.3">
      <c r="A280" s="518"/>
      <c r="B280" s="445"/>
      <c r="C280" s="4"/>
      <c r="D280" s="4"/>
      <c r="E280" s="511"/>
      <c r="F280" s="511"/>
      <c r="G280" s="17"/>
      <c r="H280" s="513"/>
      <c r="I280" s="511"/>
      <c r="J280" s="511"/>
      <c r="K280" s="133"/>
      <c r="L280" s="17"/>
      <c r="M280" s="8"/>
      <c r="N280" s="511"/>
      <c r="O280" s="341"/>
    </row>
    <row r="281" spans="1:15" s="18" customFormat="1" ht="33" customHeight="1" x14ac:dyDescent="0.3">
      <c r="A281" s="518"/>
      <c r="B281" s="439">
        <v>46151</v>
      </c>
      <c r="C281" s="4"/>
      <c r="D281" s="4"/>
      <c r="E281" s="511"/>
      <c r="F281" s="511"/>
      <c r="G281" s="17"/>
      <c r="H281" s="513"/>
      <c r="I281" s="513"/>
      <c r="J281" s="513"/>
      <c r="K281" s="133"/>
      <c r="L281" s="17"/>
      <c r="M281" s="8"/>
      <c r="N281" s="513"/>
      <c r="O281" s="39"/>
    </row>
    <row r="282" spans="1:15" s="18" customFormat="1" ht="33" customHeight="1" x14ac:dyDescent="0.3">
      <c r="A282" s="519"/>
      <c r="B282" s="440"/>
      <c r="C282" s="4"/>
      <c r="D282" s="4"/>
      <c r="E282" s="511"/>
      <c r="F282" s="511"/>
      <c r="G282" s="17"/>
      <c r="H282" s="513"/>
      <c r="I282" s="513"/>
      <c r="J282" s="513"/>
      <c r="K282" s="133"/>
      <c r="L282" s="17"/>
      <c r="M282" s="8"/>
      <c r="N282" s="511"/>
      <c r="O282" s="342"/>
    </row>
    <row r="283" spans="1:15" s="18" customFormat="1" ht="33" customHeight="1" x14ac:dyDescent="0.3">
      <c r="A283" s="345" t="s">
        <v>5298</v>
      </c>
      <c r="B283" s="346" t="s">
        <v>1</v>
      </c>
      <c r="C283" s="345" t="s">
        <v>2</v>
      </c>
      <c r="D283" s="345" t="s">
        <v>3</v>
      </c>
      <c r="E283" s="345" t="s">
        <v>4</v>
      </c>
      <c r="F283" s="345" t="s">
        <v>5</v>
      </c>
      <c r="G283" s="345" t="s">
        <v>6</v>
      </c>
      <c r="H283" s="347" t="s">
        <v>7</v>
      </c>
      <c r="I283" s="345" t="s">
        <v>5360</v>
      </c>
      <c r="J283" s="345" t="s">
        <v>9</v>
      </c>
      <c r="K283" s="348" t="s">
        <v>5343</v>
      </c>
      <c r="L283" s="349" t="s">
        <v>5300</v>
      </c>
      <c r="M283" s="345" t="s">
        <v>5368</v>
      </c>
      <c r="N283" s="352" t="s">
        <v>5345</v>
      </c>
      <c r="O283" s="345" t="s">
        <v>5302</v>
      </c>
    </row>
    <row r="284" spans="1:15" s="18" customFormat="1" ht="33" customHeight="1" x14ac:dyDescent="0.3">
      <c r="A284" s="517" t="s">
        <v>5369</v>
      </c>
      <c r="B284" s="439">
        <v>46153</v>
      </c>
      <c r="C284" s="4"/>
      <c r="D284" s="4"/>
      <c r="E284" s="511"/>
      <c r="F284" s="513"/>
      <c r="G284" s="17"/>
      <c r="H284" s="513"/>
      <c r="I284" s="511"/>
      <c r="J284" s="511"/>
      <c r="K284" s="133"/>
      <c r="L284" s="17"/>
      <c r="M284" s="8"/>
      <c r="N284" s="511" t="s">
        <v>5321</v>
      </c>
      <c r="O284" s="32"/>
    </row>
    <row r="285" spans="1:15" s="18" customFormat="1" ht="33" customHeight="1" x14ac:dyDescent="0.3">
      <c r="A285" s="518"/>
      <c r="B285" s="445"/>
      <c r="C285" s="4"/>
      <c r="D285" s="4"/>
      <c r="E285" s="310"/>
      <c r="F285" s="511"/>
      <c r="G285" s="17"/>
      <c r="H285" s="513"/>
      <c r="I285" s="511"/>
      <c r="J285" s="511"/>
      <c r="K285" s="133"/>
      <c r="L285" s="17"/>
      <c r="M285" s="8"/>
      <c r="N285" s="511"/>
      <c r="O285" s="32"/>
    </row>
    <row r="286" spans="1:15" s="18" customFormat="1" ht="33" customHeight="1" x14ac:dyDescent="0.3">
      <c r="A286" s="518"/>
      <c r="B286" s="439">
        <v>46154</v>
      </c>
      <c r="C286" s="4"/>
      <c r="D286" s="4"/>
      <c r="E286" s="511"/>
      <c r="F286" s="511"/>
      <c r="G286" s="17"/>
      <c r="H286" s="513"/>
      <c r="I286" s="511"/>
      <c r="J286" s="513"/>
      <c r="K286" s="133"/>
      <c r="L286" s="17"/>
      <c r="M286" s="8"/>
      <c r="N286" s="512"/>
      <c r="O286" s="444"/>
    </row>
    <row r="287" spans="1:15" s="18" customFormat="1" ht="33" customHeight="1" x14ac:dyDescent="0.3">
      <c r="A287" s="518"/>
      <c r="B287" s="445"/>
      <c r="C287" s="4"/>
      <c r="D287" s="4"/>
      <c r="E287" s="511"/>
      <c r="F287" s="511"/>
      <c r="G287" s="17"/>
      <c r="H287" s="513"/>
      <c r="I287" s="511"/>
      <c r="J287" s="513"/>
      <c r="K287" s="133"/>
      <c r="L287" s="17"/>
      <c r="M287" s="8"/>
      <c r="N287" s="512"/>
      <c r="O287" s="444"/>
    </row>
    <row r="288" spans="1:15" s="18" customFormat="1" ht="33" customHeight="1" x14ac:dyDescent="0.3">
      <c r="A288" s="518"/>
      <c r="B288" s="439">
        <v>46155</v>
      </c>
      <c r="C288" s="4"/>
      <c r="D288" s="4"/>
      <c r="E288" s="511"/>
      <c r="F288" s="511"/>
      <c r="G288" s="17"/>
      <c r="H288" s="513"/>
      <c r="I288" s="511"/>
      <c r="J288" s="513"/>
      <c r="K288" s="133"/>
      <c r="L288" s="17"/>
      <c r="M288" s="8"/>
      <c r="N288" s="511" t="s">
        <v>5321</v>
      </c>
      <c r="O288" s="444"/>
    </row>
    <row r="289" spans="1:15" s="18" customFormat="1" ht="33" customHeight="1" x14ac:dyDescent="0.3">
      <c r="A289" s="518"/>
      <c r="B289" s="445"/>
      <c r="C289" s="4"/>
      <c r="D289" s="4"/>
      <c r="E289" s="310"/>
      <c r="F289" s="511"/>
      <c r="G289" s="17"/>
      <c r="H289" s="513"/>
      <c r="I289" s="511"/>
      <c r="J289" s="511"/>
      <c r="K289" s="133"/>
      <c r="L289" s="17"/>
      <c r="M289" s="8"/>
      <c r="N289" s="511"/>
      <c r="O289" s="342"/>
    </row>
    <row r="290" spans="1:15" s="18" customFormat="1" ht="33" customHeight="1" x14ac:dyDescent="0.3">
      <c r="A290" s="518"/>
      <c r="B290" s="439">
        <v>46156</v>
      </c>
      <c r="C290" s="4"/>
      <c r="D290" s="4"/>
      <c r="E290" s="511"/>
      <c r="F290" s="511"/>
      <c r="G290" s="17"/>
      <c r="H290" s="513"/>
      <c r="I290" s="511"/>
      <c r="J290" s="513"/>
      <c r="K290" s="133"/>
      <c r="L290" s="17"/>
      <c r="M290" s="8"/>
      <c r="N290" s="512"/>
      <c r="O290" s="444"/>
    </row>
    <row r="291" spans="1:15" s="18" customFormat="1" ht="33" customHeight="1" x14ac:dyDescent="0.3">
      <c r="A291" s="518"/>
      <c r="B291" s="445"/>
      <c r="C291" s="4"/>
      <c r="D291" s="4"/>
      <c r="E291" s="310"/>
      <c r="F291" s="511"/>
      <c r="G291" s="17"/>
      <c r="H291" s="513"/>
      <c r="I291" s="511"/>
      <c r="J291" s="511"/>
      <c r="K291" s="133"/>
      <c r="L291" s="17"/>
      <c r="M291" s="8"/>
      <c r="N291" s="511"/>
      <c r="O291" s="342"/>
    </row>
    <row r="292" spans="1:15" s="18" customFormat="1" ht="33" customHeight="1" x14ac:dyDescent="0.3">
      <c r="A292" s="518"/>
      <c r="B292" s="439">
        <v>46157</v>
      </c>
      <c r="C292" s="197" t="s">
        <v>5260</v>
      </c>
      <c r="D292" s="197" t="s">
        <v>552</v>
      </c>
      <c r="E292" s="255" t="s">
        <v>5370</v>
      </c>
      <c r="F292" s="498" t="s">
        <v>5371</v>
      </c>
      <c r="G292" s="423" t="s">
        <v>5352</v>
      </c>
      <c r="H292" s="255" t="s">
        <v>5372</v>
      </c>
      <c r="I292" s="336" t="s">
        <v>5354</v>
      </c>
      <c r="J292" s="255"/>
      <c r="K292" s="256" t="s">
        <v>66</v>
      </c>
      <c r="L292" s="423"/>
      <c r="M292" s="449"/>
      <c r="N292" s="511" t="s">
        <v>5321</v>
      </c>
      <c r="O292" s="452" t="s">
        <v>5355</v>
      </c>
    </row>
    <row r="293" spans="1:15" s="18" customFormat="1" ht="33" customHeight="1" x14ac:dyDescent="0.3">
      <c r="A293" s="518"/>
      <c r="B293" s="445"/>
      <c r="C293" s="4"/>
      <c r="D293" s="4"/>
      <c r="E293" s="511"/>
      <c r="F293" s="511"/>
      <c r="G293" s="17"/>
      <c r="H293" s="513"/>
      <c r="I293" s="511"/>
      <c r="J293" s="511"/>
      <c r="K293" s="133"/>
      <c r="L293" s="17"/>
      <c r="M293" s="8"/>
      <c r="N293" s="511"/>
      <c r="O293" s="341"/>
    </row>
    <row r="294" spans="1:15" s="18" customFormat="1" ht="33" customHeight="1" x14ac:dyDescent="0.3">
      <c r="A294" s="518"/>
      <c r="B294" s="439">
        <v>46158</v>
      </c>
      <c r="C294" s="4"/>
      <c r="D294" s="4"/>
      <c r="E294" s="511"/>
      <c r="F294" s="511"/>
      <c r="G294" s="17"/>
      <c r="H294" s="513"/>
      <c r="I294" s="513"/>
      <c r="J294" s="513"/>
      <c r="K294" s="133"/>
      <c r="L294" s="17"/>
      <c r="M294" s="8"/>
      <c r="N294" s="513"/>
      <c r="O294" s="39"/>
    </row>
    <row r="295" spans="1:15" s="18" customFormat="1" ht="33" customHeight="1" x14ac:dyDescent="0.3">
      <c r="A295" s="519"/>
      <c r="B295" s="440"/>
      <c r="C295" s="4"/>
      <c r="D295" s="4"/>
      <c r="E295" s="511"/>
      <c r="F295" s="511"/>
      <c r="G295" s="17"/>
      <c r="H295" s="513"/>
      <c r="I295" s="513"/>
      <c r="J295" s="513"/>
      <c r="K295" s="133"/>
      <c r="L295" s="17"/>
      <c r="M295" s="8"/>
      <c r="N295" s="511"/>
      <c r="O295" s="342"/>
    </row>
    <row r="296" spans="1:15" s="18" customFormat="1" ht="33" customHeight="1" x14ac:dyDescent="0.3">
      <c r="A296" s="345" t="s">
        <v>0</v>
      </c>
      <c r="B296" s="346" t="s">
        <v>1</v>
      </c>
      <c r="C296" s="345" t="s">
        <v>2</v>
      </c>
      <c r="D296" s="345" t="s">
        <v>3</v>
      </c>
      <c r="E296" s="345" t="s">
        <v>4</v>
      </c>
      <c r="F296" s="345" t="s">
        <v>5</v>
      </c>
      <c r="G296" s="345" t="s">
        <v>6</v>
      </c>
      <c r="H296" s="347" t="s">
        <v>7</v>
      </c>
      <c r="I296" s="345" t="s">
        <v>5363</v>
      </c>
      <c r="J296" s="345" t="s">
        <v>9</v>
      </c>
      <c r="K296" s="348" t="s">
        <v>5299</v>
      </c>
      <c r="L296" s="349" t="s">
        <v>5300</v>
      </c>
      <c r="M296" s="345" t="s">
        <v>5324</v>
      </c>
      <c r="N296" s="352" t="s">
        <v>5242</v>
      </c>
      <c r="O296" s="345" t="s">
        <v>5244</v>
      </c>
    </row>
    <row r="297" spans="1:15" s="18" customFormat="1" ht="33" customHeight="1" x14ac:dyDescent="0.3">
      <c r="A297" s="517" t="s">
        <v>5373</v>
      </c>
      <c r="B297" s="439">
        <v>46160</v>
      </c>
      <c r="C297" s="4"/>
      <c r="D297" s="4"/>
      <c r="E297" s="511"/>
      <c r="F297" s="513"/>
      <c r="G297" s="17"/>
      <c r="H297" s="513"/>
      <c r="I297" s="511"/>
      <c r="J297" s="511"/>
      <c r="K297" s="133"/>
      <c r="L297" s="17"/>
      <c r="M297" s="8"/>
      <c r="N297" s="511" t="s">
        <v>5321</v>
      </c>
      <c r="O297" s="32"/>
    </row>
    <row r="298" spans="1:15" s="18" customFormat="1" ht="33" customHeight="1" x14ac:dyDescent="0.3">
      <c r="A298" s="518"/>
      <c r="B298" s="445"/>
      <c r="C298" s="4"/>
      <c r="D298" s="4"/>
      <c r="E298" s="310"/>
      <c r="F298" s="511"/>
      <c r="G298" s="17"/>
      <c r="H298" s="513"/>
      <c r="I298" s="511"/>
      <c r="J298" s="511"/>
      <c r="K298" s="133"/>
      <c r="L298" s="17"/>
      <c r="M298" s="8"/>
      <c r="N298" s="511"/>
      <c r="O298" s="32"/>
    </row>
    <row r="299" spans="1:15" s="18" customFormat="1" ht="33" customHeight="1" x14ac:dyDescent="0.3">
      <c r="A299" s="518"/>
      <c r="B299" s="439">
        <v>46161</v>
      </c>
      <c r="C299" s="4"/>
      <c r="D299" s="4"/>
      <c r="E299" s="511"/>
      <c r="F299" s="511"/>
      <c r="G299" s="17"/>
      <c r="H299" s="513"/>
      <c r="I299" s="511"/>
      <c r="J299" s="513"/>
      <c r="K299" s="133"/>
      <c r="L299" s="17"/>
      <c r="M299" s="8"/>
      <c r="N299" s="512"/>
      <c r="O299" s="444"/>
    </row>
    <row r="300" spans="1:15" s="18" customFormat="1" ht="33" customHeight="1" x14ac:dyDescent="0.3">
      <c r="A300" s="518"/>
      <c r="B300" s="445"/>
      <c r="C300" s="4"/>
      <c r="D300" s="4"/>
      <c r="E300" s="511"/>
      <c r="F300" s="511"/>
      <c r="G300" s="17"/>
      <c r="H300" s="513"/>
      <c r="I300" s="511"/>
      <c r="J300" s="513"/>
      <c r="K300" s="133"/>
      <c r="L300" s="17"/>
      <c r="M300" s="8"/>
      <c r="N300" s="512"/>
      <c r="O300" s="444"/>
    </row>
    <row r="301" spans="1:15" s="18" customFormat="1" ht="33" customHeight="1" x14ac:dyDescent="0.3">
      <c r="A301" s="518"/>
      <c r="B301" s="439">
        <v>46162</v>
      </c>
      <c r="C301" s="4"/>
      <c r="D301" s="4"/>
      <c r="E301" s="511"/>
      <c r="F301" s="511"/>
      <c r="G301" s="17"/>
      <c r="H301" s="513"/>
      <c r="I301" s="511"/>
      <c r="J301" s="513"/>
      <c r="K301" s="133"/>
      <c r="L301" s="17"/>
      <c r="M301" s="8"/>
      <c r="N301" s="511" t="s">
        <v>5328</v>
      </c>
      <c r="O301" s="444"/>
    </row>
    <row r="302" spans="1:15" s="18" customFormat="1" ht="33" customHeight="1" x14ac:dyDescent="0.3">
      <c r="A302" s="518"/>
      <c r="B302" s="445"/>
      <c r="C302" s="4"/>
      <c r="D302" s="4"/>
      <c r="E302" s="310"/>
      <c r="F302" s="511"/>
      <c r="G302" s="17"/>
      <c r="H302" s="513"/>
      <c r="I302" s="511"/>
      <c r="J302" s="511"/>
      <c r="K302" s="133"/>
      <c r="L302" s="17"/>
      <c r="M302" s="8"/>
      <c r="N302" s="511"/>
      <c r="O302" s="342"/>
    </row>
    <row r="303" spans="1:15" s="18" customFormat="1" ht="33" customHeight="1" x14ac:dyDescent="0.3">
      <c r="A303" s="518"/>
      <c r="B303" s="439">
        <v>46163</v>
      </c>
      <c r="C303" s="4"/>
      <c r="D303" s="4"/>
      <c r="E303" s="511"/>
      <c r="F303" s="511"/>
      <c r="G303" s="17"/>
      <c r="H303" s="513"/>
      <c r="I303" s="511"/>
      <c r="J303" s="513"/>
      <c r="K303" s="133"/>
      <c r="L303" s="17"/>
      <c r="M303" s="8"/>
      <c r="N303" s="512"/>
      <c r="O303" s="444"/>
    </row>
    <row r="304" spans="1:15" s="18" customFormat="1" ht="33" customHeight="1" x14ac:dyDescent="0.3">
      <c r="A304" s="518"/>
      <c r="B304" s="445"/>
      <c r="C304" s="4"/>
      <c r="D304" s="4"/>
      <c r="E304" s="310"/>
      <c r="F304" s="511"/>
      <c r="G304" s="17"/>
      <c r="H304" s="513"/>
      <c r="I304" s="511"/>
      <c r="J304" s="511"/>
      <c r="K304" s="133"/>
      <c r="L304" s="17"/>
      <c r="M304" s="8"/>
      <c r="N304" s="511"/>
      <c r="O304" s="342"/>
    </row>
    <row r="305" spans="1:15" s="18" customFormat="1" ht="33" customHeight="1" x14ac:dyDescent="0.3">
      <c r="A305" s="518"/>
      <c r="B305" s="439">
        <v>46164</v>
      </c>
      <c r="C305" s="4"/>
      <c r="D305" s="4"/>
      <c r="E305" s="511"/>
      <c r="F305" s="310"/>
      <c r="G305" s="17"/>
      <c r="H305" s="513"/>
      <c r="I305" s="511"/>
      <c r="J305" s="513"/>
      <c r="K305" s="133"/>
      <c r="L305" s="17"/>
      <c r="M305" s="8"/>
      <c r="N305" s="511" t="s">
        <v>5321</v>
      </c>
      <c r="O305" s="446"/>
    </row>
    <row r="306" spans="1:15" s="18" customFormat="1" ht="33" customHeight="1" x14ac:dyDescent="0.3">
      <c r="A306" s="518"/>
      <c r="B306" s="445"/>
      <c r="C306" s="4"/>
      <c r="D306" s="4"/>
      <c r="E306" s="511"/>
      <c r="F306" s="511"/>
      <c r="G306" s="17"/>
      <c r="H306" s="513"/>
      <c r="I306" s="511"/>
      <c r="J306" s="511"/>
      <c r="K306" s="133"/>
      <c r="L306" s="17"/>
      <c r="M306" s="8"/>
      <c r="N306" s="511"/>
      <c r="O306" s="341"/>
    </row>
    <row r="307" spans="1:15" s="18" customFormat="1" ht="33" customHeight="1" x14ac:dyDescent="0.3">
      <c r="A307" s="518"/>
      <c r="B307" s="439">
        <v>46165</v>
      </c>
      <c r="C307" s="4"/>
      <c r="D307" s="4"/>
      <c r="E307" s="511"/>
      <c r="F307" s="511"/>
      <c r="G307" s="17"/>
      <c r="H307" s="513"/>
      <c r="I307" s="513"/>
      <c r="J307" s="513"/>
      <c r="K307" s="133"/>
      <c r="L307" s="17"/>
      <c r="M307" s="8"/>
      <c r="N307" s="513"/>
      <c r="O307" s="39"/>
    </row>
    <row r="308" spans="1:15" s="18" customFormat="1" ht="33" customHeight="1" x14ac:dyDescent="0.3">
      <c r="A308" s="519"/>
      <c r="B308" s="440"/>
      <c r="C308" s="4"/>
      <c r="D308" s="4"/>
      <c r="E308" s="511"/>
      <c r="F308" s="511"/>
      <c r="G308" s="17"/>
      <c r="H308" s="513"/>
      <c r="I308" s="513"/>
      <c r="J308" s="513"/>
      <c r="K308" s="133"/>
      <c r="L308" s="17"/>
      <c r="M308" s="8"/>
      <c r="N308" s="511"/>
      <c r="O308" s="342"/>
    </row>
    <row r="309" spans="1:15" s="18" customFormat="1" ht="33" customHeight="1" x14ac:dyDescent="0.3">
      <c r="A309" s="345" t="s">
        <v>5298</v>
      </c>
      <c r="B309" s="346" t="s">
        <v>1</v>
      </c>
      <c r="C309" s="345" t="s">
        <v>2</v>
      </c>
      <c r="D309" s="345" t="s">
        <v>3</v>
      </c>
      <c r="E309" s="345" t="s">
        <v>4</v>
      </c>
      <c r="F309" s="345" t="s">
        <v>5</v>
      </c>
      <c r="G309" s="345" t="s">
        <v>6</v>
      </c>
      <c r="H309" s="347" t="s">
        <v>7</v>
      </c>
      <c r="I309" s="345" t="s">
        <v>5363</v>
      </c>
      <c r="J309" s="345" t="s">
        <v>9</v>
      </c>
      <c r="K309" s="348" t="s">
        <v>5343</v>
      </c>
      <c r="L309" s="349" t="s">
        <v>5300</v>
      </c>
      <c r="M309" s="345" t="s">
        <v>5324</v>
      </c>
      <c r="N309" s="352" t="s">
        <v>5242</v>
      </c>
      <c r="O309" s="345" t="s">
        <v>5302</v>
      </c>
    </row>
    <row r="310" spans="1:15" s="18" customFormat="1" ht="33" customHeight="1" x14ac:dyDescent="0.3">
      <c r="A310" s="517" t="s">
        <v>5374</v>
      </c>
      <c r="B310" s="439">
        <v>46167</v>
      </c>
      <c r="C310" s="4"/>
      <c r="D310" s="4"/>
      <c r="E310" s="511"/>
      <c r="F310" s="513"/>
      <c r="G310" s="17"/>
      <c r="H310" s="468" t="s">
        <v>5375</v>
      </c>
      <c r="I310" s="511"/>
      <c r="J310" s="511"/>
      <c r="K310" s="133"/>
      <c r="L310" s="17"/>
      <c r="M310" s="8"/>
      <c r="N310" s="511"/>
      <c r="O310" s="32"/>
    </row>
    <row r="311" spans="1:15" s="18" customFormat="1" ht="33" customHeight="1" x14ac:dyDescent="0.3">
      <c r="A311" s="518"/>
      <c r="B311" s="445"/>
      <c r="C311" s="4"/>
      <c r="D311" s="4"/>
      <c r="E311" s="310"/>
      <c r="F311" s="511"/>
      <c r="G311" s="17"/>
      <c r="H311" s="513"/>
      <c r="I311" s="511"/>
      <c r="J311" s="511"/>
      <c r="K311" s="133"/>
      <c r="L311" s="17"/>
      <c r="M311" s="8"/>
      <c r="N311" s="511"/>
      <c r="O311" s="32"/>
    </row>
    <row r="312" spans="1:15" s="18" customFormat="1" ht="33" customHeight="1" x14ac:dyDescent="0.3">
      <c r="A312" s="518"/>
      <c r="B312" s="439">
        <v>46168</v>
      </c>
      <c r="C312" s="4"/>
      <c r="D312" s="4"/>
      <c r="E312" s="511"/>
      <c r="F312" s="511"/>
      <c r="G312" s="17"/>
      <c r="H312" s="513"/>
      <c r="I312" s="511"/>
      <c r="J312" s="513"/>
      <c r="K312" s="133"/>
      <c r="L312" s="17"/>
      <c r="M312" s="8"/>
      <c r="N312" s="512"/>
      <c r="O312" s="444"/>
    </row>
    <row r="313" spans="1:15" s="18" customFormat="1" ht="33" customHeight="1" x14ac:dyDescent="0.3">
      <c r="A313" s="518"/>
      <c r="B313" s="445"/>
      <c r="C313" s="4"/>
      <c r="D313" s="4"/>
      <c r="E313" s="511"/>
      <c r="F313" s="511"/>
      <c r="G313" s="17"/>
      <c r="H313" s="513"/>
      <c r="I313" s="511"/>
      <c r="J313" s="513"/>
      <c r="K313" s="133"/>
      <c r="L313" s="17"/>
      <c r="M313" s="8"/>
      <c r="N313" s="512"/>
      <c r="O313" s="444"/>
    </row>
    <row r="314" spans="1:15" s="18" customFormat="1" ht="33" customHeight="1" x14ac:dyDescent="0.3">
      <c r="A314" s="518"/>
      <c r="B314" s="439">
        <v>46169</v>
      </c>
      <c r="C314" s="4"/>
      <c r="D314" s="4"/>
      <c r="E314" s="511"/>
      <c r="F314" s="511"/>
      <c r="G314" s="17"/>
      <c r="H314" s="513"/>
      <c r="I314" s="511"/>
      <c r="J314" s="513"/>
      <c r="K314" s="133"/>
      <c r="L314" s="17"/>
      <c r="M314" s="8"/>
      <c r="N314" s="512"/>
      <c r="O314" s="444"/>
    </row>
    <row r="315" spans="1:15" s="18" customFormat="1" ht="33" customHeight="1" x14ac:dyDescent="0.3">
      <c r="A315" s="518"/>
      <c r="B315" s="445"/>
      <c r="C315" s="4"/>
      <c r="D315" s="4"/>
      <c r="E315" s="310"/>
      <c r="F315" s="511"/>
      <c r="G315" s="17"/>
      <c r="H315" s="513"/>
      <c r="I315" s="511"/>
      <c r="J315" s="511"/>
      <c r="K315" s="133"/>
      <c r="L315" s="17"/>
      <c r="M315" s="8"/>
      <c r="N315" s="511"/>
      <c r="O315" s="342"/>
    </row>
    <row r="316" spans="1:15" s="18" customFormat="1" ht="33" customHeight="1" x14ac:dyDescent="0.3">
      <c r="A316" s="518"/>
      <c r="B316" s="439">
        <v>46170</v>
      </c>
      <c r="C316" s="4"/>
      <c r="D316" s="4"/>
      <c r="E316" s="511"/>
      <c r="F316" s="511"/>
      <c r="G316" s="17"/>
      <c r="H316" s="513"/>
      <c r="I316" s="511"/>
      <c r="J316" s="513"/>
      <c r="K316" s="133"/>
      <c r="L316" s="17"/>
      <c r="M316" s="8"/>
      <c r="N316" s="512"/>
      <c r="O316" s="444"/>
    </row>
    <row r="317" spans="1:15" s="18" customFormat="1" ht="33" customHeight="1" x14ac:dyDescent="0.3">
      <c r="A317" s="518"/>
      <c r="B317" s="445"/>
      <c r="C317" s="4"/>
      <c r="D317" s="4"/>
      <c r="E317" s="310"/>
      <c r="F317" s="511"/>
      <c r="G317" s="17"/>
      <c r="H317" s="513"/>
      <c r="I317" s="511"/>
      <c r="J317" s="511"/>
      <c r="K317" s="133"/>
      <c r="L317" s="17"/>
      <c r="M317" s="8"/>
      <c r="N317" s="511"/>
      <c r="O317" s="342"/>
    </row>
    <row r="318" spans="1:15" s="18" customFormat="1" ht="33" customHeight="1" x14ac:dyDescent="0.3">
      <c r="A318" s="518"/>
      <c r="B318" s="439">
        <v>46171</v>
      </c>
      <c r="C318" s="4"/>
      <c r="D318" s="4"/>
      <c r="E318" s="511"/>
      <c r="F318" s="310"/>
      <c r="G318" s="17"/>
      <c r="H318" s="513"/>
      <c r="I318" s="511"/>
      <c r="J318" s="513"/>
      <c r="K318" s="133"/>
      <c r="L318" s="17"/>
      <c r="M318" s="8"/>
      <c r="N318" s="511"/>
      <c r="O318" s="446"/>
    </row>
    <row r="319" spans="1:15" s="18" customFormat="1" ht="33" customHeight="1" x14ac:dyDescent="0.3">
      <c r="A319" s="518"/>
      <c r="B319" s="445"/>
      <c r="C319" s="4"/>
      <c r="D319" s="4"/>
      <c r="E319" s="511"/>
      <c r="F319" s="511"/>
      <c r="G319" s="17"/>
      <c r="H319" s="513"/>
      <c r="I319" s="511"/>
      <c r="J319" s="511"/>
      <c r="K319" s="133"/>
      <c r="L319" s="17"/>
      <c r="M319" s="8"/>
      <c r="N319" s="511"/>
      <c r="O319" s="341"/>
    </row>
    <row r="320" spans="1:15" s="18" customFormat="1" ht="33" customHeight="1" x14ac:dyDescent="0.3">
      <c r="A320" s="518"/>
      <c r="B320" s="439">
        <v>46172</v>
      </c>
      <c r="C320" s="4"/>
      <c r="D320" s="4"/>
      <c r="E320" s="511"/>
      <c r="F320" s="511"/>
      <c r="G320" s="17"/>
      <c r="H320" s="513"/>
      <c r="I320" s="513"/>
      <c r="J320" s="513"/>
      <c r="K320" s="133"/>
      <c r="L320" s="17"/>
      <c r="M320" s="8"/>
      <c r="N320" s="513"/>
      <c r="O320" s="39"/>
    </row>
    <row r="321" spans="1:15" s="18" customFormat="1" ht="33" customHeight="1" x14ac:dyDescent="0.3">
      <c r="A321" s="519"/>
      <c r="B321" s="440"/>
      <c r="C321" s="4"/>
      <c r="D321" s="4"/>
      <c r="E321" s="511"/>
      <c r="F321" s="511"/>
      <c r="G321" s="17"/>
      <c r="H321" s="513"/>
      <c r="I321" s="513"/>
      <c r="J321" s="513"/>
      <c r="K321" s="133"/>
      <c r="L321" s="17"/>
      <c r="M321" s="8"/>
      <c r="N321" s="511"/>
      <c r="O321" s="342"/>
    </row>
    <row r="322" spans="1:15" s="18" customFormat="1" ht="33" customHeight="1" x14ac:dyDescent="0.3">
      <c r="A322" s="345" t="s">
        <v>5298</v>
      </c>
      <c r="B322" s="346" t="s">
        <v>1</v>
      </c>
      <c r="C322" s="345" t="s">
        <v>2</v>
      </c>
      <c r="D322" s="345" t="s">
        <v>3</v>
      </c>
      <c r="E322" s="345" t="s">
        <v>4</v>
      </c>
      <c r="F322" s="345" t="s">
        <v>5</v>
      </c>
      <c r="G322" s="345" t="s">
        <v>6</v>
      </c>
      <c r="H322" s="347" t="s">
        <v>7</v>
      </c>
      <c r="I322" s="345" t="s">
        <v>5363</v>
      </c>
      <c r="J322" s="345" t="s">
        <v>9</v>
      </c>
      <c r="K322" s="348" t="s">
        <v>5343</v>
      </c>
      <c r="L322" s="349" t="s">
        <v>5300</v>
      </c>
      <c r="M322" s="345" t="s">
        <v>5324</v>
      </c>
      <c r="N322" s="352" t="s">
        <v>5345</v>
      </c>
      <c r="O322" s="345" t="s">
        <v>5302</v>
      </c>
    </row>
    <row r="323" spans="1:15" s="18" customFormat="1" ht="33" customHeight="1" x14ac:dyDescent="0.3">
      <c r="A323" s="517" t="s">
        <v>5376</v>
      </c>
      <c r="B323" s="439">
        <v>46174</v>
      </c>
      <c r="C323" s="4"/>
      <c r="D323" s="4"/>
      <c r="E323" s="511"/>
      <c r="F323" s="513"/>
      <c r="G323" s="17"/>
      <c r="H323" s="513"/>
      <c r="I323" s="511"/>
      <c r="J323" s="511"/>
      <c r="K323" s="133"/>
      <c r="L323" s="17"/>
      <c r="M323" s="8"/>
      <c r="N323" s="511"/>
      <c r="O323" s="32"/>
    </row>
    <row r="324" spans="1:15" s="18" customFormat="1" ht="33" customHeight="1" x14ac:dyDescent="0.3">
      <c r="A324" s="518"/>
      <c r="B324" s="445"/>
      <c r="C324" s="4"/>
      <c r="D324" s="4"/>
      <c r="E324" s="310"/>
      <c r="F324" s="511"/>
      <c r="G324" s="17"/>
      <c r="H324" s="513"/>
      <c r="I324" s="511"/>
      <c r="J324" s="511"/>
      <c r="K324" s="133"/>
      <c r="L324" s="17"/>
      <c r="M324" s="8"/>
      <c r="N324" s="511"/>
      <c r="O324" s="32"/>
    </row>
    <row r="325" spans="1:15" s="18" customFormat="1" ht="33" customHeight="1" x14ac:dyDescent="0.3">
      <c r="A325" s="518"/>
      <c r="B325" s="439">
        <v>46175</v>
      </c>
      <c r="C325" s="4"/>
      <c r="D325" s="4"/>
      <c r="E325" s="511"/>
      <c r="F325" s="511"/>
      <c r="G325" s="17"/>
      <c r="H325" s="513"/>
      <c r="I325" s="511"/>
      <c r="J325" s="513"/>
      <c r="K325" s="133"/>
      <c r="L325" s="17"/>
      <c r="M325" s="8"/>
      <c r="N325" s="512"/>
      <c r="O325" s="444"/>
    </row>
    <row r="326" spans="1:15" s="18" customFormat="1" ht="33" customHeight="1" x14ac:dyDescent="0.3">
      <c r="A326" s="518"/>
      <c r="B326" s="445"/>
      <c r="C326" s="4"/>
      <c r="D326" s="4"/>
      <c r="E326" s="511"/>
      <c r="F326" s="511"/>
      <c r="G326" s="17"/>
      <c r="H326" s="513"/>
      <c r="I326" s="511"/>
      <c r="J326" s="513"/>
      <c r="K326" s="133"/>
      <c r="L326" s="17"/>
      <c r="M326" s="8"/>
      <c r="N326" s="512"/>
      <c r="O326" s="444"/>
    </row>
    <row r="327" spans="1:15" s="18" customFormat="1" ht="33" customHeight="1" x14ac:dyDescent="0.3">
      <c r="A327" s="518"/>
      <c r="B327" s="439">
        <v>46176</v>
      </c>
      <c r="C327" s="4"/>
      <c r="D327" s="4"/>
      <c r="E327" s="511"/>
      <c r="F327" s="511"/>
      <c r="G327" s="17"/>
      <c r="H327" s="468" t="s">
        <v>5377</v>
      </c>
      <c r="I327" s="511"/>
      <c r="J327" s="513"/>
      <c r="K327" s="133"/>
      <c r="L327" s="17"/>
      <c r="M327" s="8"/>
      <c r="N327" s="512"/>
      <c r="O327" s="444"/>
    </row>
    <row r="328" spans="1:15" s="18" customFormat="1" ht="33" customHeight="1" x14ac:dyDescent="0.3">
      <c r="A328" s="518"/>
      <c r="B328" s="445"/>
      <c r="C328" s="4"/>
      <c r="D328" s="4"/>
      <c r="E328" s="310"/>
      <c r="F328" s="511"/>
      <c r="G328" s="17"/>
      <c r="H328" s="513"/>
      <c r="I328" s="511"/>
      <c r="J328" s="511"/>
      <c r="K328" s="133"/>
      <c r="L328" s="17"/>
      <c r="M328" s="8"/>
      <c r="N328" s="511"/>
      <c r="O328" s="342"/>
    </row>
    <row r="329" spans="1:15" s="18" customFormat="1" ht="33" customHeight="1" x14ac:dyDescent="0.3">
      <c r="A329" s="518"/>
      <c r="B329" s="439">
        <v>46177</v>
      </c>
      <c r="C329" s="4"/>
      <c r="D329" s="4"/>
      <c r="E329" s="511"/>
      <c r="F329" s="511"/>
      <c r="G329" s="17"/>
      <c r="H329" s="513"/>
      <c r="I329" s="511"/>
      <c r="J329" s="513"/>
      <c r="K329" s="133"/>
      <c r="L329" s="17"/>
      <c r="M329" s="8"/>
      <c r="N329" s="512"/>
      <c r="O329" s="444"/>
    </row>
    <row r="330" spans="1:15" s="18" customFormat="1" ht="33" customHeight="1" x14ac:dyDescent="0.3">
      <c r="A330" s="518"/>
      <c r="B330" s="445"/>
      <c r="C330" s="4"/>
      <c r="D330" s="4"/>
      <c r="E330" s="310"/>
      <c r="F330" s="511"/>
      <c r="G330" s="17"/>
      <c r="H330" s="513"/>
      <c r="I330" s="511"/>
      <c r="J330" s="511"/>
      <c r="K330" s="133"/>
      <c r="L330" s="17"/>
      <c r="M330" s="8"/>
      <c r="N330" s="511"/>
      <c r="O330" s="342"/>
    </row>
    <row r="331" spans="1:15" s="18" customFormat="1" ht="33" customHeight="1" x14ac:dyDescent="0.3">
      <c r="A331" s="518"/>
      <c r="B331" s="439">
        <v>46178</v>
      </c>
      <c r="C331" s="4"/>
      <c r="D331" s="4"/>
      <c r="E331" s="511"/>
      <c r="F331" s="310"/>
      <c r="G331" s="17"/>
      <c r="H331" s="513"/>
      <c r="I331" s="511"/>
      <c r="J331" s="513"/>
      <c r="K331" s="133"/>
      <c r="L331" s="17"/>
      <c r="M331" s="8"/>
      <c r="N331" s="511"/>
      <c r="O331" s="446"/>
    </row>
    <row r="332" spans="1:15" s="18" customFormat="1" ht="33" customHeight="1" x14ac:dyDescent="0.3">
      <c r="A332" s="518"/>
      <c r="B332" s="445"/>
      <c r="C332" s="4"/>
      <c r="D332" s="4"/>
      <c r="E332" s="511"/>
      <c r="F332" s="511"/>
      <c r="G332" s="17"/>
      <c r="H332" s="513"/>
      <c r="I332" s="511"/>
      <c r="J332" s="511"/>
      <c r="K332" s="133"/>
      <c r="L332" s="17"/>
      <c r="M332" s="8"/>
      <c r="N332" s="511"/>
      <c r="O332" s="341"/>
    </row>
    <row r="333" spans="1:15" s="18" customFormat="1" ht="33" customHeight="1" x14ac:dyDescent="0.3">
      <c r="A333" s="518"/>
      <c r="B333" s="439">
        <v>46179</v>
      </c>
      <c r="C333" s="4"/>
      <c r="D333" s="4"/>
      <c r="E333" s="511"/>
      <c r="F333" s="511"/>
      <c r="G333" s="17"/>
      <c r="H333" s="513"/>
      <c r="I333" s="513"/>
      <c r="J333" s="513"/>
      <c r="K333" s="133"/>
      <c r="L333" s="17"/>
      <c r="M333" s="8"/>
      <c r="N333" s="513"/>
      <c r="O333" s="39"/>
    </row>
    <row r="334" spans="1:15" s="18" customFormat="1" ht="33" customHeight="1" x14ac:dyDescent="0.3">
      <c r="A334" s="519"/>
      <c r="B334" s="440"/>
      <c r="C334" s="4"/>
      <c r="D334" s="4"/>
      <c r="E334" s="511"/>
      <c r="F334" s="511"/>
      <c r="G334" s="17"/>
      <c r="H334" s="513"/>
      <c r="I334" s="513"/>
      <c r="J334" s="513"/>
      <c r="K334" s="133"/>
      <c r="L334" s="17"/>
      <c r="M334" s="8"/>
      <c r="N334" s="511"/>
      <c r="O334" s="342"/>
    </row>
    <row r="335" spans="1:15" s="18" customFormat="1" ht="33" customHeight="1" x14ac:dyDescent="0.3">
      <c r="A335" s="345" t="s">
        <v>5378</v>
      </c>
      <c r="B335" s="346" t="s">
        <v>1</v>
      </c>
      <c r="C335" s="345" t="s">
        <v>2</v>
      </c>
      <c r="D335" s="345" t="s">
        <v>3</v>
      </c>
      <c r="E335" s="345" t="s">
        <v>4</v>
      </c>
      <c r="F335" s="345" t="s">
        <v>5</v>
      </c>
      <c r="G335" s="345" t="s">
        <v>6</v>
      </c>
      <c r="H335" s="347" t="s">
        <v>7</v>
      </c>
      <c r="I335" s="345" t="s">
        <v>5363</v>
      </c>
      <c r="J335" s="345" t="s">
        <v>9</v>
      </c>
      <c r="K335" s="348" t="s">
        <v>5343</v>
      </c>
      <c r="L335" s="349" t="s">
        <v>5300</v>
      </c>
      <c r="M335" s="345" t="s">
        <v>5324</v>
      </c>
      <c r="N335" s="352" t="s">
        <v>5345</v>
      </c>
      <c r="O335" s="345" t="s">
        <v>5302</v>
      </c>
    </row>
    <row r="336" spans="1:15" s="18" customFormat="1" ht="33" customHeight="1" x14ac:dyDescent="0.3">
      <c r="A336" s="517" t="s">
        <v>5379</v>
      </c>
      <c r="B336" s="439">
        <v>46181</v>
      </c>
      <c r="C336" s="4"/>
      <c r="D336" s="4"/>
      <c r="E336" s="511"/>
      <c r="F336" s="513"/>
      <c r="G336" s="17"/>
      <c r="H336" s="513"/>
      <c r="I336" s="511"/>
      <c r="J336" s="511"/>
      <c r="K336" s="133"/>
      <c r="L336" s="17"/>
      <c r="M336" s="8"/>
      <c r="N336" s="511"/>
      <c r="O336" s="32"/>
    </row>
    <row r="337" spans="1:19" s="18" customFormat="1" ht="33" customHeight="1" x14ac:dyDescent="0.3">
      <c r="A337" s="518"/>
      <c r="B337" s="445"/>
      <c r="C337" s="4"/>
      <c r="D337" s="4"/>
      <c r="E337" s="310"/>
      <c r="F337" s="511"/>
      <c r="G337" s="17"/>
      <c r="H337" s="513"/>
      <c r="I337" s="511"/>
      <c r="J337" s="511"/>
      <c r="K337" s="133"/>
      <c r="L337" s="17"/>
      <c r="M337" s="8"/>
      <c r="N337" s="511"/>
      <c r="O337" s="32"/>
    </row>
    <row r="338" spans="1:19" s="18" customFormat="1" ht="33" customHeight="1" x14ac:dyDescent="0.3">
      <c r="A338" s="518"/>
      <c r="B338" s="439">
        <v>46182</v>
      </c>
      <c r="C338" s="4"/>
      <c r="D338" s="4"/>
      <c r="E338" s="511"/>
      <c r="F338" s="511"/>
      <c r="G338" s="17"/>
      <c r="H338" s="513"/>
      <c r="I338" s="511"/>
      <c r="J338" s="513"/>
      <c r="K338" s="133"/>
      <c r="L338" s="17"/>
      <c r="M338" s="8"/>
      <c r="N338" s="512"/>
      <c r="O338" s="444"/>
    </row>
    <row r="339" spans="1:19" s="18" customFormat="1" ht="33" customHeight="1" x14ac:dyDescent="0.3">
      <c r="A339" s="518"/>
      <c r="B339" s="445"/>
      <c r="C339" s="4"/>
      <c r="D339" s="4"/>
      <c r="E339" s="511"/>
      <c r="F339" s="511"/>
      <c r="G339" s="17"/>
      <c r="H339" s="513"/>
      <c r="I339" s="511"/>
      <c r="J339" s="513"/>
      <c r="K339" s="133"/>
      <c r="L339" s="17"/>
      <c r="M339" s="8"/>
      <c r="N339" s="512"/>
      <c r="O339" s="444"/>
    </row>
    <row r="340" spans="1:19" s="18" customFormat="1" ht="33" customHeight="1" x14ac:dyDescent="0.3">
      <c r="A340" s="518"/>
      <c r="B340" s="439">
        <v>46183</v>
      </c>
      <c r="C340" s="4"/>
      <c r="D340" s="4"/>
      <c r="E340" s="511"/>
      <c r="F340" s="511"/>
      <c r="G340" s="17"/>
      <c r="H340" s="513"/>
      <c r="I340" s="511"/>
      <c r="J340" s="513"/>
      <c r="K340" s="133"/>
      <c r="L340" s="17"/>
      <c r="M340" s="8"/>
      <c r="N340" s="512"/>
      <c r="O340" s="444"/>
    </row>
    <row r="341" spans="1:19" s="18" customFormat="1" ht="33" customHeight="1" x14ac:dyDescent="0.3">
      <c r="A341" s="518"/>
      <c r="B341" s="445"/>
      <c r="C341" s="4"/>
      <c r="D341" s="4"/>
      <c r="E341" s="310"/>
      <c r="F341" s="511"/>
      <c r="G341" s="17"/>
      <c r="H341" s="513"/>
      <c r="I341" s="511"/>
      <c r="J341" s="511"/>
      <c r="K341" s="133"/>
      <c r="L341" s="17"/>
      <c r="M341" s="8"/>
      <c r="N341" s="511"/>
      <c r="O341" s="342"/>
    </row>
    <row r="342" spans="1:19" s="18" customFormat="1" ht="33" customHeight="1" x14ac:dyDescent="0.3">
      <c r="A342" s="518"/>
      <c r="B342" s="439">
        <v>46184</v>
      </c>
      <c r="C342" s="4"/>
      <c r="D342" s="4"/>
      <c r="E342" s="511"/>
      <c r="F342" s="511"/>
      <c r="G342" s="17"/>
      <c r="H342" s="513"/>
      <c r="I342" s="511"/>
      <c r="J342" s="513"/>
      <c r="K342" s="133"/>
      <c r="L342" s="17"/>
      <c r="M342" s="8"/>
      <c r="N342" s="512"/>
      <c r="O342" s="444"/>
    </row>
    <row r="343" spans="1:19" s="18" customFormat="1" ht="33" customHeight="1" x14ac:dyDescent="0.3">
      <c r="A343" s="518"/>
      <c r="B343" s="445"/>
      <c r="C343" s="4"/>
      <c r="D343" s="4"/>
      <c r="E343" s="310"/>
      <c r="F343" s="511"/>
      <c r="G343" s="17"/>
      <c r="H343" s="513"/>
      <c r="I343" s="511"/>
      <c r="J343" s="511"/>
      <c r="K343" s="133"/>
      <c r="L343" s="17"/>
      <c r="M343" s="8"/>
      <c r="N343" s="511"/>
      <c r="O343" s="342"/>
    </row>
    <row r="344" spans="1:19" s="18" customFormat="1" ht="33" customHeight="1" x14ac:dyDescent="0.3">
      <c r="A344" s="518"/>
      <c r="B344" s="439">
        <v>46185</v>
      </c>
      <c r="C344" s="4"/>
      <c r="D344" s="4"/>
      <c r="E344" s="511"/>
      <c r="F344" s="310"/>
      <c r="G344" s="17"/>
      <c r="H344" s="513"/>
      <c r="I344" s="511"/>
      <c r="J344" s="513"/>
      <c r="K344" s="133"/>
      <c r="L344" s="17"/>
      <c r="M344" s="8"/>
      <c r="N344" s="511"/>
      <c r="O344" s="446"/>
    </row>
    <row r="345" spans="1:19" s="18" customFormat="1" ht="33" customHeight="1" x14ac:dyDescent="0.3">
      <c r="A345" s="518"/>
      <c r="B345" s="445"/>
      <c r="C345" s="4"/>
      <c r="D345" s="4"/>
      <c r="E345" s="511"/>
      <c r="F345" s="511"/>
      <c r="G345" s="17"/>
      <c r="H345" s="513"/>
      <c r="I345" s="511"/>
      <c r="J345" s="511"/>
      <c r="K345" s="133"/>
      <c r="L345" s="17"/>
      <c r="M345" s="8"/>
      <c r="N345" s="511"/>
      <c r="O345" s="341"/>
    </row>
    <row r="346" spans="1:19" s="18" customFormat="1" ht="33" customHeight="1" x14ac:dyDescent="0.3">
      <c r="A346" s="518"/>
      <c r="B346" s="439">
        <v>46186</v>
      </c>
      <c r="C346" s="4"/>
      <c r="D346" s="4"/>
      <c r="E346" s="511"/>
      <c r="F346" s="511"/>
      <c r="G346" s="17"/>
      <c r="H346" s="513"/>
      <c r="I346" s="513"/>
      <c r="J346" s="513"/>
      <c r="K346" s="133"/>
      <c r="L346" s="17"/>
      <c r="M346" s="8"/>
      <c r="N346" s="513"/>
      <c r="O346" s="39"/>
    </row>
    <row r="347" spans="1:19" x14ac:dyDescent="0.3">
      <c r="A347" s="519"/>
      <c r="B347" s="440"/>
      <c r="C347" s="4"/>
      <c r="D347" s="4"/>
      <c r="E347" s="511"/>
      <c r="F347" s="511"/>
      <c r="G347" s="17"/>
      <c r="H347" s="513"/>
      <c r="I347" s="513"/>
      <c r="J347" s="513"/>
      <c r="K347" s="133"/>
      <c r="L347" s="17"/>
      <c r="M347" s="8"/>
      <c r="N347" s="511"/>
      <c r="O347" s="342"/>
      <c r="P347" s="18"/>
      <c r="Q347" s="18"/>
      <c r="R347" s="18"/>
      <c r="S347" s="18"/>
    </row>
    <row r="350" spans="1:19" x14ac:dyDescent="0.3">
      <c r="B350" s="415"/>
    </row>
    <row r="351" spans="1:19" x14ac:dyDescent="0.3">
      <c r="B351" s="415"/>
    </row>
    <row r="352" spans="1:19" x14ac:dyDescent="0.3">
      <c r="C352" s="4" t="s">
        <v>21</v>
      </c>
      <c r="D352" s="4" t="s">
        <v>14</v>
      </c>
      <c r="E352" s="34" t="s">
        <v>429</v>
      </c>
      <c r="F352" s="207" t="s">
        <v>3156</v>
      </c>
      <c r="G352" s="17" t="s">
        <v>3128</v>
      </c>
      <c r="H352" s="207" t="s">
        <v>3157</v>
      </c>
      <c r="I352" s="34" t="s">
        <v>3158</v>
      </c>
      <c r="J352" s="207" t="s">
        <v>3159</v>
      </c>
      <c r="K352" s="133" t="s">
        <v>15</v>
      </c>
      <c r="L352" s="17">
        <v>9080</v>
      </c>
      <c r="M352" s="8">
        <v>2</v>
      </c>
      <c r="N352" s="81"/>
    </row>
    <row r="355" spans="2:13" ht="27" x14ac:dyDescent="0.3">
      <c r="C355" s="9" t="s">
        <v>29</v>
      </c>
      <c r="D355" s="9" t="s">
        <v>3006</v>
      </c>
      <c r="E355" s="34" t="s">
        <v>3013</v>
      </c>
      <c r="F355" s="207" t="s">
        <v>3011</v>
      </c>
      <c r="G355" s="17" t="s">
        <v>3012</v>
      </c>
      <c r="H355" s="207" t="s">
        <v>3022</v>
      </c>
      <c r="I355" s="34"/>
      <c r="J355" s="34" t="s">
        <v>643</v>
      </c>
      <c r="K355" s="133" t="s">
        <v>42</v>
      </c>
      <c r="L355" s="17" t="s">
        <v>3077</v>
      </c>
      <c r="M355" s="8">
        <v>2</v>
      </c>
    </row>
    <row r="357" spans="2:13" x14ac:dyDescent="0.3">
      <c r="B357" s="415"/>
    </row>
    <row r="358" spans="2:13" x14ac:dyDescent="0.3">
      <c r="C358" s="4" t="s">
        <v>21</v>
      </c>
      <c r="D358" s="4" t="s">
        <v>14</v>
      </c>
      <c r="E358" s="34" t="s">
        <v>3122</v>
      </c>
      <c r="F358" s="34" t="s">
        <v>1654</v>
      </c>
      <c r="G358" s="17" t="s">
        <v>3129</v>
      </c>
      <c r="H358" s="207" t="s">
        <v>1390</v>
      </c>
      <c r="I358" s="34" t="s">
        <v>3130</v>
      </c>
      <c r="J358" s="34" t="s">
        <v>3131</v>
      </c>
      <c r="K358" s="133" t="s">
        <v>3123</v>
      </c>
      <c r="L358" s="17" t="s">
        <v>33</v>
      </c>
      <c r="M358" s="8">
        <v>2</v>
      </c>
    </row>
    <row r="360" spans="2:13" x14ac:dyDescent="0.3">
      <c r="C360" s="4" t="s">
        <v>21</v>
      </c>
      <c r="D360" s="4" t="s">
        <v>14</v>
      </c>
      <c r="E360" s="34" t="s">
        <v>2257</v>
      </c>
      <c r="F360" s="34" t="s">
        <v>1981</v>
      </c>
      <c r="G360" s="17" t="s">
        <v>2184</v>
      </c>
      <c r="H360" s="207" t="s">
        <v>3080</v>
      </c>
      <c r="I360" s="34" t="s">
        <v>90</v>
      </c>
      <c r="J360" s="34" t="s">
        <v>2972</v>
      </c>
      <c r="K360" s="133" t="s">
        <v>15</v>
      </c>
      <c r="L360" s="17" t="s">
        <v>33</v>
      </c>
      <c r="M360" s="8">
        <v>2</v>
      </c>
    </row>
    <row r="364" spans="2:13" x14ac:dyDescent="0.3">
      <c r="B364" s="63"/>
      <c r="C364" s="63" t="s">
        <v>21</v>
      </c>
      <c r="D364" s="63" t="s">
        <v>14</v>
      </c>
      <c r="E364" s="330" t="s">
        <v>108</v>
      </c>
      <c r="F364" s="330" t="s">
        <v>1978</v>
      </c>
      <c r="G364" s="211" t="s">
        <v>144</v>
      </c>
      <c r="H364" s="329" t="s">
        <v>304</v>
      </c>
      <c r="I364" s="330" t="s">
        <v>2829</v>
      </c>
      <c r="J364" s="330"/>
      <c r="K364" s="328" t="s">
        <v>15</v>
      </c>
      <c r="L364" s="211" t="s">
        <v>33</v>
      </c>
      <c r="M364" s="196">
        <v>2</v>
      </c>
    </row>
    <row r="365" spans="2:13" x14ac:dyDescent="0.3">
      <c r="C365" s="4" t="s">
        <v>21</v>
      </c>
      <c r="D365" s="4" t="s">
        <v>14</v>
      </c>
      <c r="E365" s="34" t="s">
        <v>1796</v>
      </c>
      <c r="F365" s="34" t="s">
        <v>2145</v>
      </c>
      <c r="G365" s="17" t="s">
        <v>143</v>
      </c>
      <c r="H365" s="207" t="s">
        <v>3001</v>
      </c>
      <c r="I365" s="34"/>
      <c r="J365" s="34" t="s">
        <v>1318</v>
      </c>
      <c r="K365" s="133" t="s">
        <v>15</v>
      </c>
      <c r="L365" s="17" t="s">
        <v>91</v>
      </c>
      <c r="M365" s="8">
        <v>1</v>
      </c>
    </row>
    <row r="371" spans="2:15" x14ac:dyDescent="0.3">
      <c r="C371" s="4" t="s">
        <v>21</v>
      </c>
      <c r="D371" s="4" t="s">
        <v>14</v>
      </c>
      <c r="E371" s="34" t="s">
        <v>1904</v>
      </c>
      <c r="F371" s="34">
        <v>3307</v>
      </c>
      <c r="G371" s="17" t="s">
        <v>813</v>
      </c>
      <c r="H371" s="207" t="s">
        <v>2891</v>
      </c>
      <c r="I371" s="207" t="s">
        <v>2791</v>
      </c>
      <c r="J371" s="207"/>
      <c r="K371" s="133" t="s">
        <v>15</v>
      </c>
      <c r="L371" s="17" t="s">
        <v>33</v>
      </c>
      <c r="M371" s="8">
        <v>2</v>
      </c>
    </row>
    <row r="373" spans="2:15" x14ac:dyDescent="0.3">
      <c r="B373" s="344">
        <v>45795</v>
      </c>
      <c r="C373" s="4" t="s">
        <v>21</v>
      </c>
      <c r="D373" s="4" t="s">
        <v>14</v>
      </c>
      <c r="E373" s="34" t="s">
        <v>1904</v>
      </c>
      <c r="F373" s="34">
        <v>3307</v>
      </c>
      <c r="G373" s="17" t="s">
        <v>813</v>
      </c>
      <c r="H373" s="207" t="s">
        <v>2563</v>
      </c>
      <c r="I373" s="207" t="s">
        <v>90</v>
      </c>
      <c r="J373" s="207" t="s">
        <v>643</v>
      </c>
      <c r="K373" s="133" t="s">
        <v>15</v>
      </c>
      <c r="L373" s="17" t="s">
        <v>33</v>
      </c>
      <c r="M373" s="8">
        <v>3</v>
      </c>
      <c r="N373" s="34"/>
      <c r="O373" s="342" t="s">
        <v>2914</v>
      </c>
    </row>
    <row r="374" spans="2:15" ht="27" x14ac:dyDescent="0.3">
      <c r="C374" s="4" t="s">
        <v>21</v>
      </c>
      <c r="D374" s="4" t="s">
        <v>17</v>
      </c>
      <c r="E374" s="34" t="s">
        <v>78</v>
      </c>
      <c r="F374" s="34">
        <v>7060</v>
      </c>
      <c r="G374" s="17" t="s">
        <v>2876</v>
      </c>
      <c r="H374" s="207" t="s">
        <v>2925</v>
      </c>
      <c r="I374" s="34" t="s">
        <v>90</v>
      </c>
      <c r="J374" s="207" t="s">
        <v>60</v>
      </c>
      <c r="K374" s="133" t="s">
        <v>15</v>
      </c>
      <c r="L374" s="17" t="s">
        <v>33</v>
      </c>
      <c r="M374" s="8">
        <v>2</v>
      </c>
    </row>
    <row r="376" spans="2:15" x14ac:dyDescent="0.3">
      <c r="C376" s="4" t="s">
        <v>21</v>
      </c>
      <c r="D376" s="4" t="s">
        <v>14</v>
      </c>
      <c r="E376" s="34" t="s">
        <v>3124</v>
      </c>
      <c r="F376" s="34" t="s">
        <v>2913</v>
      </c>
      <c r="G376" s="17" t="s">
        <v>83</v>
      </c>
      <c r="H376" s="207" t="s">
        <v>3125</v>
      </c>
      <c r="I376" s="207"/>
      <c r="J376" s="207" t="s">
        <v>3127</v>
      </c>
      <c r="K376" s="133" t="s">
        <v>15</v>
      </c>
      <c r="L376" s="17" t="s">
        <v>3126</v>
      </c>
      <c r="M376" s="8">
        <v>3</v>
      </c>
    </row>
    <row r="379" spans="2:15" x14ac:dyDescent="0.3">
      <c r="C379" s="4" t="s">
        <v>21</v>
      </c>
      <c r="D379" s="4" t="s">
        <v>14</v>
      </c>
      <c r="E379" s="34" t="s">
        <v>429</v>
      </c>
      <c r="F379" s="207" t="s">
        <v>3156</v>
      </c>
      <c r="G379" s="17" t="s">
        <v>3128</v>
      </c>
      <c r="H379" s="207" t="s">
        <v>3157</v>
      </c>
      <c r="I379" s="34" t="s">
        <v>3158</v>
      </c>
      <c r="J379" s="207" t="s">
        <v>3159</v>
      </c>
      <c r="K379" s="133" t="s">
        <v>15</v>
      </c>
      <c r="L379" s="17">
        <v>9080</v>
      </c>
      <c r="M379" s="8">
        <v>2</v>
      </c>
    </row>
  </sheetData>
  <mergeCells count="40">
    <mergeCell ref="A284:A295"/>
    <mergeCell ref="A297:A308"/>
    <mergeCell ref="A310:A321"/>
    <mergeCell ref="A323:A334"/>
    <mergeCell ref="A336:A347"/>
    <mergeCell ref="A219:A230"/>
    <mergeCell ref="A232:A243"/>
    <mergeCell ref="A245:A256"/>
    <mergeCell ref="A258:A269"/>
    <mergeCell ref="A271:A282"/>
    <mergeCell ref="P154:S154"/>
    <mergeCell ref="A167:A178"/>
    <mergeCell ref="A180:A191"/>
    <mergeCell ref="A193:A204"/>
    <mergeCell ref="A206:A217"/>
    <mergeCell ref="P83:S83"/>
    <mergeCell ref="P85:S85"/>
    <mergeCell ref="P43:S43"/>
    <mergeCell ref="P61:S61"/>
    <mergeCell ref="P64:S64"/>
    <mergeCell ref="P67:S67"/>
    <mergeCell ref="P74:S74"/>
    <mergeCell ref="P22:S22"/>
    <mergeCell ref="P27:S27"/>
    <mergeCell ref="P36:S36"/>
    <mergeCell ref="P41:S41"/>
    <mergeCell ref="P40:S40"/>
    <mergeCell ref="P37:S37"/>
    <mergeCell ref="A1:M1"/>
    <mergeCell ref="A61:A75"/>
    <mergeCell ref="A77:A91"/>
    <mergeCell ref="A93:A110"/>
    <mergeCell ref="A112:A124"/>
    <mergeCell ref="A3:A20"/>
    <mergeCell ref="A22:A40"/>
    <mergeCell ref="A42:A59"/>
    <mergeCell ref="A126:A137"/>
    <mergeCell ref="A139:A152"/>
    <mergeCell ref="A154:A165"/>
    <mergeCell ref="P93:S93"/>
  </mergeCells>
  <phoneticPr fontId="2" type="noConversion"/>
  <pageMargins left="0.7" right="0.7" top="0.75" bottom="0.75" header="0.3" footer="0.3"/>
  <pageSetup paperSize="9" scale="62" orientation="landscape" r:id="rId1"/>
  <rowBreaks count="1" manualBreakCount="1">
    <brk id="20" max="16383" man="1"/>
  </rowBreaks>
  <colBreaks count="1" manualBreakCount="1">
    <brk id="15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filterMode="1"/>
  <dimension ref="A1:S1188"/>
  <sheetViews>
    <sheetView zoomScaleNormal="100" zoomScaleSheetLayoutView="115" workbookViewId="0">
      <pane ySplit="2" topLeftCell="A3" activePane="bottomLeft" state="frozen"/>
      <selection pane="bottomLeft" activeCell="G1188" sqref="A1:S1188"/>
    </sheetView>
  </sheetViews>
  <sheetFormatPr defaultRowHeight="16.5" x14ac:dyDescent="0.3"/>
  <cols>
    <col min="1" max="1" width="9.875" bestFit="1" customWidth="1"/>
    <col min="4" max="4" width="10.375" customWidth="1"/>
    <col min="7" max="7" width="10.625" customWidth="1"/>
    <col min="9" max="9" width="40" customWidth="1"/>
    <col min="10" max="10" width="6.75" customWidth="1"/>
    <col min="11" max="11" width="18.5" style="126" customWidth="1"/>
    <col min="13" max="13" width="9.625" style="117" bestFit="1" customWidth="1"/>
    <col min="14" max="14" width="35.875" customWidth="1"/>
    <col min="17" max="17" width="10.875" bestFit="1" customWidth="1"/>
    <col min="18" max="18" width="11.875" bestFit="1" customWidth="1"/>
  </cols>
  <sheetData>
    <row r="1" spans="1:14" x14ac:dyDescent="0.3">
      <c r="A1" s="592" t="s">
        <v>162</v>
      </c>
      <c r="B1" s="592" t="s">
        <v>163</v>
      </c>
      <c r="C1" s="590" t="s">
        <v>1</v>
      </c>
      <c r="D1" s="590" t="s">
        <v>2</v>
      </c>
      <c r="E1" s="590" t="s">
        <v>3</v>
      </c>
      <c r="F1" s="28" t="s">
        <v>54</v>
      </c>
      <c r="G1" s="590" t="s">
        <v>5</v>
      </c>
      <c r="H1" s="590" t="s">
        <v>6</v>
      </c>
      <c r="I1" s="590" t="s">
        <v>7</v>
      </c>
      <c r="J1" s="590" t="s">
        <v>55</v>
      </c>
      <c r="K1" s="594" t="s">
        <v>485</v>
      </c>
      <c r="L1" s="596" t="s">
        <v>56</v>
      </c>
      <c r="M1" s="588" t="s">
        <v>57</v>
      </c>
      <c r="N1" s="590" t="s">
        <v>58</v>
      </c>
    </row>
    <row r="2" spans="1:14" hidden="1" x14ac:dyDescent="0.3">
      <c r="A2" s="593"/>
      <c r="B2" s="593"/>
      <c r="C2" s="591"/>
      <c r="D2" s="591"/>
      <c r="E2" s="591"/>
      <c r="F2" s="29" t="s">
        <v>59</v>
      </c>
      <c r="G2" s="591"/>
      <c r="H2" s="591"/>
      <c r="I2" s="591"/>
      <c r="J2" s="591"/>
      <c r="K2" s="595"/>
      <c r="L2" s="597"/>
      <c r="M2" s="589"/>
      <c r="N2" s="591"/>
    </row>
    <row r="3" spans="1:14" ht="27" hidden="1" x14ac:dyDescent="0.3">
      <c r="A3" s="59">
        <v>1</v>
      </c>
      <c r="B3" s="552" t="s">
        <v>164</v>
      </c>
      <c r="C3" s="2">
        <v>44928</v>
      </c>
      <c r="D3" s="3" t="s">
        <v>21</v>
      </c>
      <c r="E3" s="4" t="s">
        <v>30</v>
      </c>
      <c r="F3" s="3" t="s">
        <v>26</v>
      </c>
      <c r="G3" s="3">
        <v>7060</v>
      </c>
      <c r="H3" s="3" t="s">
        <v>37</v>
      </c>
      <c r="I3" s="5" t="s">
        <v>94</v>
      </c>
      <c r="J3" s="14" t="s">
        <v>76</v>
      </c>
      <c r="K3" s="35" t="s">
        <v>68</v>
      </c>
      <c r="L3" s="6" t="s">
        <v>32</v>
      </c>
      <c r="M3" s="30">
        <v>300000</v>
      </c>
      <c r="N3" s="4" t="s">
        <v>98</v>
      </c>
    </row>
    <row r="4" spans="1:14" hidden="1" x14ac:dyDescent="0.3">
      <c r="A4" s="59">
        <v>1</v>
      </c>
      <c r="B4" s="567"/>
      <c r="C4" s="2">
        <v>44929</v>
      </c>
      <c r="D4" s="3" t="s">
        <v>24</v>
      </c>
      <c r="E4" s="4" t="s">
        <v>30</v>
      </c>
      <c r="F4" s="3" t="s">
        <v>26</v>
      </c>
      <c r="G4" s="3">
        <v>7060</v>
      </c>
      <c r="H4" s="3" t="s">
        <v>86</v>
      </c>
      <c r="I4" s="5" t="s">
        <v>89</v>
      </c>
      <c r="J4" s="33" t="s">
        <v>73</v>
      </c>
      <c r="K4" s="35" t="s">
        <v>60</v>
      </c>
      <c r="L4" s="6" t="s">
        <v>15</v>
      </c>
      <c r="M4" s="30">
        <v>300000</v>
      </c>
      <c r="N4" s="4" t="s">
        <v>61</v>
      </c>
    </row>
    <row r="5" spans="1:14" hidden="1" x14ac:dyDescent="0.3">
      <c r="A5" s="59">
        <v>1</v>
      </c>
      <c r="B5" s="553"/>
      <c r="C5" s="38">
        <v>44930</v>
      </c>
      <c r="D5" s="3" t="s">
        <v>24</v>
      </c>
      <c r="E5" s="4" t="s">
        <v>30</v>
      </c>
      <c r="F5" s="3" t="s">
        <v>26</v>
      </c>
      <c r="G5" s="3">
        <v>7060</v>
      </c>
      <c r="H5" s="3" t="s">
        <v>86</v>
      </c>
      <c r="I5" s="9" t="s">
        <v>89</v>
      </c>
      <c r="J5" s="14" t="s">
        <v>73</v>
      </c>
      <c r="K5" s="3" t="s">
        <v>60</v>
      </c>
      <c r="L5" s="6" t="s">
        <v>15</v>
      </c>
      <c r="M5" s="30">
        <v>300000</v>
      </c>
      <c r="N5" s="4" t="s">
        <v>61</v>
      </c>
    </row>
    <row r="6" spans="1:14" ht="27" hidden="1" x14ac:dyDescent="0.3">
      <c r="A6" s="59">
        <v>2</v>
      </c>
      <c r="B6" s="573" t="s">
        <v>20</v>
      </c>
      <c r="C6" s="42" t="s">
        <v>135</v>
      </c>
      <c r="D6" s="56" t="s">
        <v>125</v>
      </c>
      <c r="E6" s="56" t="s">
        <v>25</v>
      </c>
      <c r="F6" s="43" t="s">
        <v>20</v>
      </c>
      <c r="G6" s="56">
        <v>4203</v>
      </c>
      <c r="H6" s="56" t="s">
        <v>18</v>
      </c>
      <c r="I6" s="42" t="s">
        <v>131</v>
      </c>
      <c r="J6" s="56" t="s">
        <v>95</v>
      </c>
      <c r="K6" s="48" t="s">
        <v>136</v>
      </c>
      <c r="L6" s="44" t="s">
        <v>15</v>
      </c>
      <c r="M6" s="45">
        <v>1000000</v>
      </c>
      <c r="N6" s="56" t="s">
        <v>132</v>
      </c>
    </row>
    <row r="7" spans="1:14" hidden="1" x14ac:dyDescent="0.3">
      <c r="A7" s="59">
        <v>2</v>
      </c>
      <c r="B7" s="574"/>
      <c r="C7" s="46" t="s">
        <v>133</v>
      </c>
      <c r="D7" s="56" t="s">
        <v>125</v>
      </c>
      <c r="E7" s="56" t="s">
        <v>25</v>
      </c>
      <c r="F7" s="43" t="s">
        <v>20</v>
      </c>
      <c r="G7" s="56">
        <v>4203</v>
      </c>
      <c r="H7" s="56" t="s">
        <v>126</v>
      </c>
      <c r="I7" s="47" t="s">
        <v>137</v>
      </c>
      <c r="J7" s="56" t="s">
        <v>127</v>
      </c>
      <c r="K7" s="134" t="s">
        <v>134</v>
      </c>
      <c r="L7" s="44" t="s">
        <v>15</v>
      </c>
      <c r="M7" s="45">
        <v>500000</v>
      </c>
      <c r="N7" s="56" t="s">
        <v>132</v>
      </c>
    </row>
    <row r="8" spans="1:14" hidden="1" x14ac:dyDescent="0.3">
      <c r="A8" s="59">
        <v>2</v>
      </c>
      <c r="B8" s="552" t="s">
        <v>97</v>
      </c>
      <c r="C8" s="57">
        <v>44935</v>
      </c>
      <c r="D8" s="48" t="s">
        <v>21</v>
      </c>
      <c r="E8" s="49" t="s">
        <v>14</v>
      </c>
      <c r="F8" s="48" t="s">
        <v>22</v>
      </c>
      <c r="G8" s="48">
        <v>7059</v>
      </c>
      <c r="H8" s="48" t="s">
        <v>23</v>
      </c>
      <c r="I8" s="50" t="s">
        <v>65</v>
      </c>
      <c r="J8" s="51" t="s">
        <v>88</v>
      </c>
      <c r="K8" s="69" t="s">
        <v>112</v>
      </c>
      <c r="L8" s="52" t="s">
        <v>15</v>
      </c>
      <c r="M8" s="53">
        <v>180000</v>
      </c>
      <c r="N8" s="49" t="s">
        <v>128</v>
      </c>
    </row>
    <row r="9" spans="1:14" hidden="1" x14ac:dyDescent="0.3">
      <c r="A9" s="59">
        <v>2</v>
      </c>
      <c r="B9" s="567"/>
      <c r="C9" s="598">
        <v>44936</v>
      </c>
      <c r="D9" s="48" t="s">
        <v>21</v>
      </c>
      <c r="E9" s="49" t="s">
        <v>17</v>
      </c>
      <c r="F9" s="48" t="s">
        <v>78</v>
      </c>
      <c r="G9" s="48" t="s">
        <v>82</v>
      </c>
      <c r="H9" s="48" t="s">
        <v>67</v>
      </c>
      <c r="I9" s="50" t="s">
        <v>92</v>
      </c>
      <c r="J9" s="51" t="s">
        <v>88</v>
      </c>
      <c r="K9" s="69" t="s">
        <v>81</v>
      </c>
      <c r="L9" s="52" t="s">
        <v>15</v>
      </c>
      <c r="M9" s="53">
        <v>300000</v>
      </c>
      <c r="N9" s="49" t="s">
        <v>128</v>
      </c>
    </row>
    <row r="10" spans="1:14" ht="27" hidden="1" x14ac:dyDescent="0.3">
      <c r="A10" s="59">
        <v>2</v>
      </c>
      <c r="B10" s="567"/>
      <c r="C10" s="599"/>
      <c r="D10" s="3" t="s">
        <v>21</v>
      </c>
      <c r="E10" s="4" t="s">
        <v>14</v>
      </c>
      <c r="F10" s="3" t="s">
        <v>22</v>
      </c>
      <c r="G10" s="3">
        <v>7060</v>
      </c>
      <c r="H10" s="3" t="s">
        <v>37</v>
      </c>
      <c r="I10" s="5" t="s">
        <v>93</v>
      </c>
      <c r="J10" s="14" t="s">
        <v>87</v>
      </c>
      <c r="K10" s="35" t="s">
        <v>138</v>
      </c>
      <c r="L10" s="6" t="s">
        <v>15</v>
      </c>
      <c r="M10" s="53">
        <v>300000</v>
      </c>
      <c r="N10" s="49"/>
    </row>
    <row r="11" spans="1:14" ht="27" hidden="1" x14ac:dyDescent="0.3">
      <c r="A11" s="59">
        <v>2</v>
      </c>
      <c r="B11" s="567"/>
      <c r="C11" s="58">
        <v>44937</v>
      </c>
      <c r="D11" s="48" t="s">
        <v>21</v>
      </c>
      <c r="E11" s="49" t="s">
        <v>14</v>
      </c>
      <c r="F11" s="48" t="s">
        <v>108</v>
      </c>
      <c r="G11" s="48" t="s">
        <v>109</v>
      </c>
      <c r="H11" s="48" t="s">
        <v>110</v>
      </c>
      <c r="I11" s="50" t="s">
        <v>111</v>
      </c>
      <c r="J11" s="54" t="s">
        <v>118</v>
      </c>
      <c r="K11" s="69" t="s">
        <v>112</v>
      </c>
      <c r="L11" s="52" t="s">
        <v>15</v>
      </c>
      <c r="M11" s="53">
        <v>180000</v>
      </c>
      <c r="N11" s="49" t="s">
        <v>129</v>
      </c>
    </row>
    <row r="12" spans="1:14" hidden="1" x14ac:dyDescent="0.3">
      <c r="A12" s="59">
        <v>2</v>
      </c>
      <c r="B12" s="567"/>
      <c r="C12" s="598">
        <v>44938</v>
      </c>
      <c r="D12" s="48" t="s">
        <v>21</v>
      </c>
      <c r="E12" s="49" t="s">
        <v>14</v>
      </c>
      <c r="F12" s="48" t="s">
        <v>22</v>
      </c>
      <c r="G12" s="48">
        <v>7060</v>
      </c>
      <c r="H12" s="48" t="s">
        <v>71</v>
      </c>
      <c r="I12" s="50" t="s">
        <v>123</v>
      </c>
      <c r="J12" s="49" t="s">
        <v>73</v>
      </c>
      <c r="K12" s="69" t="s">
        <v>74</v>
      </c>
      <c r="L12" s="52" t="s">
        <v>15</v>
      </c>
      <c r="M12" s="53">
        <v>600000</v>
      </c>
      <c r="N12" s="49" t="s">
        <v>129</v>
      </c>
    </row>
    <row r="13" spans="1:14" ht="27" hidden="1" x14ac:dyDescent="0.3">
      <c r="A13" s="59">
        <v>2</v>
      </c>
      <c r="B13" s="567"/>
      <c r="C13" s="600"/>
      <c r="D13" s="48" t="s">
        <v>21</v>
      </c>
      <c r="E13" s="49" t="s">
        <v>17</v>
      </c>
      <c r="F13" s="48" t="s">
        <v>27</v>
      </c>
      <c r="G13" s="55" t="s">
        <v>38</v>
      </c>
      <c r="H13" s="48" t="s">
        <v>28</v>
      </c>
      <c r="I13" s="50" t="s">
        <v>39</v>
      </c>
      <c r="J13" s="51" t="s">
        <v>117</v>
      </c>
      <c r="K13" s="69" t="s">
        <v>119</v>
      </c>
      <c r="L13" s="52" t="s">
        <v>106</v>
      </c>
      <c r="M13" s="53">
        <v>360000</v>
      </c>
      <c r="N13" s="49" t="s">
        <v>130</v>
      </c>
    </row>
    <row r="14" spans="1:14" hidden="1" x14ac:dyDescent="0.3">
      <c r="A14" s="59">
        <v>2</v>
      </c>
      <c r="B14" s="567"/>
      <c r="C14" s="599"/>
      <c r="D14" s="48" t="s">
        <v>114</v>
      </c>
      <c r="E14" s="49" t="s">
        <v>17</v>
      </c>
      <c r="F14" s="48" t="s">
        <v>78</v>
      </c>
      <c r="G14" s="48" t="s">
        <v>115</v>
      </c>
      <c r="H14" s="48" t="s">
        <v>116</v>
      </c>
      <c r="I14" s="50" t="s">
        <v>104</v>
      </c>
      <c r="J14" s="54" t="s">
        <v>85</v>
      </c>
      <c r="K14" s="69" t="s">
        <v>68</v>
      </c>
      <c r="L14" s="52" t="s">
        <v>15</v>
      </c>
      <c r="M14" s="53">
        <v>300000</v>
      </c>
      <c r="N14" s="49" t="s">
        <v>128</v>
      </c>
    </row>
    <row r="15" spans="1:14" hidden="1" x14ac:dyDescent="0.3">
      <c r="A15" s="59">
        <v>2</v>
      </c>
      <c r="B15" s="567"/>
      <c r="C15" s="598">
        <f>C12+1</f>
        <v>44939</v>
      </c>
      <c r="D15" s="48" t="s">
        <v>21</v>
      </c>
      <c r="E15" s="49" t="s">
        <v>14</v>
      </c>
      <c r="F15" s="48" t="s">
        <v>22</v>
      </c>
      <c r="G15" s="48">
        <v>7060</v>
      </c>
      <c r="H15" s="48" t="s">
        <v>71</v>
      </c>
      <c r="I15" s="42" t="s">
        <v>72</v>
      </c>
      <c r="J15" s="49" t="s">
        <v>73</v>
      </c>
      <c r="K15" s="48" t="s">
        <v>74</v>
      </c>
      <c r="L15" s="52" t="s">
        <v>15</v>
      </c>
      <c r="M15" s="53">
        <v>600000</v>
      </c>
      <c r="N15" s="49" t="s">
        <v>129</v>
      </c>
    </row>
    <row r="16" spans="1:14" ht="27" hidden="1" x14ac:dyDescent="0.3">
      <c r="A16" s="59">
        <v>2</v>
      </c>
      <c r="B16" s="567"/>
      <c r="C16" s="599"/>
      <c r="D16" s="48" t="s">
        <v>21</v>
      </c>
      <c r="E16" s="49" t="s">
        <v>17</v>
      </c>
      <c r="F16" s="48" t="s">
        <v>27</v>
      </c>
      <c r="G16" s="55" t="s">
        <v>38</v>
      </c>
      <c r="H16" s="48" t="s">
        <v>28</v>
      </c>
      <c r="I16" s="42" t="s">
        <v>39</v>
      </c>
      <c r="J16" s="51" t="s">
        <v>117</v>
      </c>
      <c r="K16" s="48" t="s">
        <v>120</v>
      </c>
      <c r="L16" s="52" t="s">
        <v>106</v>
      </c>
      <c r="M16" s="53">
        <v>360000</v>
      </c>
      <c r="N16" s="49" t="s">
        <v>128</v>
      </c>
    </row>
    <row r="17" spans="1:17" hidden="1" x14ac:dyDescent="0.3">
      <c r="A17" s="59">
        <v>2</v>
      </c>
      <c r="B17" s="553"/>
      <c r="C17" s="58">
        <v>44940</v>
      </c>
      <c r="D17" s="48" t="s">
        <v>21</v>
      </c>
      <c r="E17" s="49" t="s">
        <v>14</v>
      </c>
      <c r="F17" s="48" t="s">
        <v>22</v>
      </c>
      <c r="G17" s="48">
        <v>7060</v>
      </c>
      <c r="H17" s="48" t="s">
        <v>71</v>
      </c>
      <c r="I17" s="42" t="s">
        <v>72</v>
      </c>
      <c r="J17" s="49" t="s">
        <v>73</v>
      </c>
      <c r="K17" s="48" t="s">
        <v>74</v>
      </c>
      <c r="L17" s="52" t="s">
        <v>15</v>
      </c>
      <c r="M17" s="53">
        <v>600000</v>
      </c>
      <c r="N17" s="49" t="s">
        <v>129</v>
      </c>
    </row>
    <row r="18" spans="1:17" hidden="1" x14ac:dyDescent="0.3">
      <c r="A18" s="59">
        <v>3</v>
      </c>
      <c r="B18" s="573" t="s">
        <v>124</v>
      </c>
      <c r="C18" s="16">
        <v>44942</v>
      </c>
      <c r="D18" s="56" t="s">
        <v>19</v>
      </c>
      <c r="E18" s="56" t="s">
        <v>25</v>
      </c>
      <c r="F18" s="43" t="s">
        <v>20</v>
      </c>
      <c r="G18" s="56">
        <v>4203</v>
      </c>
      <c r="H18" s="56" t="s">
        <v>18</v>
      </c>
      <c r="I18" s="42" t="s">
        <v>131</v>
      </c>
      <c r="J18" s="56" t="s">
        <v>95</v>
      </c>
      <c r="K18" s="48" t="s">
        <v>134</v>
      </c>
      <c r="L18" s="44" t="s">
        <v>15</v>
      </c>
      <c r="M18" s="45">
        <v>500000</v>
      </c>
      <c r="N18" s="56" t="s">
        <v>132</v>
      </c>
    </row>
    <row r="19" spans="1:17" hidden="1" x14ac:dyDescent="0.3">
      <c r="A19" s="59">
        <v>3</v>
      </c>
      <c r="B19" s="574"/>
      <c r="C19" s="16">
        <v>44943</v>
      </c>
      <c r="D19" s="56" t="s">
        <v>19</v>
      </c>
      <c r="E19" s="56" t="s">
        <v>25</v>
      </c>
      <c r="F19" s="43" t="s">
        <v>20</v>
      </c>
      <c r="G19" s="56">
        <v>4207</v>
      </c>
      <c r="H19" s="56" t="s">
        <v>167</v>
      </c>
      <c r="I19" s="42" t="s">
        <v>131</v>
      </c>
      <c r="J19" s="56" t="s">
        <v>95</v>
      </c>
      <c r="K19" s="48" t="s">
        <v>168</v>
      </c>
      <c r="L19" s="44" t="s">
        <v>15</v>
      </c>
      <c r="M19" s="45">
        <v>500000</v>
      </c>
      <c r="N19" s="56" t="s">
        <v>132</v>
      </c>
    </row>
    <row r="20" spans="1:17" ht="40.5" hidden="1" x14ac:dyDescent="0.3">
      <c r="A20" s="59">
        <v>3</v>
      </c>
      <c r="B20" s="552" t="s">
        <v>24</v>
      </c>
      <c r="C20" s="16">
        <v>44944</v>
      </c>
      <c r="D20" s="3" t="s">
        <v>21</v>
      </c>
      <c r="E20" s="4" t="s">
        <v>14</v>
      </c>
      <c r="F20" s="3" t="s">
        <v>108</v>
      </c>
      <c r="G20" s="3" t="s">
        <v>145</v>
      </c>
      <c r="H20" s="3" t="s">
        <v>146</v>
      </c>
      <c r="I20" s="5" t="s">
        <v>147</v>
      </c>
      <c r="J20" s="33" t="s">
        <v>99</v>
      </c>
      <c r="K20" s="35" t="s">
        <v>148</v>
      </c>
      <c r="L20" s="6" t="s">
        <v>15</v>
      </c>
      <c r="M20" s="53">
        <v>600000</v>
      </c>
      <c r="N20" s="49" t="s">
        <v>98</v>
      </c>
    </row>
    <row r="21" spans="1:17" hidden="1" x14ac:dyDescent="0.3">
      <c r="A21" s="59">
        <v>3</v>
      </c>
      <c r="B21" s="553"/>
      <c r="C21" s="16">
        <v>44946</v>
      </c>
      <c r="D21" s="3" t="s">
        <v>24</v>
      </c>
      <c r="E21" s="4" t="s">
        <v>158</v>
      </c>
      <c r="F21" s="3" t="s">
        <v>159</v>
      </c>
      <c r="G21" s="3" t="s">
        <v>102</v>
      </c>
      <c r="H21" s="3" t="s">
        <v>160</v>
      </c>
      <c r="I21" s="9" t="s">
        <v>165</v>
      </c>
      <c r="J21" s="14" t="s">
        <v>85</v>
      </c>
      <c r="K21" s="3" t="s">
        <v>68</v>
      </c>
      <c r="L21" s="6" t="s">
        <v>32</v>
      </c>
      <c r="M21" s="53">
        <v>300000</v>
      </c>
      <c r="N21" s="49" t="s">
        <v>166</v>
      </c>
    </row>
    <row r="22" spans="1:17" ht="27" hidden="1" x14ac:dyDescent="0.3">
      <c r="A22" s="59">
        <v>4</v>
      </c>
      <c r="B22" s="50" t="s">
        <v>20</v>
      </c>
      <c r="C22" s="16" t="s">
        <v>193</v>
      </c>
      <c r="D22" s="56" t="s">
        <v>19</v>
      </c>
      <c r="E22" s="56" t="s">
        <v>25</v>
      </c>
      <c r="F22" s="43" t="s">
        <v>20</v>
      </c>
      <c r="G22" s="56" t="s">
        <v>191</v>
      </c>
      <c r="H22" s="56" t="s">
        <v>23</v>
      </c>
      <c r="I22" s="42" t="s">
        <v>131</v>
      </c>
      <c r="J22" s="56" t="s">
        <v>95</v>
      </c>
      <c r="K22" s="48" t="s">
        <v>192</v>
      </c>
      <c r="L22" s="44" t="s">
        <v>15</v>
      </c>
      <c r="M22" s="45">
        <f>250000*6</f>
        <v>1500000</v>
      </c>
      <c r="N22" s="573" t="s">
        <v>197</v>
      </c>
    </row>
    <row r="23" spans="1:17" ht="27" hidden="1" x14ac:dyDescent="0.3">
      <c r="A23" s="59">
        <v>4</v>
      </c>
      <c r="B23" s="50" t="s">
        <v>198</v>
      </c>
      <c r="C23" s="16" t="s">
        <v>204</v>
      </c>
      <c r="D23" s="56" t="s">
        <v>19</v>
      </c>
      <c r="E23" s="56" t="s">
        <v>25</v>
      </c>
      <c r="F23" s="43" t="s">
        <v>199</v>
      </c>
      <c r="G23" s="56" t="s">
        <v>200</v>
      </c>
      <c r="H23" s="56" t="s">
        <v>201</v>
      </c>
      <c r="I23" s="50" t="s">
        <v>202</v>
      </c>
      <c r="J23" s="47" t="s">
        <v>203</v>
      </c>
      <c r="K23" s="69" t="s">
        <v>205</v>
      </c>
      <c r="L23" s="44" t="s">
        <v>15</v>
      </c>
      <c r="M23" s="45">
        <f>250000*3</f>
        <v>750000</v>
      </c>
      <c r="N23" s="574"/>
    </row>
    <row r="24" spans="1:17" ht="27" hidden="1" x14ac:dyDescent="0.3">
      <c r="A24" s="59">
        <v>4</v>
      </c>
      <c r="B24" s="552" t="s">
        <v>21</v>
      </c>
      <c r="C24" s="550">
        <v>44951</v>
      </c>
      <c r="D24" s="3" t="s">
        <v>21</v>
      </c>
      <c r="E24" s="4" t="s">
        <v>14</v>
      </c>
      <c r="F24" s="3" t="s">
        <v>108</v>
      </c>
      <c r="G24" s="3" t="s">
        <v>188</v>
      </c>
      <c r="H24" s="3" t="s">
        <v>189</v>
      </c>
      <c r="I24" s="9" t="s">
        <v>190</v>
      </c>
      <c r="J24" s="558" t="s">
        <v>85</v>
      </c>
      <c r="K24" s="571" t="s">
        <v>41</v>
      </c>
      <c r="L24" s="6" t="s">
        <v>15</v>
      </c>
      <c r="M24" s="579">
        <v>180000</v>
      </c>
      <c r="N24" s="49" t="s">
        <v>195</v>
      </c>
    </row>
    <row r="25" spans="1:17" ht="27" hidden="1" x14ac:dyDescent="0.3">
      <c r="A25" s="59">
        <v>4</v>
      </c>
      <c r="B25" s="567"/>
      <c r="C25" s="551"/>
      <c r="D25" s="3" t="s">
        <v>21</v>
      </c>
      <c r="E25" s="4" t="s">
        <v>14</v>
      </c>
      <c r="F25" s="3" t="s">
        <v>108</v>
      </c>
      <c r="G25" s="3" t="s">
        <v>188</v>
      </c>
      <c r="H25" s="3" t="s">
        <v>146</v>
      </c>
      <c r="I25" s="9" t="s">
        <v>153</v>
      </c>
      <c r="J25" s="559"/>
      <c r="K25" s="572"/>
      <c r="L25" s="6" t="s">
        <v>15</v>
      </c>
      <c r="M25" s="580"/>
      <c r="N25" s="49" t="s">
        <v>195</v>
      </c>
    </row>
    <row r="26" spans="1:17" hidden="1" x14ac:dyDescent="0.3">
      <c r="A26" s="59">
        <v>4</v>
      </c>
      <c r="B26" s="567"/>
      <c r="C26" s="550">
        <v>44953</v>
      </c>
      <c r="D26" s="3" t="s">
        <v>21</v>
      </c>
      <c r="E26" s="4" t="s">
        <v>17</v>
      </c>
      <c r="F26" s="3" t="s">
        <v>159</v>
      </c>
      <c r="G26" s="3" t="s">
        <v>102</v>
      </c>
      <c r="H26" s="3" t="s">
        <v>160</v>
      </c>
      <c r="I26" s="9" t="s">
        <v>161</v>
      </c>
      <c r="J26" s="558" t="s">
        <v>184</v>
      </c>
      <c r="K26" s="3" t="s">
        <v>185</v>
      </c>
      <c r="L26" s="6" t="s">
        <v>186</v>
      </c>
      <c r="M26" s="53">
        <v>300000</v>
      </c>
      <c r="N26" s="49" t="s">
        <v>196</v>
      </c>
    </row>
    <row r="27" spans="1:17" hidden="1" x14ac:dyDescent="0.3">
      <c r="A27" s="59">
        <v>4</v>
      </c>
      <c r="B27" s="553"/>
      <c r="C27" s="551"/>
      <c r="D27" s="3" t="s">
        <v>21</v>
      </c>
      <c r="E27" s="4" t="s">
        <v>178</v>
      </c>
      <c r="F27" s="15" t="s">
        <v>180</v>
      </c>
      <c r="G27" s="15" t="s">
        <v>179</v>
      </c>
      <c r="H27" s="3" t="s">
        <v>181</v>
      </c>
      <c r="I27" s="9" t="s">
        <v>194</v>
      </c>
      <c r="J27" s="559"/>
      <c r="K27" s="3" t="s">
        <v>183</v>
      </c>
      <c r="L27" s="6" t="s">
        <v>182</v>
      </c>
      <c r="M27" s="53">
        <v>300000</v>
      </c>
      <c r="N27" s="49" t="s">
        <v>61</v>
      </c>
    </row>
    <row r="28" spans="1:17" hidden="1" x14ac:dyDescent="0.3">
      <c r="A28" s="59">
        <v>5</v>
      </c>
      <c r="B28" s="49" t="s">
        <v>21</v>
      </c>
      <c r="C28" s="16">
        <v>44944</v>
      </c>
      <c r="D28" s="3" t="s">
        <v>21</v>
      </c>
      <c r="E28" s="4" t="s">
        <v>14</v>
      </c>
      <c r="F28" s="3" t="s">
        <v>22</v>
      </c>
      <c r="G28" s="3">
        <v>7060</v>
      </c>
      <c r="H28" s="3" t="s">
        <v>213</v>
      </c>
      <c r="I28" s="9" t="s">
        <v>214</v>
      </c>
      <c r="J28" s="14" t="s">
        <v>216</v>
      </c>
      <c r="K28" s="3" t="s">
        <v>60</v>
      </c>
      <c r="L28" s="6" t="s">
        <v>15</v>
      </c>
      <c r="M28" s="105">
        <v>300000</v>
      </c>
      <c r="N28" s="49" t="s">
        <v>215</v>
      </c>
    </row>
    <row r="29" spans="1:17" ht="27" hidden="1" x14ac:dyDescent="0.3">
      <c r="A29" s="59">
        <v>6</v>
      </c>
      <c r="B29" s="49" t="s">
        <v>241</v>
      </c>
      <c r="C29" s="16" t="s">
        <v>242</v>
      </c>
      <c r="D29" s="3" t="s">
        <v>19</v>
      </c>
      <c r="E29" s="4" t="s">
        <v>243</v>
      </c>
      <c r="F29" s="3" t="s">
        <v>244</v>
      </c>
      <c r="G29" s="15" t="s">
        <v>245</v>
      </c>
      <c r="H29" s="3" t="s">
        <v>23</v>
      </c>
      <c r="I29" s="9" t="s">
        <v>246</v>
      </c>
      <c r="J29" s="14" t="s">
        <v>95</v>
      </c>
      <c r="K29" s="3" t="s">
        <v>247</v>
      </c>
      <c r="L29" s="6" t="s">
        <v>15</v>
      </c>
      <c r="M29" s="105">
        <f>250000*4</f>
        <v>1000000</v>
      </c>
      <c r="N29" s="49" t="s">
        <v>248</v>
      </c>
    </row>
    <row r="30" spans="1:17" ht="27" hidden="1" x14ac:dyDescent="0.3">
      <c r="A30" s="59">
        <v>6</v>
      </c>
      <c r="B30" s="552" t="s">
        <v>21</v>
      </c>
      <c r="C30" s="16">
        <v>44964</v>
      </c>
      <c r="D30" s="3" t="s">
        <v>21</v>
      </c>
      <c r="E30" s="4" t="s">
        <v>14</v>
      </c>
      <c r="F30" s="3" t="s">
        <v>108</v>
      </c>
      <c r="G30" s="3" t="s">
        <v>145</v>
      </c>
      <c r="H30" s="3" t="s">
        <v>206</v>
      </c>
      <c r="I30" s="9" t="s">
        <v>218</v>
      </c>
      <c r="J30" s="14" t="s">
        <v>236</v>
      </c>
      <c r="K30" s="3" t="s">
        <v>237</v>
      </c>
      <c r="L30" s="6" t="s">
        <v>234</v>
      </c>
      <c r="M30" s="64">
        <v>180000</v>
      </c>
      <c r="N30" s="49" t="s">
        <v>249</v>
      </c>
    </row>
    <row r="31" spans="1:17" ht="27" hidden="1" x14ac:dyDescent="0.3">
      <c r="A31" s="59">
        <v>6</v>
      </c>
      <c r="B31" s="567"/>
      <c r="C31" s="16">
        <v>44965</v>
      </c>
      <c r="D31" s="3" t="s">
        <v>21</v>
      </c>
      <c r="E31" s="4" t="s">
        <v>14</v>
      </c>
      <c r="F31" s="3" t="s">
        <v>108</v>
      </c>
      <c r="G31" s="3" t="s">
        <v>145</v>
      </c>
      <c r="H31" s="3" t="s">
        <v>206</v>
      </c>
      <c r="I31" s="9" t="s">
        <v>218</v>
      </c>
      <c r="J31" s="14" t="s">
        <v>236</v>
      </c>
      <c r="K31" s="3" t="s">
        <v>238</v>
      </c>
      <c r="L31" s="6" t="s">
        <v>240</v>
      </c>
      <c r="M31" s="64">
        <v>480000</v>
      </c>
      <c r="N31" s="49" t="s">
        <v>249</v>
      </c>
    </row>
    <row r="32" spans="1:17" ht="27" hidden="1" x14ac:dyDescent="0.3">
      <c r="A32" s="59">
        <v>6</v>
      </c>
      <c r="B32" s="567"/>
      <c r="C32" s="550">
        <v>44966</v>
      </c>
      <c r="D32" s="3" t="s">
        <v>21</v>
      </c>
      <c r="E32" s="4" t="s">
        <v>14</v>
      </c>
      <c r="F32" s="3" t="s">
        <v>108</v>
      </c>
      <c r="G32" s="3" t="s">
        <v>145</v>
      </c>
      <c r="H32" s="3" t="s">
        <v>206</v>
      </c>
      <c r="I32" s="9" t="s">
        <v>218</v>
      </c>
      <c r="J32" s="14" t="s">
        <v>236</v>
      </c>
      <c r="K32" s="3" t="s">
        <v>238</v>
      </c>
      <c r="L32" s="6" t="s">
        <v>240</v>
      </c>
      <c r="M32" s="64">
        <v>480000</v>
      </c>
      <c r="N32" s="49" t="s">
        <v>249</v>
      </c>
      <c r="O32" t="s">
        <v>297</v>
      </c>
      <c r="P32" t="s">
        <v>298</v>
      </c>
      <c r="Q32" t="s">
        <v>296</v>
      </c>
    </row>
    <row r="33" spans="1:17" ht="27" hidden="1" x14ac:dyDescent="0.3">
      <c r="A33" s="59">
        <v>6</v>
      </c>
      <c r="B33" s="567"/>
      <c r="C33" s="551"/>
      <c r="D33" s="3" t="s">
        <v>21</v>
      </c>
      <c r="E33" s="4" t="s">
        <v>14</v>
      </c>
      <c r="F33" s="3" t="s">
        <v>108</v>
      </c>
      <c r="G33" s="3" t="s">
        <v>145</v>
      </c>
      <c r="H33" s="3" t="s">
        <v>146</v>
      </c>
      <c r="I33" s="5" t="s">
        <v>177</v>
      </c>
      <c r="J33" s="14" t="s">
        <v>87</v>
      </c>
      <c r="K33" s="35" t="s">
        <v>223</v>
      </c>
      <c r="L33" s="6" t="s">
        <v>240</v>
      </c>
      <c r="M33" s="64">
        <v>600000</v>
      </c>
      <c r="N33" s="49" t="s">
        <v>249</v>
      </c>
      <c r="O33">
        <f>4+8+4+9+10</f>
        <v>35</v>
      </c>
      <c r="P33" t="s">
        <v>295</v>
      </c>
      <c r="Q33">
        <v>2</v>
      </c>
    </row>
    <row r="34" spans="1:17" hidden="1" x14ac:dyDescent="0.3">
      <c r="A34" s="59">
        <v>6</v>
      </c>
      <c r="B34" s="553"/>
      <c r="C34" s="16">
        <v>44967</v>
      </c>
      <c r="D34" s="3" t="s">
        <v>21</v>
      </c>
      <c r="E34" s="4" t="s">
        <v>14</v>
      </c>
      <c r="F34" s="3" t="s">
        <v>22</v>
      </c>
      <c r="G34" s="3">
        <v>7060</v>
      </c>
      <c r="H34" s="3" t="s">
        <v>86</v>
      </c>
      <c r="I34" s="9" t="s">
        <v>232</v>
      </c>
      <c r="J34" s="14" t="s">
        <v>235</v>
      </c>
      <c r="K34" s="3" t="s">
        <v>255</v>
      </c>
      <c r="L34" s="6" t="s">
        <v>234</v>
      </c>
      <c r="M34" s="64">
        <v>180000</v>
      </c>
      <c r="N34" s="49" t="s">
        <v>250</v>
      </c>
    </row>
    <row r="35" spans="1:17" ht="16.5" hidden="1" customHeight="1" x14ac:dyDescent="0.3">
      <c r="A35" s="59">
        <v>7</v>
      </c>
      <c r="B35" s="552" t="s">
        <v>20</v>
      </c>
      <c r="C35" s="550" t="s">
        <v>258</v>
      </c>
      <c r="D35" s="65" t="s">
        <v>19</v>
      </c>
      <c r="E35" s="9" t="s">
        <v>25</v>
      </c>
      <c r="F35" s="65" t="s">
        <v>259</v>
      </c>
      <c r="G35" s="66" t="s">
        <v>251</v>
      </c>
      <c r="H35" s="65" t="s">
        <v>261</v>
      </c>
      <c r="I35" s="56" t="s">
        <v>260</v>
      </c>
      <c r="J35" s="14" t="s">
        <v>95</v>
      </c>
      <c r="K35" s="3" t="s">
        <v>262</v>
      </c>
      <c r="L35" s="6" t="s">
        <v>15</v>
      </c>
      <c r="M35" s="105">
        <f>250000*8</f>
        <v>2000000</v>
      </c>
      <c r="N35" s="49" t="s">
        <v>248</v>
      </c>
    </row>
    <row r="36" spans="1:17" hidden="1" x14ac:dyDescent="0.3">
      <c r="A36" s="59">
        <v>7</v>
      </c>
      <c r="B36" s="553"/>
      <c r="C36" s="551"/>
      <c r="D36" s="3" t="s">
        <v>19</v>
      </c>
      <c r="E36" s="4" t="s">
        <v>25</v>
      </c>
      <c r="F36" s="3" t="s">
        <v>244</v>
      </c>
      <c r="G36" s="15" t="s">
        <v>245</v>
      </c>
      <c r="H36" s="3" t="s">
        <v>23</v>
      </c>
      <c r="I36" s="4" t="s">
        <v>246</v>
      </c>
      <c r="J36" s="14" t="s">
        <v>95</v>
      </c>
      <c r="K36" s="3" t="s">
        <v>136</v>
      </c>
      <c r="L36" s="6" t="s">
        <v>15</v>
      </c>
      <c r="M36" s="79">
        <f>250000*4</f>
        <v>1000000</v>
      </c>
      <c r="N36" s="49" t="s">
        <v>248</v>
      </c>
    </row>
    <row r="37" spans="1:17" ht="16.5" hidden="1" customHeight="1" x14ac:dyDescent="0.3">
      <c r="A37" s="59">
        <v>8</v>
      </c>
      <c r="B37" s="552" t="s">
        <v>20</v>
      </c>
      <c r="C37" s="550" t="s">
        <v>268</v>
      </c>
      <c r="D37" s="65" t="s">
        <v>19</v>
      </c>
      <c r="E37" s="9" t="s">
        <v>25</v>
      </c>
      <c r="F37" s="65" t="s">
        <v>259</v>
      </c>
      <c r="G37" s="66" t="s">
        <v>301</v>
      </c>
      <c r="H37" s="65" t="s">
        <v>261</v>
      </c>
      <c r="I37" s="4" t="s">
        <v>266</v>
      </c>
      <c r="J37" s="14" t="s">
        <v>95</v>
      </c>
      <c r="K37" s="3" t="s">
        <v>269</v>
      </c>
      <c r="L37" s="6" t="s">
        <v>15</v>
      </c>
      <c r="M37" s="79">
        <f>250000*9</f>
        <v>2250000</v>
      </c>
      <c r="N37" s="49" t="s">
        <v>248</v>
      </c>
    </row>
    <row r="38" spans="1:17" hidden="1" x14ac:dyDescent="0.3">
      <c r="A38" s="59">
        <v>8</v>
      </c>
      <c r="B38" s="553"/>
      <c r="C38" s="551"/>
      <c r="D38" s="3" t="s">
        <v>19</v>
      </c>
      <c r="E38" s="4" t="s">
        <v>25</v>
      </c>
      <c r="F38" s="3" t="s">
        <v>212</v>
      </c>
      <c r="G38" s="15">
        <v>2460</v>
      </c>
      <c r="H38" s="3" t="s">
        <v>265</v>
      </c>
      <c r="I38" s="9" t="s">
        <v>266</v>
      </c>
      <c r="J38" s="14" t="s">
        <v>95</v>
      </c>
      <c r="K38" s="3" t="s">
        <v>267</v>
      </c>
      <c r="L38" s="6" t="s">
        <v>15</v>
      </c>
      <c r="M38" s="105">
        <f>250000*10</f>
        <v>2500000</v>
      </c>
      <c r="N38" s="49" t="s">
        <v>248</v>
      </c>
      <c r="O38" t="s">
        <v>294</v>
      </c>
    </row>
    <row r="39" spans="1:17" hidden="1" x14ac:dyDescent="0.3">
      <c r="A39" s="59">
        <v>9</v>
      </c>
      <c r="B39" s="585" t="s">
        <v>292</v>
      </c>
      <c r="C39" s="13">
        <v>44985</v>
      </c>
      <c r="D39" s="3" t="s">
        <v>21</v>
      </c>
      <c r="E39" s="3" t="s">
        <v>30</v>
      </c>
      <c r="F39" s="3" t="s">
        <v>108</v>
      </c>
      <c r="G39" s="3" t="s">
        <v>188</v>
      </c>
      <c r="H39" s="3" t="s">
        <v>275</v>
      </c>
      <c r="I39" s="35" t="s">
        <v>284</v>
      </c>
      <c r="J39" s="15" t="s">
        <v>282</v>
      </c>
      <c r="K39" s="35" t="s">
        <v>256</v>
      </c>
      <c r="L39" s="72" t="s">
        <v>15</v>
      </c>
      <c r="M39" s="105">
        <v>300000</v>
      </c>
      <c r="N39" s="49" t="s">
        <v>290</v>
      </c>
    </row>
    <row r="40" spans="1:17" hidden="1" x14ac:dyDescent="0.3">
      <c r="A40" s="59">
        <v>9</v>
      </c>
      <c r="B40" s="586"/>
      <c r="C40" s="550">
        <v>44987</v>
      </c>
      <c r="D40" s="3" t="s">
        <v>21</v>
      </c>
      <c r="E40" s="3" t="s">
        <v>14</v>
      </c>
      <c r="F40" s="3" t="s">
        <v>108</v>
      </c>
      <c r="G40" s="3" t="s">
        <v>145</v>
      </c>
      <c r="H40" s="3" t="s">
        <v>206</v>
      </c>
      <c r="I40" s="3" t="s">
        <v>286</v>
      </c>
      <c r="J40" s="15" t="s">
        <v>288</v>
      </c>
      <c r="K40" s="3" t="s">
        <v>289</v>
      </c>
      <c r="L40" s="72" t="s">
        <v>270</v>
      </c>
      <c r="M40" s="105">
        <v>180000</v>
      </c>
      <c r="N40" s="49" t="s">
        <v>290</v>
      </c>
    </row>
    <row r="41" spans="1:17" hidden="1" x14ac:dyDescent="0.3">
      <c r="A41" s="59">
        <v>9</v>
      </c>
      <c r="B41" s="586"/>
      <c r="C41" s="551"/>
      <c r="D41" s="3" t="s">
        <v>21</v>
      </c>
      <c r="E41" s="3" t="s">
        <v>277</v>
      </c>
      <c r="F41" s="3" t="s">
        <v>278</v>
      </c>
      <c r="G41" s="3" t="s">
        <v>279</v>
      </c>
      <c r="H41" s="3" t="s">
        <v>280</v>
      </c>
      <c r="I41" s="3" t="s">
        <v>283</v>
      </c>
      <c r="J41" s="15" t="s">
        <v>276</v>
      </c>
      <c r="K41" s="3" t="s">
        <v>287</v>
      </c>
      <c r="L41" s="72" t="s">
        <v>281</v>
      </c>
      <c r="M41" s="105">
        <v>180000</v>
      </c>
      <c r="N41" s="49" t="s">
        <v>291</v>
      </c>
    </row>
    <row r="42" spans="1:17" hidden="1" x14ac:dyDescent="0.3">
      <c r="A42" s="59">
        <v>9</v>
      </c>
      <c r="B42" s="587"/>
      <c r="C42" s="16">
        <v>44987</v>
      </c>
      <c r="D42" s="3" t="s">
        <v>21</v>
      </c>
      <c r="E42" s="3" t="s">
        <v>30</v>
      </c>
      <c r="F42" s="3" t="s">
        <v>108</v>
      </c>
      <c r="G42" s="3" t="s">
        <v>188</v>
      </c>
      <c r="H42" s="3" t="s">
        <v>146</v>
      </c>
      <c r="I42" s="3" t="s">
        <v>263</v>
      </c>
      <c r="J42" s="15" t="s">
        <v>285</v>
      </c>
      <c r="K42" s="3" t="s">
        <v>273</v>
      </c>
      <c r="L42" s="72" t="s">
        <v>15</v>
      </c>
      <c r="M42" s="105">
        <v>300000</v>
      </c>
      <c r="N42" s="49" t="s">
        <v>290</v>
      </c>
    </row>
    <row r="43" spans="1:17" hidden="1" x14ac:dyDescent="0.3">
      <c r="A43" s="59">
        <v>10</v>
      </c>
      <c r="B43" s="73" t="s">
        <v>308</v>
      </c>
      <c r="C43" s="74" t="s">
        <v>348</v>
      </c>
      <c r="D43" s="74" t="s">
        <v>307</v>
      </c>
      <c r="E43" s="74" t="s">
        <v>323</v>
      </c>
      <c r="F43" s="74" t="s">
        <v>308</v>
      </c>
      <c r="G43" s="75" t="s">
        <v>366</v>
      </c>
      <c r="H43" s="74" t="s">
        <v>349</v>
      </c>
      <c r="I43" s="76" t="s">
        <v>350</v>
      </c>
      <c r="J43" s="74" t="s">
        <v>351</v>
      </c>
      <c r="K43" s="76" t="s">
        <v>352</v>
      </c>
      <c r="L43" s="74" t="s">
        <v>325</v>
      </c>
      <c r="M43" s="114">
        <v>2000000</v>
      </c>
      <c r="N43" s="68" t="s">
        <v>333</v>
      </c>
    </row>
    <row r="44" spans="1:17" ht="25.5" hidden="1" x14ac:dyDescent="0.3">
      <c r="A44" s="59">
        <v>10</v>
      </c>
      <c r="B44" s="575" t="s">
        <v>312</v>
      </c>
      <c r="C44" s="74" t="s">
        <v>354</v>
      </c>
      <c r="D44" s="74" t="s">
        <v>312</v>
      </c>
      <c r="E44" s="74" t="s">
        <v>321</v>
      </c>
      <c r="F44" s="74" t="s">
        <v>338</v>
      </c>
      <c r="G44" s="74" t="s">
        <v>355</v>
      </c>
      <c r="H44" s="74" t="s">
        <v>356</v>
      </c>
      <c r="I44" s="70" t="s">
        <v>311</v>
      </c>
      <c r="J44" s="74" t="s">
        <v>309</v>
      </c>
      <c r="K44" s="70" t="s">
        <v>329</v>
      </c>
      <c r="L44" s="74" t="s">
        <v>310</v>
      </c>
      <c r="M44" s="114" t="s">
        <v>357</v>
      </c>
      <c r="N44" s="68" t="s">
        <v>341</v>
      </c>
    </row>
    <row r="45" spans="1:17" ht="25.5" hidden="1" x14ac:dyDescent="0.3">
      <c r="A45" s="59">
        <v>10</v>
      </c>
      <c r="B45" s="576"/>
      <c r="C45" s="575" t="s">
        <v>358</v>
      </c>
      <c r="D45" s="74" t="s">
        <v>312</v>
      </c>
      <c r="E45" s="74" t="s">
        <v>321</v>
      </c>
      <c r="F45" s="74" t="s">
        <v>338</v>
      </c>
      <c r="G45" s="74" t="s">
        <v>355</v>
      </c>
      <c r="H45" s="74" t="s">
        <v>356</v>
      </c>
      <c r="I45" s="70" t="s">
        <v>311</v>
      </c>
      <c r="J45" s="74" t="s">
        <v>309</v>
      </c>
      <c r="K45" s="70" t="s">
        <v>329</v>
      </c>
      <c r="L45" s="74" t="s">
        <v>310</v>
      </c>
      <c r="M45" s="114" t="s">
        <v>357</v>
      </c>
      <c r="N45" s="68" t="s">
        <v>341</v>
      </c>
    </row>
    <row r="46" spans="1:17" ht="25.5" hidden="1" x14ac:dyDescent="0.3">
      <c r="A46" s="59">
        <v>10</v>
      </c>
      <c r="B46" s="576"/>
      <c r="C46" s="583"/>
      <c r="D46" s="74" t="s">
        <v>312</v>
      </c>
      <c r="E46" s="74" t="s">
        <v>321</v>
      </c>
      <c r="F46" s="74" t="s">
        <v>338</v>
      </c>
      <c r="G46" s="74" t="s">
        <v>334</v>
      </c>
      <c r="H46" s="74" t="s">
        <v>330</v>
      </c>
      <c r="I46" s="70" t="s">
        <v>359</v>
      </c>
      <c r="J46" s="74" t="s">
        <v>360</v>
      </c>
      <c r="K46" s="70" t="s">
        <v>870</v>
      </c>
      <c r="L46" s="74" t="s">
        <v>310</v>
      </c>
      <c r="M46" s="114" t="s">
        <v>361</v>
      </c>
      <c r="N46" s="68" t="s">
        <v>341</v>
      </c>
    </row>
    <row r="47" spans="1:17" ht="25.5" hidden="1" x14ac:dyDescent="0.3">
      <c r="A47" s="59">
        <v>10</v>
      </c>
      <c r="B47" s="577"/>
      <c r="C47" s="74" t="s">
        <v>362</v>
      </c>
      <c r="D47" s="74" t="s">
        <v>312</v>
      </c>
      <c r="E47" s="74" t="s">
        <v>321</v>
      </c>
      <c r="F47" s="74" t="s">
        <v>338</v>
      </c>
      <c r="G47" s="74" t="s">
        <v>355</v>
      </c>
      <c r="H47" s="74" t="s">
        <v>356</v>
      </c>
      <c r="I47" s="78" t="s">
        <v>311</v>
      </c>
      <c r="J47" s="74" t="s">
        <v>309</v>
      </c>
      <c r="K47" s="78" t="s">
        <v>329</v>
      </c>
      <c r="L47" s="74" t="s">
        <v>310</v>
      </c>
      <c r="M47" s="114" t="s">
        <v>357</v>
      </c>
      <c r="N47" s="68" t="s">
        <v>341</v>
      </c>
    </row>
    <row r="48" spans="1:17" ht="27" hidden="1" x14ac:dyDescent="0.3">
      <c r="A48" s="59">
        <v>11</v>
      </c>
      <c r="B48" s="48" t="s">
        <v>124</v>
      </c>
      <c r="C48" s="16" t="s">
        <v>344</v>
      </c>
      <c r="D48" s="3" t="s">
        <v>125</v>
      </c>
      <c r="E48" s="3" t="s">
        <v>152</v>
      </c>
      <c r="F48" s="15" t="s">
        <v>124</v>
      </c>
      <c r="G48" s="15">
        <v>2461</v>
      </c>
      <c r="H48" s="3" t="s">
        <v>345</v>
      </c>
      <c r="I48" s="35" t="s">
        <v>306</v>
      </c>
      <c r="J48" s="15" t="s">
        <v>95</v>
      </c>
      <c r="K48" s="35" t="s">
        <v>192</v>
      </c>
      <c r="L48" s="71" t="s">
        <v>210</v>
      </c>
      <c r="M48" s="105">
        <f>250000*6</f>
        <v>1500000</v>
      </c>
      <c r="N48" s="49" t="s">
        <v>260</v>
      </c>
    </row>
    <row r="49" spans="1:17" hidden="1" x14ac:dyDescent="0.3">
      <c r="A49" s="59">
        <v>11</v>
      </c>
      <c r="B49" s="581" t="s">
        <v>97</v>
      </c>
      <c r="C49" s="16">
        <v>44999</v>
      </c>
      <c r="D49" s="3" t="s">
        <v>320</v>
      </c>
      <c r="E49" s="3" t="s">
        <v>322</v>
      </c>
      <c r="F49" s="3" t="s">
        <v>212</v>
      </c>
      <c r="G49" s="3">
        <v>2365</v>
      </c>
      <c r="H49" s="3" t="s">
        <v>305</v>
      </c>
      <c r="I49" s="35" t="s">
        <v>319</v>
      </c>
      <c r="J49" s="15"/>
      <c r="K49" s="35" t="s">
        <v>324</v>
      </c>
      <c r="L49" s="72" t="s">
        <v>318</v>
      </c>
      <c r="M49" s="105">
        <v>500000</v>
      </c>
      <c r="N49" s="49" t="s">
        <v>98</v>
      </c>
    </row>
    <row r="50" spans="1:17" ht="27" hidden="1" x14ac:dyDescent="0.3">
      <c r="A50" s="59">
        <v>11</v>
      </c>
      <c r="B50" s="584"/>
      <c r="C50" s="16">
        <v>45000</v>
      </c>
      <c r="D50" s="3" t="s">
        <v>21</v>
      </c>
      <c r="E50" s="3" t="s">
        <v>140</v>
      </c>
      <c r="F50" s="3" t="s">
        <v>108</v>
      </c>
      <c r="G50" s="3" t="s">
        <v>335</v>
      </c>
      <c r="H50" s="3" t="s">
        <v>328</v>
      </c>
      <c r="I50" s="35" t="s">
        <v>342</v>
      </c>
      <c r="J50" s="15" t="s">
        <v>327</v>
      </c>
      <c r="K50" s="35" t="s">
        <v>317</v>
      </c>
      <c r="L50" s="72" t="s">
        <v>326</v>
      </c>
      <c r="M50" s="105">
        <v>180000</v>
      </c>
      <c r="N50" s="49" t="s">
        <v>343</v>
      </c>
    </row>
    <row r="51" spans="1:17" hidden="1" x14ac:dyDescent="0.3">
      <c r="A51" s="59">
        <v>11</v>
      </c>
      <c r="B51" s="584"/>
      <c r="C51" s="16">
        <v>45001</v>
      </c>
      <c r="D51" s="3" t="s">
        <v>97</v>
      </c>
      <c r="E51" s="3" t="s">
        <v>313</v>
      </c>
      <c r="F51" s="3" t="s">
        <v>314</v>
      </c>
      <c r="G51" s="3" t="s">
        <v>315</v>
      </c>
      <c r="H51" s="3" t="s">
        <v>316</v>
      </c>
      <c r="I51" s="35" t="s">
        <v>339</v>
      </c>
      <c r="J51" s="15" t="s">
        <v>88</v>
      </c>
      <c r="K51" s="35" t="s">
        <v>119</v>
      </c>
      <c r="L51" s="72" t="s">
        <v>84</v>
      </c>
      <c r="M51" s="105">
        <v>360000</v>
      </c>
      <c r="N51" s="49" t="s">
        <v>340</v>
      </c>
    </row>
    <row r="52" spans="1:17" ht="27" hidden="1" x14ac:dyDescent="0.3">
      <c r="A52" s="59">
        <v>11</v>
      </c>
      <c r="B52" s="582"/>
      <c r="C52" s="16">
        <v>45004</v>
      </c>
      <c r="D52" s="3" t="s">
        <v>21</v>
      </c>
      <c r="E52" s="3" t="s">
        <v>140</v>
      </c>
      <c r="F52" s="3" t="s">
        <v>170</v>
      </c>
      <c r="G52" s="3">
        <v>7060</v>
      </c>
      <c r="H52" s="3" t="s">
        <v>172</v>
      </c>
      <c r="I52" s="3" t="s">
        <v>336</v>
      </c>
      <c r="J52" s="3" t="s">
        <v>337</v>
      </c>
      <c r="K52" s="3" t="s">
        <v>174</v>
      </c>
      <c r="L52" s="72"/>
      <c r="M52" s="105">
        <v>600000</v>
      </c>
      <c r="N52" s="49" t="s">
        <v>98</v>
      </c>
      <c r="Q52">
        <v>29</v>
      </c>
    </row>
    <row r="53" spans="1:17" hidden="1" x14ac:dyDescent="0.3">
      <c r="A53" s="59">
        <v>12</v>
      </c>
      <c r="B53" s="73" t="s">
        <v>308</v>
      </c>
      <c r="C53" s="74" t="s">
        <v>377</v>
      </c>
      <c r="D53" s="74" t="s">
        <v>307</v>
      </c>
      <c r="E53" s="74" t="s">
        <v>323</v>
      </c>
      <c r="F53" s="74" t="s">
        <v>308</v>
      </c>
      <c r="G53" s="74">
        <v>2461</v>
      </c>
      <c r="H53" s="74" t="s">
        <v>369</v>
      </c>
      <c r="I53" s="74" t="s">
        <v>350</v>
      </c>
      <c r="J53" s="74" t="s">
        <v>351</v>
      </c>
      <c r="K53" s="74" t="s">
        <v>370</v>
      </c>
      <c r="L53" s="74" t="s">
        <v>325</v>
      </c>
      <c r="M53" s="114">
        <v>1500000</v>
      </c>
      <c r="N53" s="68" t="s">
        <v>333</v>
      </c>
    </row>
    <row r="54" spans="1:17" ht="25.5" hidden="1" x14ac:dyDescent="0.3">
      <c r="A54" s="59">
        <v>12</v>
      </c>
      <c r="B54" s="77" t="s">
        <v>312</v>
      </c>
      <c r="C54" s="76" t="s">
        <v>371</v>
      </c>
      <c r="D54" s="76" t="s">
        <v>312</v>
      </c>
      <c r="E54" s="76" t="s">
        <v>321</v>
      </c>
      <c r="F54" s="76" t="s">
        <v>372</v>
      </c>
      <c r="G54" s="76">
        <v>7060</v>
      </c>
      <c r="H54" s="76" t="s">
        <v>373</v>
      </c>
      <c r="I54" s="76" t="s">
        <v>374</v>
      </c>
      <c r="J54" s="76" t="s">
        <v>375</v>
      </c>
      <c r="K54" s="76" t="s">
        <v>376</v>
      </c>
      <c r="L54" s="76" t="s">
        <v>310</v>
      </c>
      <c r="M54" s="114">
        <v>3000000</v>
      </c>
      <c r="N54" s="68" t="s">
        <v>341</v>
      </c>
    </row>
    <row r="55" spans="1:17" ht="27" hidden="1" x14ac:dyDescent="0.3">
      <c r="A55" s="59">
        <v>13</v>
      </c>
      <c r="B55" s="581" t="s">
        <v>124</v>
      </c>
      <c r="C55" s="37" t="s">
        <v>365</v>
      </c>
      <c r="D55" s="3" t="s">
        <v>125</v>
      </c>
      <c r="E55" s="3" t="s">
        <v>152</v>
      </c>
      <c r="F55" s="15" t="s">
        <v>124</v>
      </c>
      <c r="G55" s="15">
        <v>2579</v>
      </c>
      <c r="H55" s="3" t="s">
        <v>126</v>
      </c>
      <c r="I55" s="3" t="s">
        <v>306</v>
      </c>
      <c r="J55" s="15" t="s">
        <v>95</v>
      </c>
      <c r="K55" s="3" t="s">
        <v>192</v>
      </c>
      <c r="L55" s="71" t="s">
        <v>210</v>
      </c>
      <c r="M55" s="105">
        <f>250000*6</f>
        <v>1500000</v>
      </c>
      <c r="N55" s="49" t="s">
        <v>260</v>
      </c>
    </row>
    <row r="56" spans="1:17" ht="27" hidden="1" x14ac:dyDescent="0.3">
      <c r="A56" s="59">
        <v>13</v>
      </c>
      <c r="B56" s="582"/>
      <c r="C56" s="37" t="s">
        <v>365</v>
      </c>
      <c r="D56" s="3" t="s">
        <v>125</v>
      </c>
      <c r="E56" s="3" t="s">
        <v>152</v>
      </c>
      <c r="F56" s="15" t="s">
        <v>124</v>
      </c>
      <c r="G56" s="15" t="s">
        <v>366</v>
      </c>
      <c r="H56" s="3" t="s">
        <v>367</v>
      </c>
      <c r="I56" s="3" t="s">
        <v>306</v>
      </c>
      <c r="J56" s="15" t="s">
        <v>95</v>
      </c>
      <c r="K56" s="3" t="s">
        <v>368</v>
      </c>
      <c r="L56" s="71" t="s">
        <v>210</v>
      </c>
      <c r="M56" s="105">
        <f>250000*4</f>
        <v>1000000</v>
      </c>
      <c r="N56" s="49" t="s">
        <v>260</v>
      </c>
    </row>
    <row r="57" spans="1:17" ht="40.5" hidden="1" x14ac:dyDescent="0.3">
      <c r="A57" s="59">
        <v>14</v>
      </c>
      <c r="B57" s="48" t="s">
        <v>381</v>
      </c>
      <c r="C57" s="37" t="s">
        <v>382</v>
      </c>
      <c r="D57" s="3" t="s">
        <v>19</v>
      </c>
      <c r="E57" s="3" t="s">
        <v>152</v>
      </c>
      <c r="F57" s="15" t="s">
        <v>124</v>
      </c>
      <c r="G57" s="15" t="s">
        <v>366</v>
      </c>
      <c r="H57" s="3" t="s">
        <v>107</v>
      </c>
      <c r="I57" s="3" t="s">
        <v>306</v>
      </c>
      <c r="J57" s="15" t="s">
        <v>95</v>
      </c>
      <c r="K57" s="3" t="s">
        <v>192</v>
      </c>
      <c r="L57" s="71" t="s">
        <v>210</v>
      </c>
      <c r="M57" s="105">
        <f>250000*6</f>
        <v>1500000</v>
      </c>
      <c r="N57" s="48" t="s">
        <v>260</v>
      </c>
    </row>
    <row r="58" spans="1:17" ht="40.5" hidden="1" x14ac:dyDescent="0.3">
      <c r="A58" s="59">
        <v>15</v>
      </c>
      <c r="B58" s="49" t="s">
        <v>20</v>
      </c>
      <c r="C58" s="16" t="s">
        <v>393</v>
      </c>
      <c r="D58" s="3" t="s">
        <v>19</v>
      </c>
      <c r="E58" s="4" t="s">
        <v>25</v>
      </c>
      <c r="F58" s="15" t="s">
        <v>20</v>
      </c>
      <c r="G58" s="15" t="s">
        <v>366</v>
      </c>
      <c r="H58" s="3" t="s">
        <v>23</v>
      </c>
      <c r="I58" s="9" t="s">
        <v>306</v>
      </c>
      <c r="J58" s="14" t="s">
        <v>95</v>
      </c>
      <c r="K58" s="3" t="s">
        <v>136</v>
      </c>
      <c r="L58" s="61" t="s">
        <v>210</v>
      </c>
      <c r="M58" s="105">
        <f>250000*4</f>
        <v>1000000</v>
      </c>
      <c r="N58" s="49" t="s">
        <v>260</v>
      </c>
    </row>
    <row r="59" spans="1:17" ht="54" hidden="1" x14ac:dyDescent="0.3">
      <c r="A59" s="59">
        <v>15</v>
      </c>
      <c r="B59" s="552" t="s">
        <v>394</v>
      </c>
      <c r="C59" s="16">
        <v>45027</v>
      </c>
      <c r="D59" s="3" t="s">
        <v>21</v>
      </c>
      <c r="E59" s="4" t="s">
        <v>14</v>
      </c>
      <c r="F59" s="3" t="s">
        <v>278</v>
      </c>
      <c r="G59" s="3" t="s">
        <v>390</v>
      </c>
      <c r="H59" s="3" t="s">
        <v>265</v>
      </c>
      <c r="I59" s="9" t="s">
        <v>391</v>
      </c>
      <c r="J59" s="14" t="s">
        <v>88</v>
      </c>
      <c r="K59" s="3" t="s">
        <v>112</v>
      </c>
      <c r="L59" s="6" t="s">
        <v>15</v>
      </c>
      <c r="M59" s="105">
        <v>250000</v>
      </c>
      <c r="N59" s="49" t="s">
        <v>395</v>
      </c>
      <c r="O59">
        <v>1</v>
      </c>
    </row>
    <row r="60" spans="1:17" ht="27" hidden="1" x14ac:dyDescent="0.3">
      <c r="A60" s="59">
        <v>15</v>
      </c>
      <c r="B60" s="567"/>
      <c r="C60" s="16">
        <v>45028</v>
      </c>
      <c r="D60" s="3" t="s">
        <v>139</v>
      </c>
      <c r="E60" s="4" t="s">
        <v>14</v>
      </c>
      <c r="F60" s="3" t="s">
        <v>22</v>
      </c>
      <c r="G60" s="3">
        <v>7060</v>
      </c>
      <c r="H60" s="3" t="s">
        <v>35</v>
      </c>
      <c r="I60" s="9" t="s">
        <v>392</v>
      </c>
      <c r="J60" s="14" t="s">
        <v>117</v>
      </c>
      <c r="K60" s="3" t="s">
        <v>112</v>
      </c>
      <c r="L60" s="6" t="s">
        <v>15</v>
      </c>
      <c r="M60" s="105">
        <v>250000</v>
      </c>
      <c r="N60" s="49" t="s">
        <v>396</v>
      </c>
      <c r="O60">
        <v>1</v>
      </c>
    </row>
    <row r="61" spans="1:17" ht="27" hidden="1" x14ac:dyDescent="0.3">
      <c r="A61" s="59">
        <v>15</v>
      </c>
      <c r="B61" s="553"/>
      <c r="C61" s="16">
        <v>45029</v>
      </c>
      <c r="D61" s="3" t="s">
        <v>139</v>
      </c>
      <c r="E61" s="4" t="s">
        <v>14</v>
      </c>
      <c r="F61" s="3" t="s">
        <v>22</v>
      </c>
      <c r="G61" s="3">
        <v>7060</v>
      </c>
      <c r="H61" s="3" t="s">
        <v>35</v>
      </c>
      <c r="I61" s="9" t="s">
        <v>392</v>
      </c>
      <c r="J61" s="14" t="s">
        <v>117</v>
      </c>
      <c r="K61" s="3" t="s">
        <v>112</v>
      </c>
      <c r="L61" s="6" t="s">
        <v>15</v>
      </c>
      <c r="M61" s="105">
        <v>250000</v>
      </c>
      <c r="N61" s="49" t="s">
        <v>397</v>
      </c>
      <c r="O61">
        <v>1</v>
      </c>
    </row>
    <row r="62" spans="1:17" ht="25.5" hidden="1" x14ac:dyDescent="0.3">
      <c r="A62" s="59">
        <v>18</v>
      </c>
      <c r="B62" s="96" t="s">
        <v>308</v>
      </c>
      <c r="C62" s="96" t="s">
        <v>417</v>
      </c>
      <c r="D62" s="96" t="s">
        <v>307</v>
      </c>
      <c r="E62" s="96" t="s">
        <v>323</v>
      </c>
      <c r="F62" s="96" t="s">
        <v>308</v>
      </c>
      <c r="G62" s="96" t="s">
        <v>405</v>
      </c>
      <c r="H62" s="96" t="s">
        <v>407</v>
      </c>
      <c r="I62" s="97" t="s">
        <v>422</v>
      </c>
      <c r="J62" s="96" t="s">
        <v>351</v>
      </c>
      <c r="K62" s="96" t="s">
        <v>352</v>
      </c>
      <c r="L62" s="96" t="s">
        <v>325</v>
      </c>
      <c r="M62" s="115" t="s">
        <v>353</v>
      </c>
      <c r="N62" s="96" t="s">
        <v>427</v>
      </c>
    </row>
    <row r="63" spans="1:17" ht="25.5" hidden="1" x14ac:dyDescent="0.3">
      <c r="A63" s="59">
        <v>18</v>
      </c>
      <c r="B63" s="575" t="s">
        <v>312</v>
      </c>
      <c r="C63" s="96" t="s">
        <v>457</v>
      </c>
      <c r="D63" s="96" t="s">
        <v>312</v>
      </c>
      <c r="E63" s="96" t="s">
        <v>321</v>
      </c>
      <c r="F63" s="96" t="s">
        <v>411</v>
      </c>
      <c r="G63" s="96" t="s">
        <v>405</v>
      </c>
      <c r="H63" s="96" t="s">
        <v>407</v>
      </c>
      <c r="I63" s="97" t="s">
        <v>424</v>
      </c>
      <c r="J63" s="96" t="s">
        <v>416</v>
      </c>
      <c r="K63" s="96" t="s">
        <v>415</v>
      </c>
      <c r="L63" s="96" t="s">
        <v>310</v>
      </c>
      <c r="M63" s="115" t="s">
        <v>458</v>
      </c>
      <c r="N63" s="96" t="s">
        <v>428</v>
      </c>
      <c r="O63">
        <v>3</v>
      </c>
    </row>
    <row r="64" spans="1:17" ht="25.5" hidden="1" x14ac:dyDescent="0.3">
      <c r="A64" s="59">
        <v>18</v>
      </c>
      <c r="B64" s="576"/>
      <c r="C64" s="96" t="s">
        <v>459</v>
      </c>
      <c r="D64" s="96" t="s">
        <v>312</v>
      </c>
      <c r="E64" s="96" t="s">
        <v>321</v>
      </c>
      <c r="F64" s="96" t="s">
        <v>411</v>
      </c>
      <c r="G64" s="96" t="s">
        <v>405</v>
      </c>
      <c r="H64" s="96" t="s">
        <v>407</v>
      </c>
      <c r="I64" s="97" t="s">
        <v>425</v>
      </c>
      <c r="J64" s="96" t="s">
        <v>416</v>
      </c>
      <c r="K64" s="96" t="s">
        <v>329</v>
      </c>
      <c r="L64" s="96" t="s">
        <v>310</v>
      </c>
      <c r="M64" s="115" t="s">
        <v>460</v>
      </c>
      <c r="N64" s="96" t="s">
        <v>428</v>
      </c>
      <c r="O64">
        <v>2</v>
      </c>
    </row>
    <row r="65" spans="1:15" ht="25.5" hidden="1" x14ac:dyDescent="0.3">
      <c r="A65" s="59">
        <v>18</v>
      </c>
      <c r="B65" s="577"/>
      <c r="C65" s="96" t="s">
        <v>461</v>
      </c>
      <c r="D65" s="96" t="s">
        <v>312</v>
      </c>
      <c r="E65" s="96" t="s">
        <v>321</v>
      </c>
      <c r="F65" s="96" t="s">
        <v>411</v>
      </c>
      <c r="G65" s="96" t="s">
        <v>405</v>
      </c>
      <c r="H65" s="96" t="s">
        <v>407</v>
      </c>
      <c r="I65" s="97" t="s">
        <v>426</v>
      </c>
      <c r="J65" s="96" t="s">
        <v>416</v>
      </c>
      <c r="K65" s="96" t="s">
        <v>329</v>
      </c>
      <c r="L65" s="96" t="s">
        <v>310</v>
      </c>
      <c r="M65" s="115" t="s">
        <v>460</v>
      </c>
      <c r="N65" s="96" t="s">
        <v>428</v>
      </c>
      <c r="O65">
        <v>2</v>
      </c>
    </row>
    <row r="66" spans="1:15" hidden="1" x14ac:dyDescent="0.3">
      <c r="A66" s="59">
        <v>19</v>
      </c>
      <c r="B66" s="48" t="s">
        <v>124</v>
      </c>
      <c r="C66" s="16" t="s">
        <v>440</v>
      </c>
      <c r="D66" s="3" t="s">
        <v>418</v>
      </c>
      <c r="E66" s="3" t="s">
        <v>419</v>
      </c>
      <c r="F66" s="15" t="s">
        <v>420</v>
      </c>
      <c r="G66" s="15" t="s">
        <v>441</v>
      </c>
      <c r="H66" s="3" t="s">
        <v>421</v>
      </c>
      <c r="I66" s="3" t="s">
        <v>443</v>
      </c>
      <c r="J66" s="15"/>
      <c r="K66" s="3" t="s">
        <v>442</v>
      </c>
      <c r="L66" s="71" t="s">
        <v>423</v>
      </c>
      <c r="M66" s="105">
        <f>250000*2</f>
        <v>500000</v>
      </c>
      <c r="N66" s="48" t="s">
        <v>456</v>
      </c>
    </row>
    <row r="67" spans="1:15" hidden="1" x14ac:dyDescent="0.3">
      <c r="A67" s="59">
        <v>19</v>
      </c>
      <c r="B67" s="552" t="s">
        <v>64</v>
      </c>
      <c r="C67" s="550">
        <v>45054</v>
      </c>
      <c r="D67" s="3" t="s">
        <v>64</v>
      </c>
      <c r="E67" s="4" t="s">
        <v>403</v>
      </c>
      <c r="F67" s="3" t="s">
        <v>432</v>
      </c>
      <c r="G67" s="3">
        <v>2459</v>
      </c>
      <c r="H67" s="3" t="s">
        <v>434</v>
      </c>
      <c r="I67" s="9" t="s">
        <v>435</v>
      </c>
      <c r="J67" s="14"/>
      <c r="K67" s="571" t="s">
        <v>437</v>
      </c>
      <c r="L67" s="6" t="s">
        <v>438</v>
      </c>
      <c r="M67" s="579">
        <v>750000</v>
      </c>
      <c r="N67" s="49" t="s">
        <v>448</v>
      </c>
    </row>
    <row r="68" spans="1:15" ht="27" hidden="1" x14ac:dyDescent="0.3">
      <c r="A68" s="59">
        <v>19</v>
      </c>
      <c r="B68" s="567"/>
      <c r="C68" s="578"/>
      <c r="D68" s="3" t="s">
        <v>431</v>
      </c>
      <c r="E68" s="4" t="s">
        <v>403</v>
      </c>
      <c r="F68" s="3" t="s">
        <v>432</v>
      </c>
      <c r="G68" s="3">
        <v>2459</v>
      </c>
      <c r="H68" s="3" t="s">
        <v>433</v>
      </c>
      <c r="I68" s="9" t="s">
        <v>436</v>
      </c>
      <c r="J68" s="14"/>
      <c r="K68" s="572"/>
      <c r="L68" s="6" t="s">
        <v>413</v>
      </c>
      <c r="M68" s="580"/>
      <c r="N68" s="49" t="s">
        <v>447</v>
      </c>
    </row>
    <row r="69" spans="1:15" hidden="1" x14ac:dyDescent="0.3">
      <c r="A69" s="59">
        <v>19</v>
      </c>
      <c r="B69" s="567"/>
      <c r="C69" s="551"/>
      <c r="D69" s="3" t="s">
        <v>449</v>
      </c>
      <c r="E69" s="4" t="s">
        <v>450</v>
      </c>
      <c r="F69" s="3" t="s">
        <v>451</v>
      </c>
      <c r="G69" s="3">
        <v>7060</v>
      </c>
      <c r="H69" s="3" t="s">
        <v>452</v>
      </c>
      <c r="I69" s="9" t="s">
        <v>453</v>
      </c>
      <c r="J69" s="14"/>
      <c r="K69" s="3" t="s">
        <v>454</v>
      </c>
      <c r="L69" s="6" t="s">
        <v>438</v>
      </c>
      <c r="M69" s="105">
        <v>300000</v>
      </c>
      <c r="N69" s="49" t="s">
        <v>455</v>
      </c>
    </row>
    <row r="70" spans="1:15" hidden="1" x14ac:dyDescent="0.3">
      <c r="A70" s="59">
        <v>19</v>
      </c>
      <c r="B70" s="567"/>
      <c r="C70" s="16">
        <v>45055</v>
      </c>
      <c r="D70" s="3" t="s">
        <v>409</v>
      </c>
      <c r="E70" s="4" t="s">
        <v>410</v>
      </c>
      <c r="F70" s="3" t="s">
        <v>157</v>
      </c>
      <c r="G70" s="3" t="s">
        <v>406</v>
      </c>
      <c r="H70" s="3" t="s">
        <v>408</v>
      </c>
      <c r="I70" s="9" t="s">
        <v>444</v>
      </c>
      <c r="J70" s="14" t="s">
        <v>439</v>
      </c>
      <c r="K70" s="3" t="s">
        <v>414</v>
      </c>
      <c r="L70" s="6" t="s">
        <v>84</v>
      </c>
      <c r="M70" s="105">
        <v>500000</v>
      </c>
      <c r="N70" s="49" t="s">
        <v>446</v>
      </c>
      <c r="O70">
        <v>2</v>
      </c>
    </row>
    <row r="71" spans="1:15" hidden="1" x14ac:dyDescent="0.3">
      <c r="A71" s="59">
        <v>19</v>
      </c>
      <c r="B71" s="553"/>
      <c r="C71" s="37">
        <v>45056</v>
      </c>
      <c r="D71" s="35" t="s">
        <v>409</v>
      </c>
      <c r="E71" s="10" t="s">
        <v>410</v>
      </c>
      <c r="F71" s="35" t="s">
        <v>157</v>
      </c>
      <c r="G71" s="35" t="s">
        <v>406</v>
      </c>
      <c r="H71" s="35" t="s">
        <v>408</v>
      </c>
      <c r="I71" s="5" t="s">
        <v>444</v>
      </c>
      <c r="J71" s="33" t="s">
        <v>445</v>
      </c>
      <c r="K71" s="35" t="s">
        <v>414</v>
      </c>
      <c r="L71" s="87" t="s">
        <v>84</v>
      </c>
      <c r="M71" s="88">
        <v>500000</v>
      </c>
      <c r="N71" s="84" t="s">
        <v>446</v>
      </c>
      <c r="O71">
        <v>2</v>
      </c>
    </row>
    <row r="72" spans="1:15" hidden="1" x14ac:dyDescent="0.3">
      <c r="A72" s="59">
        <v>20</v>
      </c>
      <c r="B72" s="552" t="s">
        <v>21</v>
      </c>
      <c r="C72" s="16">
        <v>45061</v>
      </c>
      <c r="D72" s="3" t="s">
        <v>139</v>
      </c>
      <c r="E72" s="4" t="s">
        <v>14</v>
      </c>
      <c r="F72" s="3" t="s">
        <v>22</v>
      </c>
      <c r="G72" s="3">
        <v>7060</v>
      </c>
      <c r="H72" s="3" t="s">
        <v>35</v>
      </c>
      <c r="I72" s="9" t="s">
        <v>430</v>
      </c>
      <c r="J72" s="14" t="s">
        <v>90</v>
      </c>
      <c r="K72" s="3" t="s">
        <v>119</v>
      </c>
      <c r="L72" s="6" t="s">
        <v>15</v>
      </c>
      <c r="M72" s="94">
        <v>500000</v>
      </c>
      <c r="N72" s="49" t="s">
        <v>469</v>
      </c>
      <c r="O72">
        <v>2</v>
      </c>
    </row>
    <row r="73" spans="1:15" hidden="1" x14ac:dyDescent="0.3">
      <c r="A73" s="59">
        <v>20</v>
      </c>
      <c r="B73" s="567"/>
      <c r="C73" s="11">
        <v>45062</v>
      </c>
      <c r="D73" s="89" t="s">
        <v>21</v>
      </c>
      <c r="E73" s="82" t="s">
        <v>14</v>
      </c>
      <c r="F73" s="82" t="s">
        <v>466</v>
      </c>
      <c r="G73" s="89" t="s">
        <v>145</v>
      </c>
      <c r="H73" s="89" t="s">
        <v>146</v>
      </c>
      <c r="I73" s="90" t="s">
        <v>464</v>
      </c>
      <c r="J73" s="83" t="s">
        <v>90</v>
      </c>
      <c r="K73" s="143" t="s">
        <v>465</v>
      </c>
      <c r="L73" s="91" t="s">
        <v>15</v>
      </c>
      <c r="M73" s="92">
        <v>600000</v>
      </c>
      <c r="N73" s="85" t="s">
        <v>98</v>
      </c>
    </row>
    <row r="74" spans="1:15" hidden="1" x14ac:dyDescent="0.3">
      <c r="A74" s="59">
        <v>20</v>
      </c>
      <c r="B74" s="567"/>
      <c r="C74" s="37">
        <v>45063</v>
      </c>
      <c r="D74" s="35" t="s">
        <v>21</v>
      </c>
      <c r="E74" s="10" t="s">
        <v>14</v>
      </c>
      <c r="F74" s="10" t="s">
        <v>466</v>
      </c>
      <c r="G74" s="35" t="s">
        <v>145</v>
      </c>
      <c r="H74" s="35" t="s">
        <v>146</v>
      </c>
      <c r="I74" s="5" t="s">
        <v>464</v>
      </c>
      <c r="J74" s="33" t="s">
        <v>90</v>
      </c>
      <c r="K74" s="35" t="s">
        <v>465</v>
      </c>
      <c r="L74" s="87" t="s">
        <v>15</v>
      </c>
      <c r="M74" s="86">
        <v>600000</v>
      </c>
      <c r="N74" s="84" t="s">
        <v>98</v>
      </c>
    </row>
    <row r="75" spans="1:15" ht="27" hidden="1" x14ac:dyDescent="0.3">
      <c r="A75" s="59">
        <v>20</v>
      </c>
      <c r="B75" s="567"/>
      <c r="C75" s="16">
        <v>45064</v>
      </c>
      <c r="D75" s="3" t="s">
        <v>21</v>
      </c>
      <c r="E75" s="4" t="s">
        <v>14</v>
      </c>
      <c r="F75" s="3" t="s">
        <v>78</v>
      </c>
      <c r="G75" s="15" t="s">
        <v>79</v>
      </c>
      <c r="H75" s="15" t="s">
        <v>28</v>
      </c>
      <c r="I75" s="9" t="s">
        <v>467</v>
      </c>
      <c r="J75" s="14" t="s">
        <v>87</v>
      </c>
      <c r="K75" s="3" t="s">
        <v>119</v>
      </c>
      <c r="L75" s="6" t="s">
        <v>15</v>
      </c>
      <c r="M75" s="105">
        <v>500000</v>
      </c>
      <c r="N75" s="49" t="s">
        <v>61</v>
      </c>
      <c r="O75">
        <v>2</v>
      </c>
    </row>
    <row r="76" spans="1:15" hidden="1" x14ac:dyDescent="0.3">
      <c r="A76" s="59">
        <v>20</v>
      </c>
      <c r="B76" s="553"/>
      <c r="C76" s="11">
        <v>45065</v>
      </c>
      <c r="D76" s="89" t="s">
        <v>21</v>
      </c>
      <c r="E76" s="82" t="s">
        <v>14</v>
      </c>
      <c r="F76" s="89" t="s">
        <v>108</v>
      </c>
      <c r="G76" s="89" t="s">
        <v>271</v>
      </c>
      <c r="H76" s="89" t="s">
        <v>23</v>
      </c>
      <c r="I76" s="93" t="s">
        <v>468</v>
      </c>
      <c r="J76" s="83"/>
      <c r="K76" s="89" t="s">
        <v>60</v>
      </c>
      <c r="L76" s="91" t="s">
        <v>15</v>
      </c>
      <c r="M76" s="80">
        <v>300000</v>
      </c>
      <c r="N76" s="85" t="s">
        <v>98</v>
      </c>
    </row>
    <row r="77" spans="1:15" hidden="1" x14ac:dyDescent="0.3">
      <c r="A77" s="59">
        <v>20</v>
      </c>
      <c r="B77" s="552" t="s">
        <v>472</v>
      </c>
      <c r="C77" s="16">
        <v>45064</v>
      </c>
      <c r="D77" s="3" t="s">
        <v>19</v>
      </c>
      <c r="E77" s="4" t="s">
        <v>471</v>
      </c>
      <c r="F77" s="4" t="s">
        <v>472</v>
      </c>
      <c r="G77" s="3">
        <v>2518</v>
      </c>
      <c r="H77" s="3" t="s">
        <v>478</v>
      </c>
      <c r="I77" s="9" t="s">
        <v>479</v>
      </c>
      <c r="J77" s="14" t="s">
        <v>475</v>
      </c>
      <c r="K77" s="3" t="s">
        <v>476</v>
      </c>
      <c r="L77" s="61" t="s">
        <v>477</v>
      </c>
      <c r="M77" s="64">
        <v>500000</v>
      </c>
      <c r="N77" s="49" t="s">
        <v>248</v>
      </c>
    </row>
    <row r="78" spans="1:15" hidden="1" x14ac:dyDescent="0.3">
      <c r="A78" s="59">
        <v>20</v>
      </c>
      <c r="B78" s="567"/>
      <c r="C78" s="16">
        <v>45065</v>
      </c>
      <c r="D78" s="3" t="s">
        <v>19</v>
      </c>
      <c r="E78" s="4" t="s">
        <v>471</v>
      </c>
      <c r="F78" s="4" t="s">
        <v>472</v>
      </c>
      <c r="G78" s="3">
        <v>4207</v>
      </c>
      <c r="H78" s="3" t="s">
        <v>473</v>
      </c>
      <c r="I78" s="9" t="s">
        <v>474</v>
      </c>
      <c r="J78" s="14" t="s">
        <v>475</v>
      </c>
      <c r="K78" s="3" t="s">
        <v>476</v>
      </c>
      <c r="L78" s="61" t="s">
        <v>477</v>
      </c>
      <c r="M78" s="64">
        <v>500000</v>
      </c>
      <c r="N78" s="49" t="s">
        <v>248</v>
      </c>
    </row>
    <row r="79" spans="1:15" hidden="1" x14ac:dyDescent="0.3">
      <c r="A79" s="59">
        <v>20</v>
      </c>
      <c r="B79" s="553"/>
      <c r="C79" s="16">
        <v>45066</v>
      </c>
      <c r="D79" s="3" t="s">
        <v>19</v>
      </c>
      <c r="E79" s="4" t="s">
        <v>471</v>
      </c>
      <c r="F79" s="4" t="s">
        <v>472</v>
      </c>
      <c r="G79" s="3" t="s">
        <v>480</v>
      </c>
      <c r="H79" s="3" t="s">
        <v>481</v>
      </c>
      <c r="I79" s="9" t="s">
        <v>474</v>
      </c>
      <c r="J79" s="14" t="s">
        <v>475</v>
      </c>
      <c r="K79" s="3" t="s">
        <v>476</v>
      </c>
      <c r="L79" s="61" t="s">
        <v>477</v>
      </c>
      <c r="M79" s="64">
        <v>500000</v>
      </c>
      <c r="N79" s="49" t="s">
        <v>248</v>
      </c>
    </row>
    <row r="80" spans="1:15" hidden="1" x14ac:dyDescent="0.3">
      <c r="A80" s="59">
        <v>21</v>
      </c>
      <c r="B80" s="552" t="s">
        <v>20</v>
      </c>
      <c r="C80" s="16">
        <v>45070</v>
      </c>
      <c r="D80" s="3" t="s">
        <v>19</v>
      </c>
      <c r="E80" s="4" t="s">
        <v>152</v>
      </c>
      <c r="F80" s="4" t="s">
        <v>20</v>
      </c>
      <c r="G80" s="3">
        <v>6601</v>
      </c>
      <c r="H80" s="3" t="s">
        <v>484</v>
      </c>
      <c r="I80" s="9" t="s">
        <v>479</v>
      </c>
      <c r="J80" s="14" t="s">
        <v>475</v>
      </c>
      <c r="K80" s="3" t="s">
        <v>476</v>
      </c>
      <c r="L80" s="61" t="s">
        <v>210</v>
      </c>
      <c r="M80" s="64">
        <v>500000</v>
      </c>
      <c r="N80" s="49" t="s">
        <v>248</v>
      </c>
    </row>
    <row r="81" spans="1:14" hidden="1" x14ac:dyDescent="0.3">
      <c r="A81" s="59">
        <v>21</v>
      </c>
      <c r="B81" s="553"/>
      <c r="C81" s="16">
        <v>45071</v>
      </c>
      <c r="D81" s="3" t="s">
        <v>19</v>
      </c>
      <c r="E81" s="4" t="s">
        <v>152</v>
      </c>
      <c r="F81" s="4" t="s">
        <v>20</v>
      </c>
      <c r="G81" s="3">
        <v>4207</v>
      </c>
      <c r="H81" s="3" t="s">
        <v>228</v>
      </c>
      <c r="I81" s="9" t="s">
        <v>474</v>
      </c>
      <c r="J81" s="14" t="s">
        <v>475</v>
      </c>
      <c r="K81" s="3" t="s">
        <v>476</v>
      </c>
      <c r="L81" s="61" t="s">
        <v>210</v>
      </c>
      <c r="M81" s="64">
        <v>500000</v>
      </c>
      <c r="N81" s="49" t="s">
        <v>248</v>
      </c>
    </row>
    <row r="82" spans="1:14" hidden="1" x14ac:dyDescent="0.3">
      <c r="A82" s="59">
        <v>22</v>
      </c>
      <c r="B82" s="552" t="s">
        <v>21</v>
      </c>
      <c r="C82" s="11">
        <v>45073</v>
      </c>
      <c r="D82" s="3" t="s">
        <v>21</v>
      </c>
      <c r="E82" s="4" t="s">
        <v>17</v>
      </c>
      <c r="F82" s="3" t="s">
        <v>22</v>
      </c>
      <c r="G82" s="3">
        <v>7060</v>
      </c>
      <c r="H82" s="3" t="s">
        <v>86</v>
      </c>
      <c r="I82" s="5" t="s">
        <v>491</v>
      </c>
      <c r="J82" s="14" t="s">
        <v>503</v>
      </c>
      <c r="K82" s="3" t="s">
        <v>502</v>
      </c>
      <c r="L82" s="6" t="s">
        <v>15</v>
      </c>
      <c r="M82" s="86">
        <v>500000</v>
      </c>
      <c r="N82" s="49" t="s">
        <v>498</v>
      </c>
    </row>
    <row r="83" spans="1:14" ht="27" hidden="1" x14ac:dyDescent="0.3">
      <c r="A83" s="59">
        <v>22</v>
      </c>
      <c r="B83" s="567"/>
      <c r="C83" s="550">
        <v>45076</v>
      </c>
      <c r="D83" s="3" t="s">
        <v>21</v>
      </c>
      <c r="E83" s="4" t="s">
        <v>17</v>
      </c>
      <c r="F83" s="3" t="s">
        <v>22</v>
      </c>
      <c r="G83" s="3">
        <v>7058</v>
      </c>
      <c r="H83" s="3" t="s">
        <v>482</v>
      </c>
      <c r="I83" s="5" t="s">
        <v>486</v>
      </c>
      <c r="J83" s="14" t="s">
        <v>156</v>
      </c>
      <c r="K83" s="3" t="s">
        <v>41</v>
      </c>
      <c r="L83" s="6" t="s">
        <v>15</v>
      </c>
      <c r="M83" s="86">
        <v>180000</v>
      </c>
      <c r="N83" s="49" t="s">
        <v>498</v>
      </c>
    </row>
    <row r="84" spans="1:14" hidden="1" x14ac:dyDescent="0.3">
      <c r="A84" s="59">
        <v>22</v>
      </c>
      <c r="B84" s="567"/>
      <c r="C84" s="551"/>
      <c r="D84" s="3" t="s">
        <v>139</v>
      </c>
      <c r="E84" s="4" t="s">
        <v>17</v>
      </c>
      <c r="F84" s="3" t="s">
        <v>78</v>
      </c>
      <c r="G84" s="3" t="s">
        <v>487</v>
      </c>
      <c r="H84" s="3" t="s">
        <v>143</v>
      </c>
      <c r="I84" s="5" t="s">
        <v>488</v>
      </c>
      <c r="J84" s="14" t="s">
        <v>203</v>
      </c>
      <c r="K84" s="35" t="s">
        <v>508</v>
      </c>
      <c r="L84" s="6" t="s">
        <v>15</v>
      </c>
      <c r="M84" s="86">
        <f>180000*3</f>
        <v>540000</v>
      </c>
      <c r="N84" s="49" t="s">
        <v>499</v>
      </c>
    </row>
    <row r="85" spans="1:14" hidden="1" x14ac:dyDescent="0.3">
      <c r="A85" s="59">
        <v>22</v>
      </c>
      <c r="B85" s="567"/>
      <c r="C85" s="550">
        <v>45077</v>
      </c>
      <c r="D85" s="3" t="s">
        <v>139</v>
      </c>
      <c r="E85" s="4" t="s">
        <v>17</v>
      </c>
      <c r="F85" s="3" t="s">
        <v>78</v>
      </c>
      <c r="G85" s="3" t="s">
        <v>487</v>
      </c>
      <c r="H85" s="3" t="s">
        <v>143</v>
      </c>
      <c r="I85" s="5" t="s">
        <v>488</v>
      </c>
      <c r="J85" s="14" t="s">
        <v>495</v>
      </c>
      <c r="K85" s="35" t="s">
        <v>508</v>
      </c>
      <c r="L85" s="6" t="s">
        <v>15</v>
      </c>
      <c r="M85" s="86">
        <f>180000*3</f>
        <v>540000</v>
      </c>
      <c r="N85" s="49" t="s">
        <v>499</v>
      </c>
    </row>
    <row r="86" spans="1:14" hidden="1" x14ac:dyDescent="0.3">
      <c r="A86" s="59">
        <v>22</v>
      </c>
      <c r="B86" s="567"/>
      <c r="C86" s="551"/>
      <c r="D86" s="3" t="s">
        <v>21</v>
      </c>
      <c r="E86" s="4" t="s">
        <v>14</v>
      </c>
      <c r="F86" s="3" t="s">
        <v>278</v>
      </c>
      <c r="G86" s="3">
        <v>4203</v>
      </c>
      <c r="H86" s="3" t="s">
        <v>18</v>
      </c>
      <c r="I86" s="5" t="s">
        <v>490</v>
      </c>
      <c r="J86" s="14" t="s">
        <v>507</v>
      </c>
      <c r="K86" s="35" t="s">
        <v>41</v>
      </c>
      <c r="L86" s="6" t="s">
        <v>15</v>
      </c>
      <c r="M86" s="86">
        <v>180000</v>
      </c>
      <c r="N86" s="49" t="s">
        <v>500</v>
      </c>
    </row>
    <row r="87" spans="1:14" hidden="1" x14ac:dyDescent="0.3">
      <c r="A87" s="59">
        <v>22</v>
      </c>
      <c r="B87" s="567"/>
      <c r="C87" s="11">
        <v>45078</v>
      </c>
      <c r="D87" s="3" t="s">
        <v>139</v>
      </c>
      <c r="E87" s="4" t="s">
        <v>17</v>
      </c>
      <c r="F87" s="3" t="s">
        <v>78</v>
      </c>
      <c r="G87" s="3" t="s">
        <v>487</v>
      </c>
      <c r="H87" s="3" t="s">
        <v>143</v>
      </c>
      <c r="I87" s="5" t="s">
        <v>488</v>
      </c>
      <c r="J87" s="14" t="s">
        <v>497</v>
      </c>
      <c r="K87" s="35" t="s">
        <v>508</v>
      </c>
      <c r="L87" s="6" t="s">
        <v>15</v>
      </c>
      <c r="M87" s="86">
        <f>180000*3</f>
        <v>540000</v>
      </c>
      <c r="N87" s="49" t="s">
        <v>499</v>
      </c>
    </row>
    <row r="88" spans="1:14" hidden="1" x14ac:dyDescent="0.3">
      <c r="A88" s="59">
        <v>22</v>
      </c>
      <c r="B88" s="567"/>
      <c r="C88" s="11">
        <v>45079</v>
      </c>
      <c r="D88" s="3" t="s">
        <v>139</v>
      </c>
      <c r="E88" s="4" t="s">
        <v>17</v>
      </c>
      <c r="F88" s="3" t="s">
        <v>78</v>
      </c>
      <c r="G88" s="3" t="s">
        <v>487</v>
      </c>
      <c r="H88" s="3" t="s">
        <v>143</v>
      </c>
      <c r="I88" s="5" t="s">
        <v>488</v>
      </c>
      <c r="J88" s="14" t="s">
        <v>497</v>
      </c>
      <c r="K88" s="35" t="s">
        <v>508</v>
      </c>
      <c r="L88" s="6" t="s">
        <v>15</v>
      </c>
      <c r="M88" s="86">
        <f>180000*3</f>
        <v>540000</v>
      </c>
      <c r="N88" s="49" t="s">
        <v>499</v>
      </c>
    </row>
    <row r="89" spans="1:14" ht="27" hidden="1" x14ac:dyDescent="0.3">
      <c r="A89" s="59">
        <v>22</v>
      </c>
      <c r="B89" s="553"/>
      <c r="C89" s="11">
        <v>45080</v>
      </c>
      <c r="D89" s="3" t="s">
        <v>139</v>
      </c>
      <c r="E89" s="4" t="s">
        <v>14</v>
      </c>
      <c r="F89" s="3" t="s">
        <v>20</v>
      </c>
      <c r="G89" s="3">
        <v>7060</v>
      </c>
      <c r="H89" s="3" t="s">
        <v>35</v>
      </c>
      <c r="I89" s="9" t="s">
        <v>430</v>
      </c>
      <c r="J89" s="14" t="s">
        <v>87</v>
      </c>
      <c r="K89" s="3" t="s">
        <v>505</v>
      </c>
      <c r="L89" s="6" t="s">
        <v>15</v>
      </c>
      <c r="M89" s="86">
        <v>180000</v>
      </c>
      <c r="N89" s="49" t="s">
        <v>499</v>
      </c>
    </row>
    <row r="90" spans="1:14" hidden="1" x14ac:dyDescent="0.3">
      <c r="A90" s="59">
        <v>23</v>
      </c>
      <c r="B90" s="552" t="s">
        <v>21</v>
      </c>
      <c r="C90" s="11">
        <v>45082</v>
      </c>
      <c r="D90" s="3" t="s">
        <v>233</v>
      </c>
      <c r="E90" s="4" t="s">
        <v>522</v>
      </c>
      <c r="F90" s="3" t="s">
        <v>523</v>
      </c>
      <c r="G90" s="3">
        <v>2460</v>
      </c>
      <c r="H90" s="3" t="s">
        <v>520</v>
      </c>
      <c r="I90" s="5" t="s">
        <v>521</v>
      </c>
      <c r="J90" s="14" t="s">
        <v>496</v>
      </c>
      <c r="K90" s="35" t="s">
        <v>519</v>
      </c>
      <c r="L90" s="6" t="s">
        <v>518</v>
      </c>
      <c r="M90" s="86">
        <v>250000</v>
      </c>
      <c r="N90" s="49" t="s">
        <v>531</v>
      </c>
    </row>
    <row r="91" spans="1:14" ht="27" hidden="1" x14ac:dyDescent="0.3">
      <c r="A91" s="59">
        <v>23</v>
      </c>
      <c r="B91" s="553"/>
      <c r="C91" s="11">
        <v>45086</v>
      </c>
      <c r="D91" s="3" t="s">
        <v>21</v>
      </c>
      <c r="E91" s="4" t="s">
        <v>525</v>
      </c>
      <c r="F91" s="3" t="s">
        <v>509</v>
      </c>
      <c r="G91" s="3">
        <v>7058</v>
      </c>
      <c r="H91" s="3" t="s">
        <v>526</v>
      </c>
      <c r="I91" s="5" t="s">
        <v>528</v>
      </c>
      <c r="J91" s="14" t="s">
        <v>510</v>
      </c>
      <c r="K91" s="35" t="s">
        <v>532</v>
      </c>
      <c r="L91" s="6" t="s">
        <v>501</v>
      </c>
      <c r="M91" s="86">
        <v>500000</v>
      </c>
      <c r="N91" s="49" t="s">
        <v>533</v>
      </c>
    </row>
    <row r="92" spans="1:14" hidden="1" x14ac:dyDescent="0.3">
      <c r="A92" s="59">
        <v>24</v>
      </c>
      <c r="B92" s="552" t="s">
        <v>21</v>
      </c>
      <c r="C92" s="99">
        <v>45087</v>
      </c>
      <c r="D92" s="3" t="s">
        <v>517</v>
      </c>
      <c r="E92" s="4" t="s">
        <v>14</v>
      </c>
      <c r="F92" s="3" t="s">
        <v>26</v>
      </c>
      <c r="G92" s="3">
        <v>7060</v>
      </c>
      <c r="H92" s="3" t="s">
        <v>113</v>
      </c>
      <c r="I92" s="9" t="s">
        <v>540</v>
      </c>
      <c r="J92" s="14" t="s">
        <v>510</v>
      </c>
      <c r="K92" s="3" t="s">
        <v>537</v>
      </c>
      <c r="L92" s="6" t="s">
        <v>501</v>
      </c>
      <c r="M92" s="100">
        <v>250000</v>
      </c>
      <c r="N92" s="49" t="s">
        <v>561</v>
      </c>
    </row>
    <row r="93" spans="1:14" ht="27" hidden="1" x14ac:dyDescent="0.3">
      <c r="A93" s="59">
        <v>24</v>
      </c>
      <c r="B93" s="567"/>
      <c r="C93" s="550">
        <v>45089</v>
      </c>
      <c r="D93" s="3" t="s">
        <v>21</v>
      </c>
      <c r="E93" s="4" t="s">
        <v>17</v>
      </c>
      <c r="F93" s="4" t="s">
        <v>541</v>
      </c>
      <c r="G93" s="3" t="s">
        <v>492</v>
      </c>
      <c r="H93" s="3" t="s">
        <v>493</v>
      </c>
      <c r="I93" s="9" t="s">
        <v>494</v>
      </c>
      <c r="J93" s="14" t="s">
        <v>542</v>
      </c>
      <c r="K93" s="3" t="s">
        <v>543</v>
      </c>
      <c r="L93" s="6" t="s">
        <v>559</v>
      </c>
      <c r="M93" s="64">
        <v>250000</v>
      </c>
      <c r="N93" s="49" t="s">
        <v>560</v>
      </c>
    </row>
    <row r="94" spans="1:14" hidden="1" x14ac:dyDescent="0.3">
      <c r="A94" s="59">
        <v>24</v>
      </c>
      <c r="B94" s="567"/>
      <c r="C94" s="578"/>
      <c r="D94" s="3" t="s">
        <v>553</v>
      </c>
      <c r="E94" s="4" t="s">
        <v>552</v>
      </c>
      <c r="F94" s="4" t="s">
        <v>524</v>
      </c>
      <c r="G94" s="3" t="s">
        <v>554</v>
      </c>
      <c r="H94" s="3" t="s">
        <v>555</v>
      </c>
      <c r="I94" s="9" t="s">
        <v>556</v>
      </c>
      <c r="J94" s="14" t="s">
        <v>557</v>
      </c>
      <c r="K94" s="3" t="s">
        <v>558</v>
      </c>
      <c r="L94" s="6" t="s">
        <v>506</v>
      </c>
      <c r="M94" s="64">
        <v>750000</v>
      </c>
      <c r="N94" s="49" t="s">
        <v>562</v>
      </c>
    </row>
    <row r="95" spans="1:14" hidden="1" x14ac:dyDescent="0.3">
      <c r="A95" s="59">
        <v>24</v>
      </c>
      <c r="B95" s="567"/>
      <c r="C95" s="551"/>
      <c r="D95" s="3" t="s">
        <v>233</v>
      </c>
      <c r="E95" s="4" t="s">
        <v>545</v>
      </c>
      <c r="F95" s="3" t="s">
        <v>546</v>
      </c>
      <c r="G95" s="3" t="s">
        <v>549</v>
      </c>
      <c r="H95" s="3" t="s">
        <v>547</v>
      </c>
      <c r="I95" s="9" t="s">
        <v>551</v>
      </c>
      <c r="J95" s="14"/>
      <c r="K95" s="3" t="s">
        <v>550</v>
      </c>
      <c r="L95" s="6" t="s">
        <v>544</v>
      </c>
      <c r="M95" s="64">
        <v>750000</v>
      </c>
      <c r="N95" s="49" t="s">
        <v>563</v>
      </c>
    </row>
    <row r="96" spans="1:14" ht="27" hidden="1" x14ac:dyDescent="0.3">
      <c r="A96" s="59">
        <v>24</v>
      </c>
      <c r="B96" s="567"/>
      <c r="C96" s="16">
        <f>C93+1</f>
        <v>45090</v>
      </c>
      <c r="D96" s="3" t="s">
        <v>21</v>
      </c>
      <c r="E96" s="4" t="s">
        <v>17</v>
      </c>
      <c r="F96" s="4" t="s">
        <v>541</v>
      </c>
      <c r="G96" s="3" t="s">
        <v>492</v>
      </c>
      <c r="H96" s="3" t="s">
        <v>493</v>
      </c>
      <c r="I96" s="9" t="s">
        <v>494</v>
      </c>
      <c r="J96" s="14" t="s">
        <v>542</v>
      </c>
      <c r="K96" s="3" t="s">
        <v>543</v>
      </c>
      <c r="L96" s="6" t="s">
        <v>559</v>
      </c>
      <c r="M96" s="64">
        <v>250000</v>
      </c>
      <c r="N96" s="49" t="s">
        <v>560</v>
      </c>
    </row>
    <row r="97" spans="1:15" hidden="1" x14ac:dyDescent="0.3">
      <c r="A97" s="59">
        <v>24</v>
      </c>
      <c r="B97" s="553"/>
      <c r="C97" s="16">
        <v>45092</v>
      </c>
      <c r="D97" s="3" t="s">
        <v>529</v>
      </c>
      <c r="E97" s="4" t="s">
        <v>534</v>
      </c>
      <c r="F97" s="3" t="s">
        <v>536</v>
      </c>
      <c r="G97" s="3">
        <v>4204</v>
      </c>
      <c r="H97" s="3" t="s">
        <v>535</v>
      </c>
      <c r="I97" s="9" t="s">
        <v>539</v>
      </c>
      <c r="J97" s="14"/>
      <c r="K97" s="3" t="s">
        <v>537</v>
      </c>
      <c r="L97" s="6" t="s">
        <v>538</v>
      </c>
      <c r="M97" s="64">
        <v>250000</v>
      </c>
      <c r="N97" s="49" t="s">
        <v>564</v>
      </c>
    </row>
    <row r="98" spans="1:15" hidden="1" x14ac:dyDescent="0.3">
      <c r="A98" s="59">
        <v>25</v>
      </c>
      <c r="B98" s="84" t="s">
        <v>586</v>
      </c>
      <c r="C98" s="16">
        <v>45094</v>
      </c>
      <c r="D98" s="85" t="s">
        <v>587</v>
      </c>
      <c r="E98" s="85" t="s">
        <v>588</v>
      </c>
      <c r="F98" s="101" t="s">
        <v>589</v>
      </c>
      <c r="G98" s="85" t="s">
        <v>590</v>
      </c>
      <c r="H98" s="85" t="s">
        <v>591</v>
      </c>
      <c r="I98" s="49" t="s">
        <v>592</v>
      </c>
      <c r="J98" s="49" t="s">
        <v>593</v>
      </c>
      <c r="K98" s="48" t="s">
        <v>595</v>
      </c>
      <c r="L98" s="102" t="s">
        <v>210</v>
      </c>
      <c r="M98" s="103">
        <v>1000000</v>
      </c>
      <c r="N98" s="85" t="s">
        <v>594</v>
      </c>
    </row>
    <row r="99" spans="1:15" ht="27" hidden="1" x14ac:dyDescent="0.3">
      <c r="A99" s="59">
        <v>25</v>
      </c>
      <c r="B99" s="552" t="s">
        <v>21</v>
      </c>
      <c r="C99" s="550">
        <v>45096</v>
      </c>
      <c r="D99" s="3" t="s">
        <v>530</v>
      </c>
      <c r="E99" s="4" t="s">
        <v>566</v>
      </c>
      <c r="F99" s="3" t="s">
        <v>548</v>
      </c>
      <c r="G99" s="3" t="s">
        <v>565</v>
      </c>
      <c r="H99" s="3" t="s">
        <v>567</v>
      </c>
      <c r="I99" s="107" t="s">
        <v>581</v>
      </c>
      <c r="J99" s="15" t="s">
        <v>527</v>
      </c>
      <c r="K99" s="35" t="s">
        <v>580</v>
      </c>
      <c r="L99" s="6" t="s">
        <v>568</v>
      </c>
      <c r="M99" s="98">
        <v>250000</v>
      </c>
      <c r="N99" s="49" t="s">
        <v>583</v>
      </c>
    </row>
    <row r="100" spans="1:15" hidden="1" x14ac:dyDescent="0.3">
      <c r="A100" s="59">
        <v>25</v>
      </c>
      <c r="B100" s="567"/>
      <c r="C100" s="551"/>
      <c r="D100" s="3" t="s">
        <v>21</v>
      </c>
      <c r="E100" s="4" t="s">
        <v>574</v>
      </c>
      <c r="F100" s="3" t="s">
        <v>575</v>
      </c>
      <c r="G100" s="3" t="s">
        <v>576</v>
      </c>
      <c r="H100" s="3" t="s">
        <v>577</v>
      </c>
      <c r="I100" s="5" t="s">
        <v>578</v>
      </c>
      <c r="J100" s="14"/>
      <c r="K100" s="35" t="s">
        <v>579</v>
      </c>
      <c r="L100" s="61" t="s">
        <v>518</v>
      </c>
      <c r="M100" s="86">
        <v>900000</v>
      </c>
      <c r="N100" s="49" t="s">
        <v>584</v>
      </c>
    </row>
    <row r="101" spans="1:15" hidden="1" x14ac:dyDescent="0.3">
      <c r="A101" s="59">
        <v>25</v>
      </c>
      <c r="B101" s="567"/>
      <c r="C101" s="13">
        <v>45098</v>
      </c>
      <c r="D101" s="3" t="s">
        <v>530</v>
      </c>
      <c r="E101" s="4" t="s">
        <v>525</v>
      </c>
      <c r="F101" s="3" t="s">
        <v>546</v>
      </c>
      <c r="G101" s="3" t="s">
        <v>570</v>
      </c>
      <c r="H101" s="3" t="s">
        <v>571</v>
      </c>
      <c r="I101" s="5" t="s">
        <v>572</v>
      </c>
      <c r="J101" s="14"/>
      <c r="K101" s="35" t="s">
        <v>573</v>
      </c>
      <c r="L101" s="6" t="s">
        <v>69</v>
      </c>
      <c r="M101" s="86">
        <v>200000</v>
      </c>
      <c r="N101" s="49" t="s">
        <v>585</v>
      </c>
    </row>
    <row r="102" spans="1:15" ht="27" hidden="1" x14ac:dyDescent="0.3">
      <c r="A102" s="59">
        <v>25</v>
      </c>
      <c r="B102" s="567"/>
      <c r="C102" s="16">
        <v>45100</v>
      </c>
      <c r="D102" s="3" t="s">
        <v>530</v>
      </c>
      <c r="E102" s="4" t="s">
        <v>545</v>
      </c>
      <c r="F102" s="3" t="s">
        <v>509</v>
      </c>
      <c r="G102" s="3">
        <v>7060</v>
      </c>
      <c r="H102" s="3" t="s">
        <v>569</v>
      </c>
      <c r="I102" s="5" t="s">
        <v>582</v>
      </c>
      <c r="J102" s="14" t="s">
        <v>527</v>
      </c>
      <c r="K102" s="35" t="s">
        <v>537</v>
      </c>
      <c r="L102" s="6" t="s">
        <v>538</v>
      </c>
      <c r="M102" s="86">
        <v>250000</v>
      </c>
      <c r="N102" s="49" t="s">
        <v>585</v>
      </c>
    </row>
    <row r="103" spans="1:15" ht="27" hidden="1" x14ac:dyDescent="0.3">
      <c r="A103" s="59">
        <v>25</v>
      </c>
      <c r="B103" s="553"/>
      <c r="C103" s="16">
        <v>45101</v>
      </c>
      <c r="D103" s="3" t="s">
        <v>530</v>
      </c>
      <c r="E103" s="4" t="s">
        <v>545</v>
      </c>
      <c r="F103" s="3" t="s">
        <v>509</v>
      </c>
      <c r="G103" s="3">
        <v>7060</v>
      </c>
      <c r="H103" s="3" t="s">
        <v>569</v>
      </c>
      <c r="I103" s="9" t="s">
        <v>582</v>
      </c>
      <c r="J103" s="14" t="s">
        <v>510</v>
      </c>
      <c r="K103" s="3" t="s">
        <v>537</v>
      </c>
      <c r="L103" s="6" t="s">
        <v>538</v>
      </c>
      <c r="M103" s="64">
        <v>250000</v>
      </c>
      <c r="N103" s="49" t="s">
        <v>585</v>
      </c>
    </row>
    <row r="104" spans="1:15" hidden="1" x14ac:dyDescent="0.3">
      <c r="A104" s="59">
        <v>26</v>
      </c>
      <c r="B104" s="552" t="s">
        <v>124</v>
      </c>
      <c r="C104" s="16">
        <v>45101</v>
      </c>
      <c r="D104" s="85" t="s">
        <v>49</v>
      </c>
      <c r="E104" s="85" t="s">
        <v>152</v>
      </c>
      <c r="F104" s="101" t="s">
        <v>124</v>
      </c>
      <c r="G104" s="85" t="s">
        <v>606</v>
      </c>
      <c r="H104" s="85" t="s">
        <v>607</v>
      </c>
      <c r="I104" s="49" t="s">
        <v>605</v>
      </c>
      <c r="J104" s="49" t="s">
        <v>96</v>
      </c>
      <c r="K104" s="48" t="s">
        <v>134</v>
      </c>
      <c r="L104" s="102" t="s">
        <v>210</v>
      </c>
      <c r="M104" s="103">
        <v>500000</v>
      </c>
      <c r="N104" s="85" t="s">
        <v>611</v>
      </c>
    </row>
    <row r="105" spans="1:15" hidden="1" x14ac:dyDescent="0.3">
      <c r="A105" s="59">
        <v>26</v>
      </c>
      <c r="B105" s="567"/>
      <c r="C105" s="37">
        <v>45103</v>
      </c>
      <c r="D105" s="85" t="s">
        <v>49</v>
      </c>
      <c r="E105" s="85" t="s">
        <v>152</v>
      </c>
      <c r="F105" s="101" t="s">
        <v>124</v>
      </c>
      <c r="G105" s="85" t="s">
        <v>606</v>
      </c>
      <c r="H105" s="85" t="s">
        <v>607</v>
      </c>
      <c r="I105" s="49" t="s">
        <v>605</v>
      </c>
      <c r="J105" s="49" t="s">
        <v>96</v>
      </c>
      <c r="K105" s="48" t="s">
        <v>134</v>
      </c>
      <c r="L105" s="102" t="s">
        <v>210</v>
      </c>
      <c r="M105" s="103">
        <v>500000</v>
      </c>
      <c r="N105" s="85" t="s">
        <v>611</v>
      </c>
    </row>
    <row r="106" spans="1:15" hidden="1" x14ac:dyDescent="0.3">
      <c r="A106" s="59">
        <v>26</v>
      </c>
      <c r="B106" s="567"/>
      <c r="C106" s="37">
        <v>45105</v>
      </c>
      <c r="D106" s="85" t="s">
        <v>49</v>
      </c>
      <c r="E106" s="85" t="s">
        <v>152</v>
      </c>
      <c r="F106" s="101" t="s">
        <v>124</v>
      </c>
      <c r="G106" s="85">
        <v>4208</v>
      </c>
      <c r="H106" s="85" t="s">
        <v>608</v>
      </c>
      <c r="I106" s="84" t="s">
        <v>609</v>
      </c>
      <c r="J106" s="49" t="s">
        <v>610</v>
      </c>
      <c r="K106" s="48" t="s">
        <v>134</v>
      </c>
      <c r="L106" s="102" t="s">
        <v>210</v>
      </c>
      <c r="M106" s="103">
        <v>500000</v>
      </c>
      <c r="N106" s="85" t="s">
        <v>612</v>
      </c>
    </row>
    <row r="107" spans="1:15" hidden="1" x14ac:dyDescent="0.3">
      <c r="A107" s="59">
        <v>26</v>
      </c>
      <c r="B107" s="553"/>
      <c r="C107" s="37">
        <v>45106</v>
      </c>
      <c r="D107" s="85" t="s">
        <v>49</v>
      </c>
      <c r="E107" s="85" t="s">
        <v>152</v>
      </c>
      <c r="F107" s="101" t="s">
        <v>124</v>
      </c>
      <c r="G107" s="85">
        <v>4208</v>
      </c>
      <c r="H107" s="85" t="s">
        <v>608</v>
      </c>
      <c r="I107" s="84" t="s">
        <v>609</v>
      </c>
      <c r="J107" s="49" t="s">
        <v>610</v>
      </c>
      <c r="K107" s="48" t="s">
        <v>134</v>
      </c>
      <c r="L107" s="102" t="s">
        <v>210</v>
      </c>
      <c r="M107" s="103">
        <v>500000</v>
      </c>
      <c r="N107" s="85" t="s">
        <v>612</v>
      </c>
    </row>
    <row r="108" spans="1:15" hidden="1" x14ac:dyDescent="0.3">
      <c r="A108" s="59">
        <v>26</v>
      </c>
      <c r="B108" s="552" t="s">
        <v>21</v>
      </c>
      <c r="C108" s="16">
        <v>45103</v>
      </c>
      <c r="D108" s="3" t="s">
        <v>598</v>
      </c>
      <c r="E108" s="4" t="s">
        <v>596</v>
      </c>
      <c r="F108" s="3" t="s">
        <v>599</v>
      </c>
      <c r="G108" s="3">
        <v>7060</v>
      </c>
      <c r="H108" s="3" t="s">
        <v>600</v>
      </c>
      <c r="I108" s="9" t="s">
        <v>601</v>
      </c>
      <c r="J108" s="14" t="s">
        <v>602</v>
      </c>
      <c r="K108" s="3" t="s">
        <v>603</v>
      </c>
      <c r="L108" s="6" t="s">
        <v>604</v>
      </c>
      <c r="M108" s="103">
        <v>500000</v>
      </c>
      <c r="N108" s="49" t="s">
        <v>613</v>
      </c>
      <c r="O108" t="s">
        <v>632</v>
      </c>
    </row>
    <row r="109" spans="1:15" hidden="1" x14ac:dyDescent="0.3">
      <c r="A109" s="59">
        <v>26</v>
      </c>
      <c r="B109" s="553"/>
      <c r="C109" s="16">
        <v>45104</v>
      </c>
      <c r="D109" s="3" t="s">
        <v>598</v>
      </c>
      <c r="E109" s="4" t="s">
        <v>596</v>
      </c>
      <c r="F109" s="3" t="s">
        <v>599</v>
      </c>
      <c r="G109" s="3">
        <v>7060</v>
      </c>
      <c r="H109" s="3" t="s">
        <v>600</v>
      </c>
      <c r="I109" s="9" t="s">
        <v>601</v>
      </c>
      <c r="J109" s="14" t="s">
        <v>602</v>
      </c>
      <c r="K109" s="3" t="s">
        <v>603</v>
      </c>
      <c r="L109" s="6" t="s">
        <v>604</v>
      </c>
      <c r="M109" s="103">
        <v>500000</v>
      </c>
      <c r="N109" s="49" t="s">
        <v>614</v>
      </c>
      <c r="O109" t="s">
        <v>632</v>
      </c>
    </row>
    <row r="110" spans="1:15" ht="25.5" hidden="1" x14ac:dyDescent="0.3">
      <c r="A110" s="59">
        <v>27</v>
      </c>
      <c r="B110" s="568" t="s">
        <v>660</v>
      </c>
      <c r="C110" s="568" t="s">
        <v>661</v>
      </c>
      <c r="D110" s="68" t="s">
        <v>307</v>
      </c>
      <c r="E110" s="68" t="s">
        <v>323</v>
      </c>
      <c r="F110" s="68" t="s">
        <v>662</v>
      </c>
      <c r="G110" s="68" t="s">
        <v>663</v>
      </c>
      <c r="H110" s="68" t="s">
        <v>664</v>
      </c>
      <c r="I110" s="110" t="s">
        <v>665</v>
      </c>
      <c r="J110" s="68" t="s">
        <v>666</v>
      </c>
      <c r="K110" s="76" t="s">
        <v>657</v>
      </c>
      <c r="L110" s="68" t="s">
        <v>325</v>
      </c>
      <c r="M110" s="116" t="s">
        <v>460</v>
      </c>
      <c r="N110" s="68" t="s">
        <v>667</v>
      </c>
    </row>
    <row r="111" spans="1:15" ht="25.5" hidden="1" x14ac:dyDescent="0.3">
      <c r="A111" s="59">
        <v>27</v>
      </c>
      <c r="B111" s="569"/>
      <c r="C111" s="601"/>
      <c r="D111" s="68" t="s">
        <v>307</v>
      </c>
      <c r="E111" s="68" t="s">
        <v>323</v>
      </c>
      <c r="F111" s="68" t="s">
        <v>668</v>
      </c>
      <c r="G111" s="68" t="s">
        <v>669</v>
      </c>
      <c r="H111" s="68" t="s">
        <v>642</v>
      </c>
      <c r="I111" s="123" t="s">
        <v>670</v>
      </c>
      <c r="J111" s="68" t="s">
        <v>351</v>
      </c>
      <c r="K111" s="70" t="s">
        <v>657</v>
      </c>
      <c r="L111" s="68" t="s">
        <v>325</v>
      </c>
      <c r="M111" s="116" t="s">
        <v>460</v>
      </c>
      <c r="N111" s="68" t="s">
        <v>427</v>
      </c>
    </row>
    <row r="112" spans="1:15" ht="25.5" hidden="1" x14ac:dyDescent="0.3">
      <c r="A112" s="59">
        <v>27</v>
      </c>
      <c r="B112" s="569"/>
      <c r="C112" s="602" t="s">
        <v>671</v>
      </c>
      <c r="D112" s="68" t="s">
        <v>307</v>
      </c>
      <c r="E112" s="68" t="s">
        <v>323</v>
      </c>
      <c r="F112" s="68" t="s">
        <v>668</v>
      </c>
      <c r="G112" s="68" t="s">
        <v>669</v>
      </c>
      <c r="H112" s="68" t="s">
        <v>642</v>
      </c>
      <c r="I112" s="123" t="s">
        <v>670</v>
      </c>
      <c r="J112" s="68" t="s">
        <v>351</v>
      </c>
      <c r="K112" s="70" t="s">
        <v>657</v>
      </c>
      <c r="L112" s="68" t="s">
        <v>325</v>
      </c>
      <c r="M112" s="116" t="s">
        <v>460</v>
      </c>
      <c r="N112" s="68" t="s">
        <v>427</v>
      </c>
    </row>
    <row r="113" spans="1:14" ht="25.5" hidden="1" x14ac:dyDescent="0.3">
      <c r="A113" s="59">
        <v>27</v>
      </c>
      <c r="B113" s="601"/>
      <c r="C113" s="601"/>
      <c r="D113" s="68" t="s">
        <v>307</v>
      </c>
      <c r="E113" s="68" t="s">
        <v>323</v>
      </c>
      <c r="F113" s="68" t="s">
        <v>653</v>
      </c>
      <c r="G113" s="68">
        <v>4209</v>
      </c>
      <c r="H113" s="68" t="s">
        <v>642</v>
      </c>
      <c r="I113" s="112" t="s">
        <v>665</v>
      </c>
      <c r="J113" s="68" t="s">
        <v>666</v>
      </c>
      <c r="K113" s="70" t="s">
        <v>657</v>
      </c>
      <c r="L113" s="68" t="s">
        <v>325</v>
      </c>
      <c r="M113" s="116" t="s">
        <v>460</v>
      </c>
      <c r="N113" s="68" t="s">
        <v>667</v>
      </c>
    </row>
    <row r="114" spans="1:14" ht="25.5" hidden="1" x14ac:dyDescent="0.3">
      <c r="A114" s="59">
        <v>27</v>
      </c>
      <c r="B114" s="602" t="s">
        <v>312</v>
      </c>
      <c r="C114" s="111" t="s">
        <v>671</v>
      </c>
      <c r="D114" s="68" t="s">
        <v>312</v>
      </c>
      <c r="E114" s="68" t="s">
        <v>321</v>
      </c>
      <c r="F114" s="68" t="s">
        <v>338</v>
      </c>
      <c r="G114" s="68" t="s">
        <v>355</v>
      </c>
      <c r="H114" s="68" t="s">
        <v>349</v>
      </c>
      <c r="I114" s="112" t="s">
        <v>672</v>
      </c>
      <c r="J114" s="68" t="s">
        <v>640</v>
      </c>
      <c r="K114" s="70" t="s">
        <v>673</v>
      </c>
      <c r="L114" s="68" t="s">
        <v>310</v>
      </c>
      <c r="M114" s="116" t="s">
        <v>674</v>
      </c>
      <c r="N114" s="68" t="s">
        <v>341</v>
      </c>
    </row>
    <row r="115" spans="1:14" ht="25.5" hidden="1" x14ac:dyDescent="0.3">
      <c r="A115" s="59">
        <v>27</v>
      </c>
      <c r="B115" s="569"/>
      <c r="C115" s="568" t="s">
        <v>675</v>
      </c>
      <c r="D115" s="68" t="s">
        <v>312</v>
      </c>
      <c r="E115" s="68" t="s">
        <v>321</v>
      </c>
      <c r="F115" s="68" t="s">
        <v>338</v>
      </c>
      <c r="G115" s="68" t="s">
        <v>355</v>
      </c>
      <c r="H115" s="68" t="s">
        <v>349</v>
      </c>
      <c r="I115" s="112" t="s">
        <v>676</v>
      </c>
      <c r="J115" s="68"/>
      <c r="K115" s="70" t="s">
        <v>657</v>
      </c>
      <c r="L115" s="68" t="s">
        <v>310</v>
      </c>
      <c r="M115" s="116" t="s">
        <v>460</v>
      </c>
      <c r="N115" s="68" t="s">
        <v>341</v>
      </c>
    </row>
    <row r="116" spans="1:14" ht="25.5" hidden="1" x14ac:dyDescent="0.3">
      <c r="A116" s="59">
        <v>27</v>
      </c>
      <c r="B116" s="570"/>
      <c r="C116" s="601"/>
      <c r="D116" s="68" t="s">
        <v>312</v>
      </c>
      <c r="E116" s="68" t="s">
        <v>677</v>
      </c>
      <c r="F116" s="68" t="s">
        <v>678</v>
      </c>
      <c r="G116" s="68" t="s">
        <v>679</v>
      </c>
      <c r="H116" s="68" t="s">
        <v>680</v>
      </c>
      <c r="I116" s="112" t="s">
        <v>681</v>
      </c>
      <c r="J116" s="68" t="s">
        <v>640</v>
      </c>
      <c r="K116" s="70" t="s">
        <v>682</v>
      </c>
      <c r="L116" s="68" t="s">
        <v>310</v>
      </c>
      <c r="M116" s="116" t="s">
        <v>683</v>
      </c>
      <c r="N116" s="68" t="s">
        <v>684</v>
      </c>
    </row>
    <row r="117" spans="1:14" ht="16.5" hidden="1" customHeight="1" x14ac:dyDescent="0.3">
      <c r="A117" s="109">
        <v>28</v>
      </c>
      <c r="B117" s="552" t="s">
        <v>20</v>
      </c>
      <c r="C117" s="609" t="s">
        <v>646</v>
      </c>
      <c r="D117" s="3" t="s">
        <v>19</v>
      </c>
      <c r="E117" s="4" t="s">
        <v>25</v>
      </c>
      <c r="F117" s="4" t="s">
        <v>624</v>
      </c>
      <c r="G117" s="4" t="s">
        <v>621</v>
      </c>
      <c r="H117" s="3" t="s">
        <v>103</v>
      </c>
      <c r="I117" s="5" t="s">
        <v>622</v>
      </c>
      <c r="J117" s="558" t="s">
        <v>169</v>
      </c>
      <c r="K117" s="571" t="s">
        <v>647</v>
      </c>
      <c r="L117" s="61" t="s">
        <v>210</v>
      </c>
      <c r="M117" s="604">
        <f>250000*5</f>
        <v>1250000</v>
      </c>
      <c r="N117" s="552" t="s">
        <v>122</v>
      </c>
    </row>
    <row r="118" spans="1:14" hidden="1" x14ac:dyDescent="0.3">
      <c r="A118" s="109">
        <v>28</v>
      </c>
      <c r="B118" s="567"/>
      <c r="C118" s="578"/>
      <c r="D118" s="3" t="s">
        <v>19</v>
      </c>
      <c r="E118" s="4" t="s">
        <v>25</v>
      </c>
      <c r="F118" s="4" t="s">
        <v>654</v>
      </c>
      <c r="G118" s="4">
        <v>4209</v>
      </c>
      <c r="H118" s="3" t="s">
        <v>18</v>
      </c>
      <c r="I118" s="5" t="s">
        <v>622</v>
      </c>
      <c r="J118" s="611"/>
      <c r="K118" s="610"/>
      <c r="L118" s="61" t="s">
        <v>210</v>
      </c>
      <c r="M118" s="606"/>
      <c r="N118" s="567"/>
    </row>
    <row r="119" spans="1:14" hidden="1" x14ac:dyDescent="0.3">
      <c r="A119" s="109">
        <v>28</v>
      </c>
      <c r="B119" s="567"/>
      <c r="C119" s="578"/>
      <c r="D119" s="3" t="s">
        <v>19</v>
      </c>
      <c r="E119" s="4" t="s">
        <v>25</v>
      </c>
      <c r="F119" s="4" t="s">
        <v>645</v>
      </c>
      <c r="G119" s="4">
        <v>2584</v>
      </c>
      <c r="H119" s="3" t="s">
        <v>18</v>
      </c>
      <c r="I119" s="5" t="s">
        <v>622</v>
      </c>
      <c r="J119" s="559"/>
      <c r="K119" s="572"/>
      <c r="L119" s="61" t="s">
        <v>210</v>
      </c>
      <c r="M119" s="605"/>
      <c r="N119" s="553"/>
    </row>
    <row r="120" spans="1:14" hidden="1" x14ac:dyDescent="0.3">
      <c r="A120" s="109">
        <v>28</v>
      </c>
      <c r="B120" s="553"/>
      <c r="C120" s="551"/>
      <c r="D120" s="3" t="s">
        <v>19</v>
      </c>
      <c r="E120" s="4" t="s">
        <v>652</v>
      </c>
      <c r="F120" s="4" t="s">
        <v>645</v>
      </c>
      <c r="G120" s="4">
        <v>2585</v>
      </c>
      <c r="H120" s="3" t="s">
        <v>18</v>
      </c>
      <c r="I120" s="124" t="s">
        <v>655</v>
      </c>
      <c r="J120" s="83" t="s">
        <v>656</v>
      </c>
      <c r="K120" s="143" t="s">
        <v>658</v>
      </c>
      <c r="L120" s="61" t="s">
        <v>210</v>
      </c>
      <c r="M120" s="108">
        <v>500000</v>
      </c>
      <c r="N120" s="85" t="s">
        <v>659</v>
      </c>
    </row>
    <row r="121" spans="1:14" ht="40.5" hidden="1" x14ac:dyDescent="0.3">
      <c r="A121" s="59">
        <v>28</v>
      </c>
      <c r="B121" s="49" t="s">
        <v>24</v>
      </c>
      <c r="C121" s="11" t="s">
        <v>648</v>
      </c>
      <c r="D121" s="3" t="s">
        <v>635</v>
      </c>
      <c r="E121" s="4" t="s">
        <v>636</v>
      </c>
      <c r="F121" s="3" t="s">
        <v>637</v>
      </c>
      <c r="G121" s="3" t="s">
        <v>638</v>
      </c>
      <c r="H121" s="3" t="s">
        <v>639</v>
      </c>
      <c r="I121" s="9" t="s">
        <v>644</v>
      </c>
      <c r="J121" s="14" t="s">
        <v>641</v>
      </c>
      <c r="K121" s="3" t="s">
        <v>649</v>
      </c>
      <c r="L121" s="6" t="s">
        <v>15</v>
      </c>
      <c r="M121" s="103">
        <f>250000*4</f>
        <v>1000000</v>
      </c>
      <c r="N121" s="49" t="s">
        <v>650</v>
      </c>
    </row>
    <row r="122" spans="1:14" ht="16.5" hidden="1" customHeight="1" x14ac:dyDescent="0.3">
      <c r="A122" s="59">
        <v>29</v>
      </c>
      <c r="B122" s="568" t="s">
        <v>308</v>
      </c>
      <c r="C122" s="568" t="s">
        <v>705</v>
      </c>
      <c r="D122" s="118" t="s">
        <v>307</v>
      </c>
      <c r="E122" s="118" t="s">
        <v>323</v>
      </c>
      <c r="F122" s="118" t="s">
        <v>653</v>
      </c>
      <c r="G122" s="118">
        <v>4209</v>
      </c>
      <c r="H122" s="118" t="s">
        <v>642</v>
      </c>
      <c r="I122" s="119" t="s">
        <v>706</v>
      </c>
      <c r="J122" s="118" t="s">
        <v>704</v>
      </c>
      <c r="K122" s="96" t="s">
        <v>707</v>
      </c>
      <c r="L122" s="118" t="s">
        <v>325</v>
      </c>
      <c r="M122" s="118" t="s">
        <v>460</v>
      </c>
      <c r="N122" s="118" t="s">
        <v>708</v>
      </c>
    </row>
    <row r="123" spans="1:14" ht="16.5" hidden="1" customHeight="1" x14ac:dyDescent="0.3">
      <c r="A123" s="59">
        <v>29</v>
      </c>
      <c r="B123" s="569"/>
      <c r="C123" s="569"/>
      <c r="D123" s="118" t="s">
        <v>307</v>
      </c>
      <c r="E123" s="118" t="s">
        <v>323</v>
      </c>
      <c r="F123" s="118" t="s">
        <v>692</v>
      </c>
      <c r="G123" s="118" t="s">
        <v>691</v>
      </c>
      <c r="H123" s="118" t="s">
        <v>664</v>
      </c>
      <c r="I123" s="119" t="s">
        <v>665</v>
      </c>
      <c r="J123" s="568" t="s">
        <v>666</v>
      </c>
      <c r="K123" s="575" t="s">
        <v>709</v>
      </c>
      <c r="L123" s="118" t="s">
        <v>325</v>
      </c>
      <c r="M123" s="568" t="s">
        <v>710</v>
      </c>
      <c r="N123" s="118"/>
    </row>
    <row r="124" spans="1:14" hidden="1" x14ac:dyDescent="0.3">
      <c r="A124" s="59">
        <v>29</v>
      </c>
      <c r="B124" s="569"/>
      <c r="C124" s="569"/>
      <c r="D124" s="118" t="s">
        <v>307</v>
      </c>
      <c r="E124" s="118" t="s">
        <v>323</v>
      </c>
      <c r="F124" s="118" t="s">
        <v>653</v>
      </c>
      <c r="G124" s="118">
        <v>4209</v>
      </c>
      <c r="H124" s="118" t="s">
        <v>642</v>
      </c>
      <c r="I124" s="119" t="s">
        <v>665</v>
      </c>
      <c r="J124" s="569"/>
      <c r="K124" s="576"/>
      <c r="L124" s="118" t="s">
        <v>325</v>
      </c>
      <c r="M124" s="569"/>
      <c r="N124" s="118"/>
    </row>
    <row r="125" spans="1:14" hidden="1" x14ac:dyDescent="0.3">
      <c r="A125" s="59">
        <v>29</v>
      </c>
      <c r="B125" s="569"/>
      <c r="C125" s="569"/>
      <c r="D125" s="118" t="s">
        <v>307</v>
      </c>
      <c r="E125" s="118" t="s">
        <v>323</v>
      </c>
      <c r="F125" s="118" t="s">
        <v>711</v>
      </c>
      <c r="G125" s="118">
        <v>2584</v>
      </c>
      <c r="H125" s="118" t="s">
        <v>642</v>
      </c>
      <c r="I125" s="119" t="s">
        <v>693</v>
      </c>
      <c r="J125" s="570"/>
      <c r="K125" s="577"/>
      <c r="L125" s="118" t="s">
        <v>325</v>
      </c>
      <c r="M125" s="570"/>
      <c r="N125" s="118"/>
    </row>
    <row r="126" spans="1:14" hidden="1" x14ac:dyDescent="0.3">
      <c r="A126" s="59">
        <v>29</v>
      </c>
      <c r="B126" s="570"/>
      <c r="C126" s="570"/>
      <c r="D126" s="118" t="s">
        <v>307</v>
      </c>
      <c r="E126" s="118" t="s">
        <v>323</v>
      </c>
      <c r="F126" s="118" t="s">
        <v>711</v>
      </c>
      <c r="G126" s="118">
        <v>2579</v>
      </c>
      <c r="H126" s="118" t="s">
        <v>369</v>
      </c>
      <c r="I126" s="125" t="s">
        <v>712</v>
      </c>
      <c r="J126" s="118" t="s">
        <v>351</v>
      </c>
      <c r="K126" s="96" t="s">
        <v>657</v>
      </c>
      <c r="L126" s="118" t="s">
        <v>325</v>
      </c>
      <c r="M126" s="118" t="s">
        <v>460</v>
      </c>
      <c r="N126" s="118" t="s">
        <v>427</v>
      </c>
    </row>
    <row r="127" spans="1:14" hidden="1" x14ac:dyDescent="0.3">
      <c r="A127" s="59">
        <v>29</v>
      </c>
      <c r="B127" s="568" t="s">
        <v>312</v>
      </c>
      <c r="C127" s="118" t="s">
        <v>713</v>
      </c>
      <c r="D127" s="118" t="s">
        <v>702</v>
      </c>
      <c r="E127" s="118" t="s">
        <v>321</v>
      </c>
      <c r="F127" s="118" t="s">
        <v>338</v>
      </c>
      <c r="G127" s="118" t="s">
        <v>355</v>
      </c>
      <c r="H127" s="118" t="s">
        <v>703</v>
      </c>
      <c r="I127" s="119" t="s">
        <v>714</v>
      </c>
      <c r="J127" s="118" t="s">
        <v>640</v>
      </c>
      <c r="K127" s="96" t="s">
        <v>715</v>
      </c>
      <c r="L127" s="118" t="s">
        <v>310</v>
      </c>
      <c r="M127" s="118" t="s">
        <v>674</v>
      </c>
      <c r="N127" s="118" t="s">
        <v>698</v>
      </c>
    </row>
    <row r="128" spans="1:14" hidden="1" x14ac:dyDescent="0.3">
      <c r="A128" s="59">
        <v>29</v>
      </c>
      <c r="B128" s="569"/>
      <c r="C128" s="118" t="s">
        <v>713</v>
      </c>
      <c r="D128" s="118" t="s">
        <v>702</v>
      </c>
      <c r="E128" s="118" t="s">
        <v>321</v>
      </c>
      <c r="F128" s="118" t="s">
        <v>411</v>
      </c>
      <c r="G128" s="118" t="s">
        <v>405</v>
      </c>
      <c r="H128" s="118" t="s">
        <v>407</v>
      </c>
      <c r="I128" s="119" t="s">
        <v>716</v>
      </c>
      <c r="J128" s="118"/>
      <c r="K128" s="96" t="s">
        <v>329</v>
      </c>
      <c r="L128" s="118" t="s">
        <v>310</v>
      </c>
      <c r="M128" s="118" t="s">
        <v>460</v>
      </c>
      <c r="N128" s="118" t="s">
        <v>717</v>
      </c>
    </row>
    <row r="129" spans="1:14" hidden="1" x14ac:dyDescent="0.3">
      <c r="A129" s="59">
        <v>29</v>
      </c>
      <c r="B129" s="569"/>
      <c r="C129" s="118" t="s">
        <v>718</v>
      </c>
      <c r="D129" s="118" t="s">
        <v>702</v>
      </c>
      <c r="E129" s="118" t="s">
        <v>321</v>
      </c>
      <c r="F129" s="118" t="s">
        <v>372</v>
      </c>
      <c r="G129" s="118">
        <v>7060</v>
      </c>
      <c r="H129" s="118" t="s">
        <v>719</v>
      </c>
      <c r="I129" s="119" t="s">
        <v>689</v>
      </c>
      <c r="J129" s="118" t="s">
        <v>640</v>
      </c>
      <c r="K129" s="96" t="s">
        <v>700</v>
      </c>
      <c r="L129" s="118" t="s">
        <v>310</v>
      </c>
      <c r="M129" s="118" t="s">
        <v>674</v>
      </c>
      <c r="N129" s="118" t="s">
        <v>717</v>
      </c>
    </row>
    <row r="130" spans="1:14" hidden="1" x14ac:dyDescent="0.3">
      <c r="A130" s="59">
        <v>29</v>
      </c>
      <c r="B130" s="569"/>
      <c r="C130" s="568" t="s">
        <v>720</v>
      </c>
      <c r="D130" s="118" t="s">
        <v>702</v>
      </c>
      <c r="E130" s="118" t="s">
        <v>321</v>
      </c>
      <c r="F130" s="118" t="s">
        <v>372</v>
      </c>
      <c r="G130" s="118">
        <v>7060</v>
      </c>
      <c r="H130" s="118" t="s">
        <v>719</v>
      </c>
      <c r="I130" s="119" t="s">
        <v>721</v>
      </c>
      <c r="J130" s="118" t="s">
        <v>640</v>
      </c>
      <c r="K130" s="96" t="s">
        <v>694</v>
      </c>
      <c r="L130" s="118" t="s">
        <v>310</v>
      </c>
      <c r="M130" s="118" t="s">
        <v>460</v>
      </c>
      <c r="N130" s="118" t="s">
        <v>717</v>
      </c>
    </row>
    <row r="131" spans="1:14" hidden="1" x14ac:dyDescent="0.3">
      <c r="A131" s="59">
        <v>29</v>
      </c>
      <c r="B131" s="569"/>
      <c r="C131" s="570"/>
      <c r="D131" s="118" t="s">
        <v>312</v>
      </c>
      <c r="E131" s="118" t="s">
        <v>677</v>
      </c>
      <c r="F131" s="118" t="s">
        <v>722</v>
      </c>
      <c r="G131" s="118" t="s">
        <v>723</v>
      </c>
      <c r="H131" s="118" t="s">
        <v>349</v>
      </c>
      <c r="I131" s="119" t="s">
        <v>724</v>
      </c>
      <c r="J131" s="118"/>
      <c r="K131" s="96" t="s">
        <v>700</v>
      </c>
      <c r="L131" s="118" t="s">
        <v>310</v>
      </c>
      <c r="M131" s="118" t="s">
        <v>674</v>
      </c>
      <c r="N131" s="118" t="s">
        <v>725</v>
      </c>
    </row>
    <row r="132" spans="1:14" hidden="1" x14ac:dyDescent="0.3">
      <c r="A132" s="59">
        <v>29</v>
      </c>
      <c r="B132" s="569"/>
      <c r="C132" s="568" t="s">
        <v>726</v>
      </c>
      <c r="D132" s="118" t="s">
        <v>702</v>
      </c>
      <c r="E132" s="118" t="s">
        <v>321</v>
      </c>
      <c r="F132" s="118" t="s">
        <v>372</v>
      </c>
      <c r="G132" s="118">
        <v>7060</v>
      </c>
      <c r="H132" s="118" t="s">
        <v>719</v>
      </c>
      <c r="I132" s="119" t="s">
        <v>699</v>
      </c>
      <c r="J132" s="118" t="s">
        <v>640</v>
      </c>
      <c r="K132" s="96" t="s">
        <v>715</v>
      </c>
      <c r="L132" s="118" t="s">
        <v>310</v>
      </c>
      <c r="M132" s="118" t="s">
        <v>674</v>
      </c>
      <c r="N132" s="118" t="s">
        <v>699</v>
      </c>
    </row>
    <row r="133" spans="1:14" hidden="1" x14ac:dyDescent="0.3">
      <c r="A133" s="59">
        <v>29</v>
      </c>
      <c r="B133" s="569"/>
      <c r="C133" s="570"/>
      <c r="D133" s="118" t="s">
        <v>312</v>
      </c>
      <c r="E133" s="118" t="s">
        <v>321</v>
      </c>
      <c r="F133" s="118" t="s">
        <v>338</v>
      </c>
      <c r="G133" s="118" t="s">
        <v>334</v>
      </c>
      <c r="H133" s="118" t="s">
        <v>349</v>
      </c>
      <c r="I133" s="119" t="s">
        <v>727</v>
      </c>
      <c r="J133" s="118"/>
      <c r="K133" s="96" t="s">
        <v>707</v>
      </c>
      <c r="L133" s="118" t="s">
        <v>310</v>
      </c>
      <c r="M133" s="118" t="s">
        <v>460</v>
      </c>
      <c r="N133" s="118" t="s">
        <v>728</v>
      </c>
    </row>
    <row r="134" spans="1:14" ht="25.5" hidden="1" x14ac:dyDescent="0.3">
      <c r="A134" s="59">
        <v>29</v>
      </c>
      <c r="B134" s="570"/>
      <c r="C134" s="118" t="s">
        <v>729</v>
      </c>
      <c r="D134" s="118" t="s">
        <v>312</v>
      </c>
      <c r="E134" s="118" t="s">
        <v>677</v>
      </c>
      <c r="F134" s="118" t="s">
        <v>730</v>
      </c>
      <c r="G134" s="118" t="s">
        <v>731</v>
      </c>
      <c r="H134" s="118" t="s">
        <v>732</v>
      </c>
      <c r="I134" s="119" t="s">
        <v>690</v>
      </c>
      <c r="J134" s="118" t="s">
        <v>640</v>
      </c>
      <c r="K134" s="96" t="s">
        <v>733</v>
      </c>
      <c r="L134" s="118" t="s">
        <v>310</v>
      </c>
      <c r="M134" s="118" t="s">
        <v>361</v>
      </c>
      <c r="N134" s="118" t="s">
        <v>725</v>
      </c>
    </row>
    <row r="135" spans="1:14" ht="16.5" hidden="1" customHeight="1" x14ac:dyDescent="0.3">
      <c r="A135" s="59">
        <v>30</v>
      </c>
      <c r="B135" s="552" t="s">
        <v>620</v>
      </c>
      <c r="C135" s="550" t="s">
        <v>736</v>
      </c>
      <c r="D135" s="3" t="s">
        <v>19</v>
      </c>
      <c r="E135" s="4" t="s">
        <v>25</v>
      </c>
      <c r="F135" s="4" t="s">
        <v>624</v>
      </c>
      <c r="G135" s="4" t="s">
        <v>621</v>
      </c>
      <c r="H135" s="3" t="s">
        <v>103</v>
      </c>
      <c r="I135" s="5" t="s">
        <v>734</v>
      </c>
      <c r="J135" s="14" t="s">
        <v>95</v>
      </c>
      <c r="K135" s="3" t="s">
        <v>759</v>
      </c>
      <c r="L135" s="61" t="s">
        <v>69</v>
      </c>
      <c r="M135" s="103">
        <f>250000*2</f>
        <v>500000</v>
      </c>
      <c r="N135" s="49" t="s">
        <v>248</v>
      </c>
    </row>
    <row r="136" spans="1:14" hidden="1" x14ac:dyDescent="0.3">
      <c r="A136" s="59">
        <v>30</v>
      </c>
      <c r="B136" s="567"/>
      <c r="C136" s="578"/>
      <c r="D136" s="3" t="s">
        <v>19</v>
      </c>
      <c r="E136" s="4" t="s">
        <v>25</v>
      </c>
      <c r="F136" s="4" t="s">
        <v>389</v>
      </c>
      <c r="G136" s="4">
        <v>4209</v>
      </c>
      <c r="H136" s="3" t="s">
        <v>126</v>
      </c>
      <c r="I136" s="5" t="s">
        <v>734</v>
      </c>
      <c r="J136" s="14" t="s">
        <v>95</v>
      </c>
      <c r="K136" s="3" t="s">
        <v>686</v>
      </c>
      <c r="L136" s="61" t="s">
        <v>69</v>
      </c>
      <c r="M136" s="103">
        <f t="shared" ref="M136:M137" si="0">250000*2</f>
        <v>500000</v>
      </c>
      <c r="N136" s="49" t="s">
        <v>248</v>
      </c>
    </row>
    <row r="137" spans="1:14" hidden="1" x14ac:dyDescent="0.3">
      <c r="A137" s="59">
        <v>30</v>
      </c>
      <c r="B137" s="567"/>
      <c r="C137" s="578"/>
      <c r="D137" s="3" t="s">
        <v>19</v>
      </c>
      <c r="E137" s="4" t="s">
        <v>25</v>
      </c>
      <c r="F137" s="4" t="s">
        <v>212</v>
      </c>
      <c r="G137" s="4">
        <v>2584</v>
      </c>
      <c r="H137" s="3" t="s">
        <v>126</v>
      </c>
      <c r="I137" s="5" t="s">
        <v>734</v>
      </c>
      <c r="J137" s="14" t="s">
        <v>95</v>
      </c>
      <c r="K137" s="3" t="s">
        <v>686</v>
      </c>
      <c r="L137" s="61" t="s">
        <v>69</v>
      </c>
      <c r="M137" s="103">
        <f t="shared" si="0"/>
        <v>500000</v>
      </c>
      <c r="N137" s="49" t="s">
        <v>248</v>
      </c>
    </row>
    <row r="138" spans="1:14" hidden="1" x14ac:dyDescent="0.3">
      <c r="A138" s="59">
        <v>30</v>
      </c>
      <c r="B138" s="553"/>
      <c r="C138" s="551"/>
      <c r="D138" s="3" t="s">
        <v>19</v>
      </c>
      <c r="E138" s="4" t="s">
        <v>25</v>
      </c>
      <c r="F138" s="4" t="s">
        <v>212</v>
      </c>
      <c r="G138" s="4">
        <v>2579</v>
      </c>
      <c r="H138" s="3" t="s">
        <v>265</v>
      </c>
      <c r="I138" s="5" t="s">
        <v>735</v>
      </c>
      <c r="J138" s="14" t="s">
        <v>169</v>
      </c>
      <c r="K138" s="3" t="s">
        <v>647</v>
      </c>
      <c r="L138" s="61" t="s">
        <v>69</v>
      </c>
      <c r="M138" s="103">
        <f>250000*5</f>
        <v>1250000</v>
      </c>
      <c r="N138" s="49" t="s">
        <v>175</v>
      </c>
    </row>
    <row r="139" spans="1:14" hidden="1" x14ac:dyDescent="0.3">
      <c r="A139" s="59">
        <v>30</v>
      </c>
      <c r="B139" s="552" t="s">
        <v>598</v>
      </c>
      <c r="C139" s="38">
        <v>45132</v>
      </c>
      <c r="D139" s="3" t="s">
        <v>21</v>
      </c>
      <c r="E139" s="4" t="s">
        <v>17</v>
      </c>
      <c r="F139" s="3" t="s">
        <v>78</v>
      </c>
      <c r="G139" s="3" t="s">
        <v>504</v>
      </c>
      <c r="H139" s="3" t="s">
        <v>28</v>
      </c>
      <c r="I139" s="9" t="s">
        <v>701</v>
      </c>
      <c r="J139" s="14" t="s">
        <v>90</v>
      </c>
      <c r="K139" s="35" t="s">
        <v>686</v>
      </c>
      <c r="L139" s="6" t="s">
        <v>69</v>
      </c>
      <c r="M139" s="103">
        <f>250000*2</f>
        <v>500000</v>
      </c>
      <c r="N139" s="49" t="s">
        <v>128</v>
      </c>
    </row>
    <row r="140" spans="1:14" hidden="1" x14ac:dyDescent="0.3">
      <c r="A140" s="59">
        <v>30</v>
      </c>
      <c r="B140" s="567"/>
      <c r="C140" s="550">
        <v>45133</v>
      </c>
      <c r="D140" s="3" t="s">
        <v>21</v>
      </c>
      <c r="E140" s="4" t="s">
        <v>17</v>
      </c>
      <c r="F140" s="3" t="s">
        <v>78</v>
      </c>
      <c r="G140" s="3" t="s">
        <v>504</v>
      </c>
      <c r="H140" s="3" t="s">
        <v>28</v>
      </c>
      <c r="I140" s="9" t="s">
        <v>701</v>
      </c>
      <c r="J140" s="14" t="s">
        <v>90</v>
      </c>
      <c r="K140" s="3" t="s">
        <v>686</v>
      </c>
      <c r="L140" s="6" t="s">
        <v>69</v>
      </c>
      <c r="M140" s="103">
        <f t="shared" ref="M140" si="1">250000*2</f>
        <v>500000</v>
      </c>
      <c r="N140" s="49" t="s">
        <v>128</v>
      </c>
    </row>
    <row r="141" spans="1:14" hidden="1" x14ac:dyDescent="0.3">
      <c r="A141" s="59">
        <v>30</v>
      </c>
      <c r="B141" s="567"/>
      <c r="C141" s="551"/>
      <c r="D141" s="3" t="s">
        <v>139</v>
      </c>
      <c r="E141" s="4" t="s">
        <v>14</v>
      </c>
      <c r="F141" s="3" t="s">
        <v>108</v>
      </c>
      <c r="G141" s="3" t="s">
        <v>271</v>
      </c>
      <c r="H141" s="3" t="s">
        <v>67</v>
      </c>
      <c r="I141" s="9" t="s">
        <v>302</v>
      </c>
      <c r="J141" s="14"/>
      <c r="K141" s="3" t="s">
        <v>119</v>
      </c>
      <c r="L141" s="6" t="s">
        <v>69</v>
      </c>
      <c r="M141" s="103">
        <f>250000*2</f>
        <v>500000</v>
      </c>
      <c r="N141" s="552" t="s">
        <v>737</v>
      </c>
    </row>
    <row r="142" spans="1:14" hidden="1" x14ac:dyDescent="0.3">
      <c r="A142" s="59">
        <v>30</v>
      </c>
      <c r="B142" s="553"/>
      <c r="C142" s="11">
        <v>45135</v>
      </c>
      <c r="D142" s="3" t="s">
        <v>139</v>
      </c>
      <c r="E142" s="4" t="s">
        <v>14</v>
      </c>
      <c r="F142" s="3" t="s">
        <v>108</v>
      </c>
      <c r="G142" s="3" t="s">
        <v>271</v>
      </c>
      <c r="H142" s="3" t="s">
        <v>67</v>
      </c>
      <c r="I142" s="9" t="s">
        <v>738</v>
      </c>
      <c r="J142" s="14"/>
      <c r="K142" s="3" t="s">
        <v>119</v>
      </c>
      <c r="L142" s="6" t="s">
        <v>69</v>
      </c>
      <c r="M142" s="103">
        <f>250000*2</f>
        <v>500000</v>
      </c>
      <c r="N142" s="553"/>
    </row>
    <row r="143" spans="1:14" ht="40.5" hidden="1" x14ac:dyDescent="0.3">
      <c r="A143" s="59">
        <v>31</v>
      </c>
      <c r="B143" s="49" t="s">
        <v>620</v>
      </c>
      <c r="C143" s="16" t="s">
        <v>755</v>
      </c>
      <c r="D143" s="3" t="s">
        <v>19</v>
      </c>
      <c r="E143" s="4" t="s">
        <v>25</v>
      </c>
      <c r="F143" s="4" t="s">
        <v>624</v>
      </c>
      <c r="G143" s="4" t="s">
        <v>758</v>
      </c>
      <c r="H143" s="3" t="s">
        <v>103</v>
      </c>
      <c r="I143" s="9" t="s">
        <v>734</v>
      </c>
      <c r="J143" s="14" t="s">
        <v>770</v>
      </c>
      <c r="K143" s="3" t="s">
        <v>771</v>
      </c>
      <c r="L143" s="61" t="s">
        <v>69</v>
      </c>
      <c r="M143" s="103">
        <v>1000000</v>
      </c>
      <c r="N143" s="49" t="s">
        <v>248</v>
      </c>
    </row>
    <row r="144" spans="1:14" ht="27" hidden="1" x14ac:dyDescent="0.3">
      <c r="A144" s="59">
        <v>31</v>
      </c>
      <c r="B144" s="552" t="s">
        <v>598</v>
      </c>
      <c r="C144" s="16">
        <v>45138</v>
      </c>
      <c r="D144" s="3" t="s">
        <v>760</v>
      </c>
      <c r="E144" s="4" t="s">
        <v>761</v>
      </c>
      <c r="F144" s="3" t="s">
        <v>762</v>
      </c>
      <c r="G144" s="3" t="s">
        <v>763</v>
      </c>
      <c r="H144" s="3" t="s">
        <v>764</v>
      </c>
      <c r="I144" s="9" t="s">
        <v>765</v>
      </c>
      <c r="J144" s="14" t="s">
        <v>768</v>
      </c>
      <c r="K144" s="3" t="s">
        <v>766</v>
      </c>
      <c r="L144" s="6" t="s">
        <v>69</v>
      </c>
      <c r="M144" s="103">
        <v>750000</v>
      </c>
      <c r="N144" s="49" t="s">
        <v>767</v>
      </c>
    </row>
    <row r="145" spans="1:14" hidden="1" x14ac:dyDescent="0.3">
      <c r="A145" s="59">
        <v>31</v>
      </c>
      <c r="B145" s="553"/>
      <c r="C145" s="16">
        <v>45139</v>
      </c>
      <c r="D145" s="3" t="s">
        <v>21</v>
      </c>
      <c r="E145" s="4" t="s">
        <v>14</v>
      </c>
      <c r="F145" s="3" t="s">
        <v>108</v>
      </c>
      <c r="G145" s="3" t="s">
        <v>145</v>
      </c>
      <c r="H145" s="3" t="s">
        <v>23</v>
      </c>
      <c r="I145" s="9" t="s">
        <v>756</v>
      </c>
      <c r="J145" s="14" t="s">
        <v>769</v>
      </c>
      <c r="K145" s="3" t="s">
        <v>489</v>
      </c>
      <c r="L145" s="6" t="s">
        <v>69</v>
      </c>
      <c r="M145" s="103">
        <f>250000*2</f>
        <v>500000</v>
      </c>
      <c r="N145" s="49" t="s">
        <v>757</v>
      </c>
    </row>
    <row r="146" spans="1:14" ht="54" hidden="1" x14ac:dyDescent="0.3">
      <c r="A146" s="59">
        <v>32</v>
      </c>
      <c r="B146" s="552" t="s">
        <v>20</v>
      </c>
      <c r="C146" s="550" t="s">
        <v>871</v>
      </c>
      <c r="D146" s="571" t="s">
        <v>19</v>
      </c>
      <c r="E146" s="607" t="s">
        <v>25</v>
      </c>
      <c r="F146" s="4" t="s">
        <v>20</v>
      </c>
      <c r="G146" s="4" t="s">
        <v>772</v>
      </c>
      <c r="H146" s="3" t="s">
        <v>773</v>
      </c>
      <c r="I146" s="9" t="s">
        <v>734</v>
      </c>
      <c r="J146" s="14" t="s">
        <v>770</v>
      </c>
      <c r="K146" s="3" t="s">
        <v>774</v>
      </c>
      <c r="L146" s="61" t="s">
        <v>15</v>
      </c>
      <c r="M146" s="103">
        <v>2500000</v>
      </c>
      <c r="N146" s="49" t="s">
        <v>659</v>
      </c>
    </row>
    <row r="147" spans="1:14" ht="27" hidden="1" x14ac:dyDescent="0.3">
      <c r="A147" s="59">
        <v>32</v>
      </c>
      <c r="B147" s="553"/>
      <c r="C147" s="551"/>
      <c r="D147" s="572"/>
      <c r="E147" s="608"/>
      <c r="F147" s="4" t="s">
        <v>20</v>
      </c>
      <c r="G147" s="4" t="s">
        <v>776</v>
      </c>
      <c r="H147" s="3" t="s">
        <v>777</v>
      </c>
      <c r="I147" s="9" t="s">
        <v>735</v>
      </c>
      <c r="J147" s="14" t="s">
        <v>221</v>
      </c>
      <c r="K147" s="3" t="s">
        <v>775</v>
      </c>
      <c r="L147" s="61" t="s">
        <v>15</v>
      </c>
      <c r="M147" s="103">
        <f>250000*5</f>
        <v>1250000</v>
      </c>
      <c r="N147" s="127" t="s">
        <v>122</v>
      </c>
    </row>
    <row r="148" spans="1:14" ht="54" hidden="1" x14ac:dyDescent="0.3">
      <c r="A148" s="59">
        <v>33</v>
      </c>
      <c r="B148" s="552" t="s">
        <v>124</v>
      </c>
      <c r="C148" s="550" t="s">
        <v>784</v>
      </c>
      <c r="D148" s="571" t="s">
        <v>19</v>
      </c>
      <c r="E148" s="607" t="s">
        <v>25</v>
      </c>
      <c r="F148" s="4" t="s">
        <v>124</v>
      </c>
      <c r="G148" s="4" t="s">
        <v>786</v>
      </c>
      <c r="H148" s="3" t="s">
        <v>787</v>
      </c>
      <c r="I148" s="9" t="s">
        <v>734</v>
      </c>
      <c r="J148" s="14" t="s">
        <v>770</v>
      </c>
      <c r="K148" s="3" t="s">
        <v>785</v>
      </c>
      <c r="L148" s="61" t="s">
        <v>15</v>
      </c>
      <c r="M148" s="103">
        <f>250000*6</f>
        <v>1500000</v>
      </c>
      <c r="N148" s="49" t="s">
        <v>248</v>
      </c>
    </row>
    <row r="149" spans="1:14" ht="40.5" hidden="1" x14ac:dyDescent="0.3">
      <c r="A149" s="59">
        <v>33</v>
      </c>
      <c r="B149" s="553"/>
      <c r="C149" s="551"/>
      <c r="D149" s="572"/>
      <c r="E149" s="608"/>
      <c r="F149" s="4" t="s">
        <v>124</v>
      </c>
      <c r="G149" s="4" t="s">
        <v>788</v>
      </c>
      <c r="H149" s="3" t="s">
        <v>789</v>
      </c>
      <c r="I149" s="9" t="s">
        <v>735</v>
      </c>
      <c r="J149" s="14" t="s">
        <v>739</v>
      </c>
      <c r="K149" s="3" t="s">
        <v>793</v>
      </c>
      <c r="L149" s="61" t="s">
        <v>15</v>
      </c>
      <c r="M149" s="103">
        <f>250000*4</f>
        <v>1000000</v>
      </c>
      <c r="N149" s="127" t="s">
        <v>122</v>
      </c>
    </row>
    <row r="150" spans="1:14" hidden="1" x14ac:dyDescent="0.3">
      <c r="A150" s="59">
        <v>33</v>
      </c>
      <c r="B150" s="552" t="s">
        <v>24</v>
      </c>
      <c r="C150" s="16">
        <v>45150</v>
      </c>
      <c r="D150" s="3" t="s">
        <v>21</v>
      </c>
      <c r="E150" s="4" t="s">
        <v>14</v>
      </c>
      <c r="F150" s="3" t="s">
        <v>278</v>
      </c>
      <c r="G150" s="3">
        <v>4207</v>
      </c>
      <c r="H150" s="3" t="s">
        <v>18</v>
      </c>
      <c r="I150" s="9" t="s">
        <v>790</v>
      </c>
      <c r="J150" s="14"/>
      <c r="K150" s="3" t="s">
        <v>791</v>
      </c>
      <c r="L150" s="6" t="s">
        <v>15</v>
      </c>
      <c r="M150" s="103">
        <v>500000</v>
      </c>
      <c r="N150" s="49" t="s">
        <v>792</v>
      </c>
    </row>
    <row r="151" spans="1:14" ht="27" hidden="1" x14ac:dyDescent="0.3">
      <c r="A151" s="59">
        <v>33</v>
      </c>
      <c r="B151" s="567"/>
      <c r="C151" s="16">
        <v>45152</v>
      </c>
      <c r="D151" s="3" t="s">
        <v>21</v>
      </c>
      <c r="E151" s="4" t="s">
        <v>17</v>
      </c>
      <c r="F151" s="3" t="s">
        <v>108</v>
      </c>
      <c r="G151" s="3" t="s">
        <v>82</v>
      </c>
      <c r="H151" s="3" t="s">
        <v>780</v>
      </c>
      <c r="I151" s="9" t="s">
        <v>781</v>
      </c>
      <c r="J151" s="14" t="s">
        <v>783</v>
      </c>
      <c r="K151" s="3" t="s">
        <v>782</v>
      </c>
      <c r="L151" s="6" t="s">
        <v>15</v>
      </c>
      <c r="M151" s="103">
        <v>500000</v>
      </c>
      <c r="N151" s="49" t="s">
        <v>128</v>
      </c>
    </row>
    <row r="152" spans="1:14" hidden="1" x14ac:dyDescent="0.3">
      <c r="A152" s="59">
        <v>33</v>
      </c>
      <c r="B152" s="553"/>
      <c r="C152" s="16">
        <v>45154</v>
      </c>
      <c r="D152" s="3" t="s">
        <v>21</v>
      </c>
      <c r="E152" s="4" t="s">
        <v>14</v>
      </c>
      <c r="F152" s="3" t="s">
        <v>108</v>
      </c>
      <c r="G152" s="3" t="s">
        <v>145</v>
      </c>
      <c r="H152" s="3" t="s">
        <v>206</v>
      </c>
      <c r="I152" s="9" t="s">
        <v>778</v>
      </c>
      <c r="J152" s="14"/>
      <c r="K152" s="3" t="s">
        <v>688</v>
      </c>
      <c r="L152" s="6" t="s">
        <v>15</v>
      </c>
      <c r="M152" s="103">
        <v>250000</v>
      </c>
      <c r="N152" s="49" t="s">
        <v>395</v>
      </c>
    </row>
    <row r="153" spans="1:14" ht="27" hidden="1" x14ac:dyDescent="0.3">
      <c r="A153" s="59">
        <v>34</v>
      </c>
      <c r="B153" s="552" t="s">
        <v>124</v>
      </c>
      <c r="C153" s="16">
        <v>45156</v>
      </c>
      <c r="D153" s="3" t="s">
        <v>19</v>
      </c>
      <c r="E153" s="4" t="s">
        <v>25</v>
      </c>
      <c r="F153" s="4" t="s">
        <v>124</v>
      </c>
      <c r="G153" s="4">
        <v>4209</v>
      </c>
      <c r="H153" s="3" t="s">
        <v>803</v>
      </c>
      <c r="I153" s="9" t="s">
        <v>734</v>
      </c>
      <c r="J153" s="14" t="s">
        <v>770</v>
      </c>
      <c r="K153" s="3" t="s">
        <v>828</v>
      </c>
      <c r="L153" s="61">
        <v>1</v>
      </c>
      <c r="M153" s="103">
        <f>250000*1</f>
        <v>250000</v>
      </c>
      <c r="N153" s="552" t="s">
        <v>248</v>
      </c>
    </row>
    <row r="154" spans="1:14" ht="27" hidden="1" x14ac:dyDescent="0.3">
      <c r="A154" s="59">
        <v>34</v>
      </c>
      <c r="B154" s="567"/>
      <c r="C154" s="550">
        <v>45157</v>
      </c>
      <c r="D154" s="3" t="s">
        <v>19</v>
      </c>
      <c r="E154" s="4" t="s">
        <v>25</v>
      </c>
      <c r="F154" s="4" t="s">
        <v>124</v>
      </c>
      <c r="G154" s="4">
        <v>4209</v>
      </c>
      <c r="H154" s="3" t="s">
        <v>803</v>
      </c>
      <c r="I154" s="9" t="s">
        <v>734</v>
      </c>
      <c r="J154" s="14" t="s">
        <v>770</v>
      </c>
      <c r="K154" s="3" t="s">
        <v>822</v>
      </c>
      <c r="L154" s="61">
        <v>1</v>
      </c>
      <c r="M154" s="103">
        <f>250000*3</f>
        <v>750000</v>
      </c>
      <c r="N154" s="567"/>
    </row>
    <row r="155" spans="1:14" ht="27" hidden="1" x14ac:dyDescent="0.3">
      <c r="A155" s="59">
        <v>34</v>
      </c>
      <c r="B155" s="567"/>
      <c r="C155" s="551"/>
      <c r="D155" s="3" t="s">
        <v>19</v>
      </c>
      <c r="E155" s="4" t="s">
        <v>25</v>
      </c>
      <c r="F155" s="4" t="s">
        <v>124</v>
      </c>
      <c r="G155" s="4" t="s">
        <v>804</v>
      </c>
      <c r="H155" s="3" t="s">
        <v>805</v>
      </c>
      <c r="I155" s="9" t="s">
        <v>734</v>
      </c>
      <c r="J155" s="14" t="s">
        <v>770</v>
      </c>
      <c r="K155" s="3" t="s">
        <v>822</v>
      </c>
      <c r="L155" s="61">
        <v>1</v>
      </c>
      <c r="M155" s="103">
        <f>250000*3</f>
        <v>750000</v>
      </c>
      <c r="N155" s="553"/>
    </row>
    <row r="156" spans="1:14" ht="27" hidden="1" x14ac:dyDescent="0.3">
      <c r="A156" s="59">
        <v>34</v>
      </c>
      <c r="B156" s="567"/>
      <c r="C156" s="550">
        <v>45159</v>
      </c>
      <c r="D156" s="3" t="s">
        <v>19</v>
      </c>
      <c r="E156" s="4" t="s">
        <v>25</v>
      </c>
      <c r="F156" s="4" t="s">
        <v>124</v>
      </c>
      <c r="G156" s="4">
        <v>4209</v>
      </c>
      <c r="H156" s="3" t="s">
        <v>803</v>
      </c>
      <c r="I156" s="9" t="s">
        <v>734</v>
      </c>
      <c r="J156" s="14" t="s">
        <v>770</v>
      </c>
      <c r="K156" s="3" t="s">
        <v>806</v>
      </c>
      <c r="L156" s="61" t="s">
        <v>807</v>
      </c>
      <c r="M156" s="103">
        <f>250000*2</f>
        <v>500000</v>
      </c>
      <c r="N156" s="552" t="s">
        <v>827</v>
      </c>
    </row>
    <row r="157" spans="1:14" ht="27" hidden="1" x14ac:dyDescent="0.3">
      <c r="A157" s="59">
        <v>34</v>
      </c>
      <c r="B157" s="567"/>
      <c r="C157" s="551"/>
      <c r="D157" s="3" t="s">
        <v>19</v>
      </c>
      <c r="E157" s="4" t="s">
        <v>25</v>
      </c>
      <c r="F157" s="4" t="s">
        <v>124</v>
      </c>
      <c r="G157" s="4" t="s">
        <v>804</v>
      </c>
      <c r="H157" s="3" t="s">
        <v>805</v>
      </c>
      <c r="I157" s="9" t="s">
        <v>734</v>
      </c>
      <c r="J157" s="14" t="s">
        <v>770</v>
      </c>
      <c r="K157" s="3" t="s">
        <v>806</v>
      </c>
      <c r="L157" s="61" t="s">
        <v>807</v>
      </c>
      <c r="M157" s="103">
        <f>250000*2</f>
        <v>500000</v>
      </c>
      <c r="N157" s="567"/>
    </row>
    <row r="158" spans="1:14" ht="27" hidden="1" x14ac:dyDescent="0.3">
      <c r="A158" s="59">
        <v>34</v>
      </c>
      <c r="B158" s="567"/>
      <c r="C158" s="550">
        <v>45160</v>
      </c>
      <c r="D158" s="3" t="s">
        <v>19</v>
      </c>
      <c r="E158" s="4" t="s">
        <v>25</v>
      </c>
      <c r="F158" s="4" t="s">
        <v>124</v>
      </c>
      <c r="G158" s="4">
        <v>4209</v>
      </c>
      <c r="H158" s="3" t="s">
        <v>803</v>
      </c>
      <c r="I158" s="9" t="s">
        <v>734</v>
      </c>
      <c r="J158" s="14" t="s">
        <v>770</v>
      </c>
      <c r="K158" s="3" t="s">
        <v>824</v>
      </c>
      <c r="L158" s="61" t="s">
        <v>807</v>
      </c>
      <c r="M158" s="103">
        <f>250000*1</f>
        <v>250000</v>
      </c>
      <c r="N158" s="567"/>
    </row>
    <row r="159" spans="1:14" ht="27" hidden="1" x14ac:dyDescent="0.3">
      <c r="A159" s="59">
        <v>34</v>
      </c>
      <c r="B159" s="567"/>
      <c r="C159" s="551"/>
      <c r="D159" s="3" t="s">
        <v>19</v>
      </c>
      <c r="E159" s="4" t="s">
        <v>25</v>
      </c>
      <c r="F159" s="4" t="s">
        <v>124</v>
      </c>
      <c r="G159" s="4" t="s">
        <v>804</v>
      </c>
      <c r="H159" s="3" t="s">
        <v>805</v>
      </c>
      <c r="I159" s="9" t="s">
        <v>734</v>
      </c>
      <c r="J159" s="14" t="s">
        <v>770</v>
      </c>
      <c r="K159" s="3" t="s">
        <v>823</v>
      </c>
      <c r="L159" s="61" t="s">
        <v>807</v>
      </c>
      <c r="M159" s="103">
        <f>250000*1</f>
        <v>250000</v>
      </c>
      <c r="N159" s="567"/>
    </row>
    <row r="160" spans="1:14" ht="27" hidden="1" x14ac:dyDescent="0.3">
      <c r="A160" s="59">
        <v>34</v>
      </c>
      <c r="B160" s="567"/>
      <c r="C160" s="16">
        <v>45161</v>
      </c>
      <c r="D160" s="3" t="s">
        <v>19</v>
      </c>
      <c r="E160" s="4" t="s">
        <v>25</v>
      </c>
      <c r="F160" s="4" t="s">
        <v>124</v>
      </c>
      <c r="G160" s="4">
        <v>2584</v>
      </c>
      <c r="H160" s="3" t="s">
        <v>825</v>
      </c>
      <c r="I160" s="9" t="s">
        <v>734</v>
      </c>
      <c r="J160" s="14" t="s">
        <v>770</v>
      </c>
      <c r="K160" s="3" t="s">
        <v>806</v>
      </c>
      <c r="L160" s="61">
        <v>2</v>
      </c>
      <c r="M160" s="103">
        <f>250000*2</f>
        <v>500000</v>
      </c>
      <c r="N160" s="567"/>
    </row>
    <row r="161" spans="1:15" ht="27" hidden="1" x14ac:dyDescent="0.3">
      <c r="A161" s="59">
        <v>34</v>
      </c>
      <c r="B161" s="567"/>
      <c r="C161" s="16">
        <v>45162</v>
      </c>
      <c r="D161" s="3" t="s">
        <v>19</v>
      </c>
      <c r="E161" s="4" t="s">
        <v>25</v>
      </c>
      <c r="F161" s="4" t="s">
        <v>124</v>
      </c>
      <c r="G161" s="4">
        <v>2584</v>
      </c>
      <c r="H161" s="3" t="s">
        <v>825</v>
      </c>
      <c r="I161" s="9" t="s">
        <v>734</v>
      </c>
      <c r="J161" s="14" t="s">
        <v>770</v>
      </c>
      <c r="K161" s="3" t="s">
        <v>806</v>
      </c>
      <c r="L161" s="61">
        <v>2</v>
      </c>
      <c r="M161" s="103">
        <f>250000*2</f>
        <v>500000</v>
      </c>
      <c r="N161" s="553"/>
    </row>
    <row r="162" spans="1:15" ht="27" hidden="1" x14ac:dyDescent="0.3">
      <c r="A162" s="59">
        <v>34</v>
      </c>
      <c r="B162" s="553"/>
      <c r="C162" s="16" t="s">
        <v>872</v>
      </c>
      <c r="D162" s="3" t="s">
        <v>19</v>
      </c>
      <c r="E162" s="4" t="s">
        <v>25</v>
      </c>
      <c r="F162" s="4" t="s">
        <v>124</v>
      </c>
      <c r="G162" s="4">
        <v>3306</v>
      </c>
      <c r="H162" s="3" t="s">
        <v>813</v>
      </c>
      <c r="I162" s="9" t="s">
        <v>829</v>
      </c>
      <c r="J162" s="14" t="s">
        <v>814</v>
      </c>
      <c r="K162" s="3" t="s">
        <v>815</v>
      </c>
      <c r="L162" s="61" t="s">
        <v>807</v>
      </c>
      <c r="M162" s="103">
        <f>250000*5</f>
        <v>1250000</v>
      </c>
      <c r="N162" s="127" t="s">
        <v>826</v>
      </c>
      <c r="O162" t="s">
        <v>866</v>
      </c>
    </row>
    <row r="163" spans="1:15" hidden="1" x14ac:dyDescent="0.3">
      <c r="A163" s="59">
        <v>34</v>
      </c>
      <c r="B163" s="552" t="s">
        <v>24</v>
      </c>
      <c r="C163" s="16">
        <v>45159</v>
      </c>
      <c r="D163" s="3" t="s">
        <v>21</v>
      </c>
      <c r="E163" s="4" t="s">
        <v>17</v>
      </c>
      <c r="F163" s="3" t="s">
        <v>27</v>
      </c>
      <c r="G163" s="15" t="s">
        <v>38</v>
      </c>
      <c r="H163" s="3" t="s">
        <v>28</v>
      </c>
      <c r="I163" s="9" t="s">
        <v>742</v>
      </c>
      <c r="J163" s="14" t="s">
        <v>90</v>
      </c>
      <c r="K163" s="3" t="s">
        <v>812</v>
      </c>
      <c r="L163" s="6" t="s">
        <v>15</v>
      </c>
      <c r="M163" s="103">
        <v>300000</v>
      </c>
      <c r="N163" s="49" t="s">
        <v>808</v>
      </c>
    </row>
    <row r="164" spans="1:15" hidden="1" x14ac:dyDescent="0.3">
      <c r="A164" s="59">
        <v>34</v>
      </c>
      <c r="B164" s="567"/>
      <c r="C164" s="16">
        <v>45160</v>
      </c>
      <c r="D164" s="3" t="s">
        <v>21</v>
      </c>
      <c r="E164" s="4" t="s">
        <v>695</v>
      </c>
      <c r="F164" s="3" t="s">
        <v>625</v>
      </c>
      <c r="G164" s="3" t="s">
        <v>696</v>
      </c>
      <c r="H164" s="3" t="s">
        <v>697</v>
      </c>
      <c r="I164" s="9" t="s">
        <v>286</v>
      </c>
      <c r="J164" s="14" t="s">
        <v>90</v>
      </c>
      <c r="K164" s="3" t="s">
        <v>41</v>
      </c>
      <c r="L164" s="6" t="s">
        <v>15</v>
      </c>
      <c r="M164" s="103">
        <f t="shared" ref="M164:M165" si="2">180000</f>
        <v>180000</v>
      </c>
      <c r="N164" s="49" t="s">
        <v>811</v>
      </c>
    </row>
    <row r="165" spans="1:15" hidden="1" x14ac:dyDescent="0.3">
      <c r="A165" s="59">
        <v>34</v>
      </c>
      <c r="B165" s="567"/>
      <c r="C165" s="16">
        <v>45162</v>
      </c>
      <c r="D165" s="3" t="s">
        <v>21</v>
      </c>
      <c r="E165" s="4" t="s">
        <v>695</v>
      </c>
      <c r="F165" s="3" t="s">
        <v>625</v>
      </c>
      <c r="G165" s="3" t="s">
        <v>696</v>
      </c>
      <c r="H165" s="3" t="s">
        <v>697</v>
      </c>
      <c r="I165" s="9" t="s">
        <v>304</v>
      </c>
      <c r="J165" s="14" t="s">
        <v>90</v>
      </c>
      <c r="K165" s="3" t="s">
        <v>41</v>
      </c>
      <c r="L165" s="6" t="s">
        <v>15</v>
      </c>
      <c r="M165" s="103">
        <f t="shared" si="2"/>
        <v>180000</v>
      </c>
      <c r="N165" s="49" t="s">
        <v>811</v>
      </c>
    </row>
    <row r="166" spans="1:15" hidden="1" x14ac:dyDescent="0.3">
      <c r="A166" s="59">
        <v>34</v>
      </c>
      <c r="B166" s="553"/>
      <c r="C166" s="16">
        <v>45163</v>
      </c>
      <c r="D166" s="3" t="s">
        <v>798</v>
      </c>
      <c r="E166" s="4" t="s">
        <v>799</v>
      </c>
      <c r="F166" s="3" t="s">
        <v>22</v>
      </c>
      <c r="G166" s="3">
        <v>7060</v>
      </c>
      <c r="H166" s="3" t="s">
        <v>800</v>
      </c>
      <c r="I166" s="9" t="s">
        <v>801</v>
      </c>
      <c r="J166" s="14" t="s">
        <v>795</v>
      </c>
      <c r="K166" s="3" t="s">
        <v>1115</v>
      </c>
      <c r="L166" s="6" t="s">
        <v>797</v>
      </c>
      <c r="M166" s="103">
        <v>680000</v>
      </c>
      <c r="N166" s="49" t="s">
        <v>810</v>
      </c>
    </row>
    <row r="167" spans="1:15" ht="16.5" hidden="1" customHeight="1" x14ac:dyDescent="0.3">
      <c r="A167" s="59">
        <v>35</v>
      </c>
      <c r="B167" s="531" t="s">
        <v>851</v>
      </c>
      <c r="C167" s="547" t="s">
        <v>873</v>
      </c>
      <c r="D167" s="4" t="s">
        <v>19</v>
      </c>
      <c r="E167" s="4" t="s">
        <v>25</v>
      </c>
      <c r="F167" s="4" t="s">
        <v>124</v>
      </c>
      <c r="G167" s="4">
        <v>4210</v>
      </c>
      <c r="H167" s="4" t="s">
        <v>852</v>
      </c>
      <c r="I167" s="9" t="s">
        <v>857</v>
      </c>
      <c r="J167" s="14" t="s">
        <v>814</v>
      </c>
      <c r="K167" s="3" t="s">
        <v>858</v>
      </c>
      <c r="L167" s="61" t="s">
        <v>807</v>
      </c>
      <c r="M167" s="103">
        <f>250000*2</f>
        <v>500000</v>
      </c>
      <c r="N167" s="127" t="s">
        <v>861</v>
      </c>
    </row>
    <row r="168" spans="1:15" hidden="1" x14ac:dyDescent="0.3">
      <c r="A168" s="59">
        <v>35</v>
      </c>
      <c r="B168" s="532"/>
      <c r="C168" s="548"/>
      <c r="D168" s="4" t="s">
        <v>19</v>
      </c>
      <c r="E168" s="4" t="s">
        <v>25</v>
      </c>
      <c r="F168" s="4" t="s">
        <v>124</v>
      </c>
      <c r="G168" s="4" t="s">
        <v>853</v>
      </c>
      <c r="H168" s="4" t="s">
        <v>854</v>
      </c>
      <c r="I168" s="9" t="s">
        <v>857</v>
      </c>
      <c r="J168" s="14" t="s">
        <v>814</v>
      </c>
      <c r="K168" s="3" t="s">
        <v>859</v>
      </c>
      <c r="L168" s="61" t="s">
        <v>807</v>
      </c>
      <c r="M168" s="103">
        <f>250000</f>
        <v>250000</v>
      </c>
      <c r="N168" s="127" t="s">
        <v>861</v>
      </c>
    </row>
    <row r="169" spans="1:15" hidden="1" x14ac:dyDescent="0.3">
      <c r="A169" s="59">
        <v>35</v>
      </c>
      <c r="B169" s="532"/>
      <c r="C169" s="548"/>
      <c r="D169" s="4" t="s">
        <v>19</v>
      </c>
      <c r="E169" s="4" t="s">
        <v>25</v>
      </c>
      <c r="F169" s="4" t="s">
        <v>124</v>
      </c>
      <c r="G169" s="4" t="s">
        <v>855</v>
      </c>
      <c r="H169" s="4" t="s">
        <v>856</v>
      </c>
      <c r="I169" s="9" t="s">
        <v>857</v>
      </c>
      <c r="J169" s="14" t="s">
        <v>814</v>
      </c>
      <c r="K169" s="3" t="s">
        <v>860</v>
      </c>
      <c r="L169" s="61" t="s">
        <v>807</v>
      </c>
      <c r="M169" s="103">
        <f t="shared" ref="M169:M170" si="3">250000*2</f>
        <v>500000</v>
      </c>
      <c r="N169" s="127" t="s">
        <v>861</v>
      </c>
    </row>
    <row r="170" spans="1:15" hidden="1" x14ac:dyDescent="0.3">
      <c r="A170" s="59">
        <v>35</v>
      </c>
      <c r="B170" s="533"/>
      <c r="C170" s="549"/>
      <c r="D170" s="4" t="s">
        <v>19</v>
      </c>
      <c r="E170" s="4" t="s">
        <v>25</v>
      </c>
      <c r="F170" s="4" t="s">
        <v>124</v>
      </c>
      <c r="G170" s="4" t="s">
        <v>855</v>
      </c>
      <c r="H170" s="4" t="s">
        <v>862</v>
      </c>
      <c r="I170" s="9" t="s">
        <v>863</v>
      </c>
      <c r="J170" s="14"/>
      <c r="K170" s="3" t="s">
        <v>864</v>
      </c>
      <c r="L170" s="61">
        <v>2</v>
      </c>
      <c r="M170" s="103">
        <f t="shared" si="3"/>
        <v>500000</v>
      </c>
      <c r="N170" s="49" t="s">
        <v>865</v>
      </c>
    </row>
    <row r="171" spans="1:15" hidden="1" x14ac:dyDescent="0.3">
      <c r="A171" s="59">
        <v>35</v>
      </c>
      <c r="B171" s="531" t="s">
        <v>24</v>
      </c>
      <c r="C171" s="16">
        <v>45166</v>
      </c>
      <c r="D171" s="3" t="s">
        <v>21</v>
      </c>
      <c r="E171" s="4" t="s">
        <v>14</v>
      </c>
      <c r="F171" s="3" t="s">
        <v>278</v>
      </c>
      <c r="G171" s="3">
        <v>4207</v>
      </c>
      <c r="H171" s="3" t="s">
        <v>18</v>
      </c>
      <c r="I171" s="9" t="s">
        <v>794</v>
      </c>
      <c r="J171" s="14"/>
      <c r="K171" s="3" t="s">
        <v>830</v>
      </c>
      <c r="L171" s="6" t="s">
        <v>15</v>
      </c>
      <c r="M171" s="103">
        <v>500000</v>
      </c>
      <c r="N171" s="49" t="s">
        <v>849</v>
      </c>
    </row>
    <row r="172" spans="1:15" hidden="1" x14ac:dyDescent="0.3">
      <c r="A172" s="59">
        <v>35</v>
      </c>
      <c r="B172" s="532"/>
      <c r="C172" s="16">
        <v>45167</v>
      </c>
      <c r="D172" s="3" t="s">
        <v>21</v>
      </c>
      <c r="E172" s="4" t="s">
        <v>695</v>
      </c>
      <c r="F172" s="3" t="s">
        <v>625</v>
      </c>
      <c r="G172" s="3" t="s">
        <v>696</v>
      </c>
      <c r="H172" s="3" t="s">
        <v>697</v>
      </c>
      <c r="I172" s="9" t="s">
        <v>843</v>
      </c>
      <c r="J172" s="14" t="s">
        <v>90</v>
      </c>
      <c r="K172" s="3" t="s">
        <v>41</v>
      </c>
      <c r="L172" s="6" t="s">
        <v>15</v>
      </c>
      <c r="M172" s="103">
        <f t="shared" ref="M172" si="4">180000</f>
        <v>180000</v>
      </c>
      <c r="N172" s="49" t="s">
        <v>811</v>
      </c>
    </row>
    <row r="173" spans="1:15" hidden="1" x14ac:dyDescent="0.3">
      <c r="A173" s="59">
        <v>35</v>
      </c>
      <c r="B173" s="532"/>
      <c r="C173" s="16">
        <v>45167</v>
      </c>
      <c r="D173" s="3" t="s">
        <v>798</v>
      </c>
      <c r="E173" s="4" t="s">
        <v>799</v>
      </c>
      <c r="F173" s="3" t="s">
        <v>22</v>
      </c>
      <c r="G173" s="3">
        <v>7060</v>
      </c>
      <c r="H173" s="3" t="s">
        <v>800</v>
      </c>
      <c r="I173" s="9" t="s">
        <v>801</v>
      </c>
      <c r="J173" s="14"/>
      <c r="K173" s="3" t="s">
        <v>847</v>
      </c>
      <c r="L173" s="6" t="s">
        <v>797</v>
      </c>
      <c r="M173" s="103">
        <f>250000*3</f>
        <v>750000</v>
      </c>
      <c r="N173" s="49" t="s">
        <v>850</v>
      </c>
    </row>
    <row r="174" spans="1:15" hidden="1" x14ac:dyDescent="0.3">
      <c r="A174" s="59">
        <v>35</v>
      </c>
      <c r="B174" s="532"/>
      <c r="C174" s="16">
        <v>45168</v>
      </c>
      <c r="D174" s="3" t="s">
        <v>798</v>
      </c>
      <c r="E174" s="4" t="s">
        <v>817</v>
      </c>
      <c r="F174" s="3" t="s">
        <v>818</v>
      </c>
      <c r="G174" s="3" t="s">
        <v>819</v>
      </c>
      <c r="H174" s="3" t="s">
        <v>820</v>
      </c>
      <c r="I174" s="9" t="s">
        <v>841</v>
      </c>
      <c r="J174" s="14" t="s">
        <v>821</v>
      </c>
      <c r="K174" s="3" t="s">
        <v>842</v>
      </c>
      <c r="L174" s="6" t="s">
        <v>797</v>
      </c>
      <c r="M174" s="103">
        <v>180000</v>
      </c>
      <c r="N174" s="49" t="s">
        <v>848</v>
      </c>
    </row>
    <row r="175" spans="1:15" hidden="1" x14ac:dyDescent="0.3">
      <c r="A175" s="59">
        <v>35</v>
      </c>
      <c r="B175" s="533"/>
      <c r="C175" s="16">
        <v>45168</v>
      </c>
      <c r="D175" s="3" t="s">
        <v>21</v>
      </c>
      <c r="E175" s="4" t="s">
        <v>14</v>
      </c>
      <c r="F175" s="3" t="s">
        <v>278</v>
      </c>
      <c r="G175" s="3">
        <v>4208</v>
      </c>
      <c r="H175" s="3" t="s">
        <v>18</v>
      </c>
      <c r="I175" s="9" t="s">
        <v>794</v>
      </c>
      <c r="J175" s="14"/>
      <c r="K175" s="3" t="s">
        <v>830</v>
      </c>
      <c r="L175" s="6" t="s">
        <v>15</v>
      </c>
      <c r="M175" s="103">
        <v>500000</v>
      </c>
      <c r="N175" s="49" t="s">
        <v>849</v>
      </c>
    </row>
    <row r="176" spans="1:15" hidden="1" x14ac:dyDescent="0.3">
      <c r="A176" s="59">
        <v>36</v>
      </c>
      <c r="B176" s="531" t="s">
        <v>851</v>
      </c>
      <c r="C176" s="99">
        <v>45176</v>
      </c>
      <c r="D176" s="4" t="s">
        <v>19</v>
      </c>
      <c r="E176" s="4" t="s">
        <v>25</v>
      </c>
      <c r="F176" s="4" t="s">
        <v>124</v>
      </c>
      <c r="G176" s="4">
        <v>4210</v>
      </c>
      <c r="H176" s="4" t="s">
        <v>852</v>
      </c>
      <c r="I176" s="9" t="s">
        <v>906</v>
      </c>
      <c r="J176" s="14" t="s">
        <v>907</v>
      </c>
      <c r="K176" s="3" t="s">
        <v>908</v>
      </c>
      <c r="L176" s="61" t="s">
        <v>807</v>
      </c>
      <c r="M176" s="103">
        <f>250000*2</f>
        <v>500000</v>
      </c>
      <c r="N176" s="49" t="s">
        <v>909</v>
      </c>
    </row>
    <row r="177" spans="1:14" hidden="1" x14ac:dyDescent="0.3">
      <c r="A177" s="59">
        <v>36</v>
      </c>
      <c r="B177" s="532"/>
      <c r="C177" s="99">
        <v>45177</v>
      </c>
      <c r="D177" s="4" t="s">
        <v>19</v>
      </c>
      <c r="E177" s="4" t="s">
        <v>25</v>
      </c>
      <c r="F177" s="4" t="s">
        <v>124</v>
      </c>
      <c r="G177" s="4">
        <v>4210</v>
      </c>
      <c r="H177" s="4" t="s">
        <v>852</v>
      </c>
      <c r="I177" s="9" t="s">
        <v>906</v>
      </c>
      <c r="J177" s="14" t="s">
        <v>907</v>
      </c>
      <c r="K177" s="3" t="s">
        <v>908</v>
      </c>
      <c r="L177" s="61" t="s">
        <v>807</v>
      </c>
      <c r="M177" s="103">
        <f>250000*2</f>
        <v>500000</v>
      </c>
      <c r="N177" s="49" t="s">
        <v>909</v>
      </c>
    </row>
    <row r="178" spans="1:14" hidden="1" x14ac:dyDescent="0.3">
      <c r="A178" s="59">
        <v>36</v>
      </c>
      <c r="B178" s="532"/>
      <c r="C178" s="547" t="s">
        <v>905</v>
      </c>
      <c r="D178" s="4" t="s">
        <v>19</v>
      </c>
      <c r="E178" s="4" t="s">
        <v>25</v>
      </c>
      <c r="F178" s="4" t="s">
        <v>124</v>
      </c>
      <c r="G178" s="4">
        <v>3306</v>
      </c>
      <c r="H178" s="4" t="s">
        <v>910</v>
      </c>
      <c r="I178" s="9" t="s">
        <v>857</v>
      </c>
      <c r="J178" s="14" t="s">
        <v>814</v>
      </c>
      <c r="K178" s="3" t="s">
        <v>911</v>
      </c>
      <c r="L178" s="61" t="s">
        <v>807</v>
      </c>
      <c r="M178" s="103">
        <f>250000*3</f>
        <v>750000</v>
      </c>
      <c r="N178" s="49" t="s">
        <v>861</v>
      </c>
    </row>
    <row r="179" spans="1:14" hidden="1" x14ac:dyDescent="0.3">
      <c r="A179" s="59">
        <v>36</v>
      </c>
      <c r="B179" s="533"/>
      <c r="C179" s="549"/>
      <c r="D179" s="4" t="s">
        <v>19</v>
      </c>
      <c r="E179" s="4" t="s">
        <v>25</v>
      </c>
      <c r="F179" s="4" t="s">
        <v>124</v>
      </c>
      <c r="G179" s="4">
        <v>2585</v>
      </c>
      <c r="H179" s="4" t="s">
        <v>803</v>
      </c>
      <c r="I179" s="9" t="s">
        <v>857</v>
      </c>
      <c r="J179" s="14" t="s">
        <v>814</v>
      </c>
      <c r="K179" s="3" t="s">
        <v>860</v>
      </c>
      <c r="L179" s="61"/>
      <c r="M179" s="103">
        <f>250000*2</f>
        <v>500000</v>
      </c>
      <c r="N179" s="49" t="s">
        <v>861</v>
      </c>
    </row>
    <row r="180" spans="1:14" hidden="1" x14ac:dyDescent="0.3">
      <c r="A180" s="59">
        <v>36</v>
      </c>
      <c r="B180" s="531" t="s">
        <v>24</v>
      </c>
      <c r="C180" s="2">
        <v>45171</v>
      </c>
      <c r="D180" s="3" t="s">
        <v>831</v>
      </c>
      <c r="E180" s="4" t="s">
        <v>799</v>
      </c>
      <c r="F180" s="3" t="s">
        <v>867</v>
      </c>
      <c r="G180" s="3" t="s">
        <v>844</v>
      </c>
      <c r="H180" s="3" t="s">
        <v>868</v>
      </c>
      <c r="I180" s="9" t="s">
        <v>878</v>
      </c>
      <c r="J180" s="14" t="s">
        <v>846</v>
      </c>
      <c r="K180" s="3" t="s">
        <v>816</v>
      </c>
      <c r="L180" s="6" t="s">
        <v>834</v>
      </c>
      <c r="M180" s="103">
        <v>180000</v>
      </c>
      <c r="N180" s="49" t="s">
        <v>920</v>
      </c>
    </row>
    <row r="181" spans="1:14" ht="27" hidden="1" x14ac:dyDescent="0.3">
      <c r="A181" s="59">
        <v>36</v>
      </c>
      <c r="B181" s="532"/>
      <c r="C181" s="550">
        <v>45174</v>
      </c>
      <c r="D181" s="3" t="s">
        <v>798</v>
      </c>
      <c r="E181" s="4" t="s">
        <v>879</v>
      </c>
      <c r="F181" s="3" t="s">
        <v>880</v>
      </c>
      <c r="G181" s="3" t="s">
        <v>881</v>
      </c>
      <c r="H181" s="3" t="s">
        <v>882</v>
      </c>
      <c r="I181" s="9" t="s">
        <v>897</v>
      </c>
      <c r="J181" s="558" t="s">
        <v>840</v>
      </c>
      <c r="K181" s="571" t="s">
        <v>987</v>
      </c>
      <c r="L181" s="6" t="s">
        <v>912</v>
      </c>
      <c r="M181" s="604">
        <f>180000+200000+200000</f>
        <v>580000</v>
      </c>
      <c r="N181" s="49" t="s">
        <v>808</v>
      </c>
    </row>
    <row r="182" spans="1:14" hidden="1" x14ac:dyDescent="0.3">
      <c r="A182" s="59">
        <v>36</v>
      </c>
      <c r="B182" s="532"/>
      <c r="C182" s="578"/>
      <c r="D182" s="3" t="s">
        <v>24</v>
      </c>
      <c r="E182" s="4" t="s">
        <v>836</v>
      </c>
      <c r="F182" s="3" t="s">
        <v>837</v>
      </c>
      <c r="G182" s="3" t="s">
        <v>838</v>
      </c>
      <c r="H182" s="3" t="s">
        <v>839</v>
      </c>
      <c r="I182" s="9" t="s">
        <v>898</v>
      </c>
      <c r="J182" s="559"/>
      <c r="K182" s="572"/>
      <c r="L182" s="6" t="s">
        <v>913</v>
      </c>
      <c r="M182" s="605"/>
      <c r="N182" s="49" t="s">
        <v>808</v>
      </c>
    </row>
    <row r="183" spans="1:14" hidden="1" x14ac:dyDescent="0.3">
      <c r="A183" s="59">
        <v>36</v>
      </c>
      <c r="B183" s="532"/>
      <c r="C183" s="551"/>
      <c r="D183" s="3" t="s">
        <v>24</v>
      </c>
      <c r="E183" s="4" t="s">
        <v>879</v>
      </c>
      <c r="F183" s="3" t="s">
        <v>901</v>
      </c>
      <c r="G183" s="3" t="s">
        <v>844</v>
      </c>
      <c r="H183" s="3" t="s">
        <v>845</v>
      </c>
      <c r="I183" s="9" t="s">
        <v>902</v>
      </c>
      <c r="J183" s="14"/>
      <c r="K183" s="3" t="s">
        <v>903</v>
      </c>
      <c r="L183" s="6" t="s">
        <v>914</v>
      </c>
      <c r="M183" s="103">
        <v>300000</v>
      </c>
      <c r="N183" s="49" t="s">
        <v>809</v>
      </c>
    </row>
    <row r="184" spans="1:14" hidden="1" x14ac:dyDescent="0.3">
      <c r="A184" s="59">
        <v>36</v>
      </c>
      <c r="B184" s="533"/>
      <c r="C184" s="38">
        <v>45175</v>
      </c>
      <c r="D184" s="3" t="s">
        <v>139</v>
      </c>
      <c r="E184" s="4" t="s">
        <v>915</v>
      </c>
      <c r="F184" s="3" t="s">
        <v>916</v>
      </c>
      <c r="G184" s="3">
        <v>4204</v>
      </c>
      <c r="H184" s="3" t="s">
        <v>833</v>
      </c>
      <c r="I184" s="9" t="s">
        <v>917</v>
      </c>
      <c r="J184" s="14"/>
      <c r="K184" s="3" t="s">
        <v>918</v>
      </c>
      <c r="L184" s="6" t="s">
        <v>914</v>
      </c>
      <c r="M184" s="103">
        <v>500000</v>
      </c>
      <c r="N184" s="49" t="s">
        <v>919</v>
      </c>
    </row>
    <row r="185" spans="1:14" hidden="1" x14ac:dyDescent="0.3">
      <c r="A185" s="59">
        <v>37</v>
      </c>
      <c r="B185" s="531" t="s">
        <v>20</v>
      </c>
      <c r="C185" s="99">
        <v>45181</v>
      </c>
      <c r="D185" s="4" t="s">
        <v>19</v>
      </c>
      <c r="E185" s="4" t="s">
        <v>25</v>
      </c>
      <c r="F185" s="4" t="s">
        <v>20</v>
      </c>
      <c r="G185" s="4">
        <v>6602</v>
      </c>
      <c r="H185" s="4" t="s">
        <v>18</v>
      </c>
      <c r="I185" s="9" t="s">
        <v>906</v>
      </c>
      <c r="J185" s="14" t="s">
        <v>95</v>
      </c>
      <c r="K185" s="3" t="s">
        <v>908</v>
      </c>
      <c r="L185" s="61" t="s">
        <v>210</v>
      </c>
      <c r="M185" s="103">
        <f>250000*2</f>
        <v>500000</v>
      </c>
      <c r="N185" s="49" t="s">
        <v>909</v>
      </c>
    </row>
    <row r="186" spans="1:14" hidden="1" x14ac:dyDescent="0.3">
      <c r="A186" s="59">
        <v>37</v>
      </c>
      <c r="B186" s="532"/>
      <c r="C186" s="99">
        <v>45182</v>
      </c>
      <c r="D186" s="4" t="s">
        <v>19</v>
      </c>
      <c r="E186" s="4" t="s">
        <v>25</v>
      </c>
      <c r="F186" s="4" t="s">
        <v>20</v>
      </c>
      <c r="G186" s="4">
        <v>6602</v>
      </c>
      <c r="H186" s="4" t="s">
        <v>18</v>
      </c>
      <c r="I186" s="9" t="s">
        <v>906</v>
      </c>
      <c r="J186" s="14" t="s">
        <v>95</v>
      </c>
      <c r="K186" s="3" t="s">
        <v>908</v>
      </c>
      <c r="L186" s="61" t="s">
        <v>210</v>
      </c>
      <c r="M186" s="103">
        <f>250000*2</f>
        <v>500000</v>
      </c>
      <c r="N186" s="49" t="s">
        <v>909</v>
      </c>
    </row>
    <row r="187" spans="1:14" ht="16.5" hidden="1" customHeight="1" x14ac:dyDescent="0.3">
      <c r="A187" s="59">
        <v>37</v>
      </c>
      <c r="B187" s="532"/>
      <c r="C187" s="547" t="s">
        <v>926</v>
      </c>
      <c r="D187" s="4" t="s">
        <v>19</v>
      </c>
      <c r="E187" s="4" t="s">
        <v>25</v>
      </c>
      <c r="F187" s="4" t="s">
        <v>20</v>
      </c>
      <c r="G187" s="4">
        <v>2585</v>
      </c>
      <c r="H187" s="4" t="s">
        <v>18</v>
      </c>
      <c r="I187" s="9" t="s">
        <v>857</v>
      </c>
      <c r="J187" s="14" t="s">
        <v>127</v>
      </c>
      <c r="K187" s="3" t="s">
        <v>911</v>
      </c>
      <c r="L187" s="61" t="s">
        <v>210</v>
      </c>
      <c r="M187" s="103">
        <f>250000*3</f>
        <v>750000</v>
      </c>
      <c r="N187" s="49" t="s">
        <v>122</v>
      </c>
    </row>
    <row r="188" spans="1:14" hidden="1" x14ac:dyDescent="0.3">
      <c r="A188" s="59">
        <v>37</v>
      </c>
      <c r="B188" s="533"/>
      <c r="C188" s="549"/>
      <c r="D188" s="4" t="s">
        <v>19</v>
      </c>
      <c r="E188" s="4" t="s">
        <v>25</v>
      </c>
      <c r="F188" s="4" t="s">
        <v>20</v>
      </c>
      <c r="G188" s="4" t="s">
        <v>853</v>
      </c>
      <c r="H188" s="4" t="s">
        <v>103</v>
      </c>
      <c r="I188" s="9" t="s">
        <v>857</v>
      </c>
      <c r="J188" s="14" t="s">
        <v>127</v>
      </c>
      <c r="K188" s="3" t="s">
        <v>119</v>
      </c>
      <c r="L188" s="61" t="s">
        <v>210</v>
      </c>
      <c r="M188" s="103">
        <f>250000*2</f>
        <v>500000</v>
      </c>
      <c r="N188" s="49" t="s">
        <v>122</v>
      </c>
    </row>
    <row r="189" spans="1:14" hidden="1" x14ac:dyDescent="0.3">
      <c r="A189" s="59">
        <v>37</v>
      </c>
      <c r="B189" s="531" t="s">
        <v>21</v>
      </c>
      <c r="C189" s="2">
        <v>45180</v>
      </c>
      <c r="D189" s="3" t="s">
        <v>21</v>
      </c>
      <c r="E189" s="4" t="s">
        <v>14</v>
      </c>
      <c r="F189" s="3" t="s">
        <v>108</v>
      </c>
      <c r="G189" s="3" t="s">
        <v>188</v>
      </c>
      <c r="H189" s="3" t="s">
        <v>23</v>
      </c>
      <c r="I189" s="9" t="s">
        <v>927</v>
      </c>
      <c r="J189" s="14"/>
      <c r="K189" s="3" t="s">
        <v>899</v>
      </c>
      <c r="L189" s="6" t="s">
        <v>69</v>
      </c>
      <c r="M189" s="103">
        <v>360000</v>
      </c>
      <c r="N189" s="49" t="s">
        <v>395</v>
      </c>
    </row>
    <row r="190" spans="1:14" hidden="1" x14ac:dyDescent="0.3">
      <c r="A190" s="59">
        <v>37</v>
      </c>
      <c r="B190" s="532"/>
      <c r="C190" s="2">
        <v>45181</v>
      </c>
      <c r="D190" s="3" t="s">
        <v>21</v>
      </c>
      <c r="E190" s="4" t="s">
        <v>14</v>
      </c>
      <c r="F190" s="3" t="s">
        <v>925</v>
      </c>
      <c r="G190" s="3">
        <v>7060</v>
      </c>
      <c r="H190" s="3" t="s">
        <v>86</v>
      </c>
      <c r="I190" s="9" t="s">
        <v>922</v>
      </c>
      <c r="J190" s="14" t="s">
        <v>90</v>
      </c>
      <c r="K190" s="3" t="s">
        <v>779</v>
      </c>
      <c r="L190" s="6" t="s">
        <v>69</v>
      </c>
      <c r="M190" s="103">
        <v>250000</v>
      </c>
      <c r="N190" s="49" t="s">
        <v>128</v>
      </c>
    </row>
    <row r="191" spans="1:14" hidden="1" x14ac:dyDescent="0.3">
      <c r="A191" s="59">
        <v>37</v>
      </c>
      <c r="B191" s="533"/>
      <c r="C191" s="16">
        <v>45182</v>
      </c>
      <c r="D191" s="3" t="s">
        <v>21</v>
      </c>
      <c r="E191" s="4" t="s">
        <v>14</v>
      </c>
      <c r="F191" s="3" t="s">
        <v>212</v>
      </c>
      <c r="G191" s="3" t="s">
        <v>832</v>
      </c>
      <c r="H191" s="3" t="s">
        <v>923</v>
      </c>
      <c r="I191" s="9" t="s">
        <v>924</v>
      </c>
      <c r="J191" s="14" t="s">
        <v>90</v>
      </c>
      <c r="K191" s="3" t="s">
        <v>779</v>
      </c>
      <c r="L191" s="6" t="s">
        <v>69</v>
      </c>
      <c r="M191" s="103">
        <v>250000</v>
      </c>
      <c r="N191" s="49" t="s">
        <v>395</v>
      </c>
    </row>
    <row r="192" spans="1:14" ht="16.5" hidden="1" customHeight="1" x14ac:dyDescent="0.3">
      <c r="A192" s="59">
        <v>38</v>
      </c>
      <c r="B192" s="531" t="s">
        <v>941</v>
      </c>
      <c r="C192" s="547" t="s">
        <v>939</v>
      </c>
      <c r="D192" s="4" t="s">
        <v>19</v>
      </c>
      <c r="E192" s="4" t="s">
        <v>25</v>
      </c>
      <c r="F192" s="4" t="s">
        <v>20</v>
      </c>
      <c r="G192" s="4">
        <v>2585</v>
      </c>
      <c r="H192" s="4" t="s">
        <v>18</v>
      </c>
      <c r="I192" s="9" t="s">
        <v>857</v>
      </c>
      <c r="J192" s="14" t="s">
        <v>127</v>
      </c>
      <c r="K192" s="3" t="s">
        <v>119</v>
      </c>
      <c r="L192" s="61" t="s">
        <v>210</v>
      </c>
      <c r="M192" s="103">
        <v>500000</v>
      </c>
      <c r="N192" s="49" t="s">
        <v>122</v>
      </c>
    </row>
    <row r="193" spans="1:15" hidden="1" x14ac:dyDescent="0.3">
      <c r="A193" s="59">
        <v>38</v>
      </c>
      <c r="B193" s="532"/>
      <c r="C193" s="549"/>
      <c r="D193" s="4" t="s">
        <v>19</v>
      </c>
      <c r="E193" s="4" t="s">
        <v>25</v>
      </c>
      <c r="F193" s="4" t="s">
        <v>20</v>
      </c>
      <c r="G193" s="4">
        <v>3306</v>
      </c>
      <c r="H193" s="4" t="s">
        <v>813</v>
      </c>
      <c r="I193" s="9" t="s">
        <v>857</v>
      </c>
      <c r="J193" s="14" t="s">
        <v>127</v>
      </c>
      <c r="K193" s="3" t="s">
        <v>940</v>
      </c>
      <c r="L193" s="61" t="s">
        <v>210</v>
      </c>
      <c r="M193" s="103">
        <v>750000</v>
      </c>
      <c r="N193" s="49" t="s">
        <v>122</v>
      </c>
    </row>
    <row r="194" spans="1:15" hidden="1" x14ac:dyDescent="0.3">
      <c r="A194" s="59">
        <v>38</v>
      </c>
      <c r="B194" s="533"/>
      <c r="C194" s="99">
        <v>45191</v>
      </c>
      <c r="D194" s="4" t="s">
        <v>19</v>
      </c>
      <c r="E194" s="4" t="s">
        <v>25</v>
      </c>
      <c r="F194" s="4" t="s">
        <v>20</v>
      </c>
      <c r="G194" s="4" t="s">
        <v>944</v>
      </c>
      <c r="H194" s="4" t="s">
        <v>945</v>
      </c>
      <c r="I194" s="9" t="s">
        <v>266</v>
      </c>
      <c r="J194" s="14" t="s">
        <v>95</v>
      </c>
      <c r="K194" s="3" t="s">
        <v>908</v>
      </c>
      <c r="L194" s="61" t="s">
        <v>210</v>
      </c>
      <c r="M194" s="103">
        <v>500000</v>
      </c>
      <c r="N194" s="85" t="s">
        <v>946</v>
      </c>
    </row>
    <row r="195" spans="1:15" hidden="1" x14ac:dyDescent="0.3">
      <c r="A195" s="59">
        <v>38</v>
      </c>
      <c r="B195" s="531" t="s">
        <v>21</v>
      </c>
      <c r="C195" s="2">
        <v>45189</v>
      </c>
      <c r="D195" s="3" t="s">
        <v>21</v>
      </c>
      <c r="E195" s="4" t="s">
        <v>14</v>
      </c>
      <c r="F195" s="3" t="s">
        <v>921</v>
      </c>
      <c r="G195" s="3" t="s">
        <v>191</v>
      </c>
      <c r="H195" s="3" t="s">
        <v>23</v>
      </c>
      <c r="I195" s="9" t="s">
        <v>938</v>
      </c>
      <c r="J195" s="14"/>
      <c r="K195" s="35" t="s">
        <v>937</v>
      </c>
      <c r="L195" s="6" t="s">
        <v>69</v>
      </c>
      <c r="M195" s="103">
        <v>360000</v>
      </c>
      <c r="N195" s="49" t="s">
        <v>942</v>
      </c>
    </row>
    <row r="196" spans="1:15" hidden="1" x14ac:dyDescent="0.3">
      <c r="A196" s="59">
        <v>38</v>
      </c>
      <c r="B196" s="532"/>
      <c r="C196" s="550">
        <v>45190</v>
      </c>
      <c r="D196" s="3" t="s">
        <v>21</v>
      </c>
      <c r="E196" s="4" t="s">
        <v>14</v>
      </c>
      <c r="F196" s="3" t="s">
        <v>921</v>
      </c>
      <c r="G196" s="3" t="s">
        <v>191</v>
      </c>
      <c r="H196" s="3" t="s">
        <v>23</v>
      </c>
      <c r="I196" s="9" t="s">
        <v>938</v>
      </c>
      <c r="J196" s="14"/>
      <c r="K196" s="35" t="s">
        <v>937</v>
      </c>
      <c r="L196" s="6" t="s">
        <v>935</v>
      </c>
      <c r="M196" s="103">
        <v>360000</v>
      </c>
      <c r="N196" s="49" t="s">
        <v>942</v>
      </c>
    </row>
    <row r="197" spans="1:15" hidden="1" x14ac:dyDescent="0.3">
      <c r="A197" s="59">
        <v>38</v>
      </c>
      <c r="B197" s="532"/>
      <c r="C197" s="551"/>
      <c r="D197" s="3" t="s">
        <v>21</v>
      </c>
      <c r="E197" s="4" t="s">
        <v>14</v>
      </c>
      <c r="F197" s="3" t="s">
        <v>212</v>
      </c>
      <c r="G197" s="3" t="s">
        <v>832</v>
      </c>
      <c r="H197" s="3" t="s">
        <v>923</v>
      </c>
      <c r="I197" s="9" t="s">
        <v>924</v>
      </c>
      <c r="J197" s="14" t="s">
        <v>933</v>
      </c>
      <c r="K197" s="35" t="s">
        <v>934</v>
      </c>
      <c r="L197" s="6" t="s">
        <v>935</v>
      </c>
      <c r="M197" s="103">
        <v>250000</v>
      </c>
      <c r="N197" s="49" t="s">
        <v>943</v>
      </c>
    </row>
    <row r="198" spans="1:15" hidden="1" x14ac:dyDescent="0.3">
      <c r="A198" s="59">
        <v>38</v>
      </c>
      <c r="B198" s="532"/>
      <c r="C198" s="550">
        <v>45191</v>
      </c>
      <c r="D198" s="3" t="s">
        <v>21</v>
      </c>
      <c r="E198" s="4" t="s">
        <v>14</v>
      </c>
      <c r="F198" s="3" t="s">
        <v>921</v>
      </c>
      <c r="G198" s="3" t="s">
        <v>191</v>
      </c>
      <c r="H198" s="3" t="s">
        <v>23</v>
      </c>
      <c r="I198" s="9" t="s">
        <v>938</v>
      </c>
      <c r="J198" s="14"/>
      <c r="K198" s="35" t="s">
        <v>937</v>
      </c>
      <c r="L198" s="6" t="s">
        <v>935</v>
      </c>
      <c r="M198" s="103">
        <v>360000</v>
      </c>
      <c r="N198" s="49" t="s">
        <v>942</v>
      </c>
    </row>
    <row r="199" spans="1:15" hidden="1" x14ac:dyDescent="0.3">
      <c r="A199" s="59">
        <v>38</v>
      </c>
      <c r="B199" s="533"/>
      <c r="C199" s="551"/>
      <c r="D199" s="3" t="s">
        <v>21</v>
      </c>
      <c r="E199" s="4" t="s">
        <v>928</v>
      </c>
      <c r="F199" s="3" t="s">
        <v>929</v>
      </c>
      <c r="G199" s="3" t="s">
        <v>930</v>
      </c>
      <c r="H199" s="3" t="s">
        <v>931</v>
      </c>
      <c r="I199" s="9" t="s">
        <v>932</v>
      </c>
      <c r="J199" s="14" t="s">
        <v>936</v>
      </c>
      <c r="K199" s="3" t="s">
        <v>934</v>
      </c>
      <c r="L199" s="6" t="s">
        <v>69</v>
      </c>
      <c r="M199" s="103">
        <v>250000</v>
      </c>
      <c r="N199" s="49" t="s">
        <v>942</v>
      </c>
    </row>
    <row r="200" spans="1:15" hidden="1" x14ac:dyDescent="0.3">
      <c r="A200" s="59">
        <v>39</v>
      </c>
      <c r="B200" s="531" t="s">
        <v>20</v>
      </c>
      <c r="C200" s="547" t="s">
        <v>951</v>
      </c>
      <c r="D200" s="4" t="s">
        <v>19</v>
      </c>
      <c r="E200" s="4" t="s">
        <v>25</v>
      </c>
      <c r="F200" s="4" t="s">
        <v>20</v>
      </c>
      <c r="G200" s="4">
        <v>2585</v>
      </c>
      <c r="H200" s="4" t="s">
        <v>363</v>
      </c>
      <c r="I200" s="9" t="s">
        <v>857</v>
      </c>
      <c r="J200" s="14" t="s">
        <v>127</v>
      </c>
      <c r="K200" s="3" t="s">
        <v>112</v>
      </c>
      <c r="L200" s="61" t="s">
        <v>210</v>
      </c>
      <c r="M200" s="103">
        <v>250000</v>
      </c>
      <c r="N200" s="49" t="s">
        <v>122</v>
      </c>
    </row>
    <row r="201" spans="1:15" hidden="1" x14ac:dyDescent="0.3">
      <c r="A201" s="59">
        <v>39</v>
      </c>
      <c r="B201" s="532"/>
      <c r="C201" s="549"/>
      <c r="D201" s="4" t="s">
        <v>19</v>
      </c>
      <c r="E201" s="4" t="s">
        <v>25</v>
      </c>
      <c r="F201" s="4" t="s">
        <v>20</v>
      </c>
      <c r="G201" s="4">
        <v>3306</v>
      </c>
      <c r="H201" s="4" t="s">
        <v>813</v>
      </c>
      <c r="I201" s="9" t="s">
        <v>857</v>
      </c>
      <c r="J201" s="14" t="s">
        <v>127</v>
      </c>
      <c r="K201" s="3" t="s">
        <v>119</v>
      </c>
      <c r="L201" s="61" t="s">
        <v>210</v>
      </c>
      <c r="M201" s="103">
        <v>500000</v>
      </c>
      <c r="N201" s="49" t="s">
        <v>122</v>
      </c>
    </row>
    <row r="202" spans="1:15" ht="16.5" hidden="1" customHeight="1" x14ac:dyDescent="0.3">
      <c r="A202" s="59">
        <v>39</v>
      </c>
      <c r="B202" s="532"/>
      <c r="C202" s="547" t="s">
        <v>952</v>
      </c>
      <c r="D202" s="4" t="s">
        <v>19</v>
      </c>
      <c r="E202" s="4" t="s">
        <v>25</v>
      </c>
      <c r="F202" s="4" t="s">
        <v>20</v>
      </c>
      <c r="G202" s="4">
        <v>2585</v>
      </c>
      <c r="H202" s="4" t="s">
        <v>400</v>
      </c>
      <c r="I202" s="9" t="s">
        <v>266</v>
      </c>
      <c r="J202" s="14" t="s">
        <v>95</v>
      </c>
      <c r="K202" s="3" t="s">
        <v>953</v>
      </c>
      <c r="L202" s="61" t="s">
        <v>210</v>
      </c>
      <c r="M202" s="103">
        <f>250000*4</f>
        <v>1000000</v>
      </c>
      <c r="N202" s="85" t="s">
        <v>248</v>
      </c>
    </row>
    <row r="203" spans="1:15" hidden="1" x14ac:dyDescent="0.3">
      <c r="A203" s="59">
        <v>39</v>
      </c>
      <c r="B203" s="533"/>
      <c r="C203" s="549"/>
      <c r="D203" s="4" t="s">
        <v>19</v>
      </c>
      <c r="E203" s="4" t="s">
        <v>25</v>
      </c>
      <c r="F203" s="4" t="s">
        <v>20</v>
      </c>
      <c r="G203" s="4" t="s">
        <v>853</v>
      </c>
      <c r="H203" s="4" t="s">
        <v>103</v>
      </c>
      <c r="I203" s="9" t="s">
        <v>266</v>
      </c>
      <c r="J203" s="14" t="s">
        <v>95</v>
      </c>
      <c r="K203" s="3" t="s">
        <v>953</v>
      </c>
      <c r="L203" s="61" t="s">
        <v>210</v>
      </c>
      <c r="M203" s="103">
        <f>250000*4</f>
        <v>1000000</v>
      </c>
      <c r="N203" s="85" t="s">
        <v>248</v>
      </c>
    </row>
    <row r="204" spans="1:15" hidden="1" x14ac:dyDescent="0.3">
      <c r="A204" s="59">
        <v>39</v>
      </c>
      <c r="B204" s="531" t="s">
        <v>21</v>
      </c>
      <c r="C204" s="16">
        <v>45194</v>
      </c>
      <c r="D204" s="3" t="s">
        <v>21</v>
      </c>
      <c r="E204" s="4" t="s">
        <v>14</v>
      </c>
      <c r="F204" s="3" t="s">
        <v>278</v>
      </c>
      <c r="G204" s="3">
        <v>4208</v>
      </c>
      <c r="H204" s="3" t="s">
        <v>228</v>
      </c>
      <c r="I204" s="9" t="s">
        <v>948</v>
      </c>
      <c r="J204" s="14"/>
      <c r="K204" s="3" t="s">
        <v>643</v>
      </c>
      <c r="L204" s="6" t="s">
        <v>69</v>
      </c>
      <c r="M204" s="103">
        <v>500000</v>
      </c>
      <c r="N204" s="49" t="s">
        <v>943</v>
      </c>
    </row>
    <row r="205" spans="1:15" hidden="1" x14ac:dyDescent="0.3">
      <c r="A205" s="59">
        <v>39</v>
      </c>
      <c r="B205" s="532"/>
      <c r="C205" s="16">
        <v>45195</v>
      </c>
      <c r="D205" s="3" t="s">
        <v>21</v>
      </c>
      <c r="E205" s="4" t="s">
        <v>14</v>
      </c>
      <c r="F205" s="3" t="s">
        <v>108</v>
      </c>
      <c r="G205" s="3" t="s">
        <v>109</v>
      </c>
      <c r="H205" s="3" t="s">
        <v>378</v>
      </c>
      <c r="I205" s="9" t="s">
        <v>286</v>
      </c>
      <c r="J205" s="14" t="s">
        <v>90</v>
      </c>
      <c r="K205" s="3" t="s">
        <v>154</v>
      </c>
      <c r="L205" s="6" t="s">
        <v>69</v>
      </c>
      <c r="M205" s="103">
        <v>250000</v>
      </c>
      <c r="N205" s="49" t="s">
        <v>215</v>
      </c>
      <c r="O205" t="s">
        <v>1006</v>
      </c>
    </row>
    <row r="206" spans="1:15" hidden="1" x14ac:dyDescent="0.3">
      <c r="A206" s="59">
        <v>39</v>
      </c>
      <c r="B206" s="533"/>
      <c r="C206" s="16">
        <v>45196</v>
      </c>
      <c r="D206" s="3" t="s">
        <v>21</v>
      </c>
      <c r="E206" s="4" t="s">
        <v>14</v>
      </c>
      <c r="F206" s="3" t="s">
        <v>625</v>
      </c>
      <c r="G206" s="3" t="s">
        <v>274</v>
      </c>
      <c r="H206" s="3" t="s">
        <v>103</v>
      </c>
      <c r="I206" s="9" t="s">
        <v>950</v>
      </c>
      <c r="J206" s="14" t="s">
        <v>90</v>
      </c>
      <c r="K206" s="3" t="s">
        <v>112</v>
      </c>
      <c r="L206" s="6" t="s">
        <v>69</v>
      </c>
      <c r="M206" s="103">
        <v>250000</v>
      </c>
      <c r="N206" s="49" t="s">
        <v>954</v>
      </c>
    </row>
    <row r="207" spans="1:15" ht="16.5" hidden="1" customHeight="1" x14ac:dyDescent="0.3">
      <c r="A207" s="59">
        <v>41</v>
      </c>
      <c r="B207" s="531" t="s">
        <v>20</v>
      </c>
      <c r="C207" s="547" t="s">
        <v>967</v>
      </c>
      <c r="D207" s="4" t="s">
        <v>19</v>
      </c>
      <c r="E207" s="4" t="s">
        <v>25</v>
      </c>
      <c r="F207" s="4" t="s">
        <v>20</v>
      </c>
      <c r="G207" s="4" t="s">
        <v>965</v>
      </c>
      <c r="H207" s="4" t="s">
        <v>966</v>
      </c>
      <c r="I207" s="9" t="s">
        <v>857</v>
      </c>
      <c r="J207" s="14" t="s">
        <v>127</v>
      </c>
      <c r="K207" s="3" t="s">
        <v>119</v>
      </c>
      <c r="L207" s="61" t="s">
        <v>210</v>
      </c>
      <c r="M207" s="103">
        <f>250000*2</f>
        <v>500000</v>
      </c>
      <c r="N207" s="49" t="s">
        <v>122</v>
      </c>
    </row>
    <row r="208" spans="1:15" hidden="1" x14ac:dyDescent="0.3">
      <c r="A208" s="59">
        <v>41</v>
      </c>
      <c r="B208" s="532"/>
      <c r="C208" s="549"/>
      <c r="D208" s="4" t="s">
        <v>19</v>
      </c>
      <c r="E208" s="4" t="s">
        <v>25</v>
      </c>
      <c r="F208" s="4" t="s">
        <v>20</v>
      </c>
      <c r="G208" s="4">
        <v>3306</v>
      </c>
      <c r="H208" s="4" t="s">
        <v>813</v>
      </c>
      <c r="I208" s="9" t="s">
        <v>857</v>
      </c>
      <c r="J208" s="14" t="s">
        <v>127</v>
      </c>
      <c r="K208" s="3" t="s">
        <v>119</v>
      </c>
      <c r="L208" s="61" t="s">
        <v>210</v>
      </c>
      <c r="M208" s="103">
        <v>500000</v>
      </c>
      <c r="N208" s="49" t="s">
        <v>122</v>
      </c>
    </row>
    <row r="209" spans="1:15" hidden="1" x14ac:dyDescent="0.3">
      <c r="A209" s="59">
        <v>41</v>
      </c>
      <c r="B209" s="533"/>
      <c r="C209" s="129">
        <v>45209</v>
      </c>
      <c r="D209" s="4" t="s">
        <v>19</v>
      </c>
      <c r="E209" s="4" t="s">
        <v>25</v>
      </c>
      <c r="F209" s="4" t="s">
        <v>20</v>
      </c>
      <c r="G209" s="4">
        <v>2584</v>
      </c>
      <c r="H209" s="4" t="s">
        <v>968</v>
      </c>
      <c r="I209" s="9" t="s">
        <v>266</v>
      </c>
      <c r="J209" s="14" t="s">
        <v>95</v>
      </c>
      <c r="K209" s="3" t="s">
        <v>908</v>
      </c>
      <c r="L209" s="61" t="s">
        <v>210</v>
      </c>
      <c r="M209" s="103">
        <f>250000*2</f>
        <v>500000</v>
      </c>
      <c r="N209" s="85" t="s">
        <v>248</v>
      </c>
    </row>
    <row r="210" spans="1:15" ht="27" hidden="1" x14ac:dyDescent="0.3">
      <c r="A210" s="59">
        <v>41</v>
      </c>
      <c r="B210" s="531" t="s">
        <v>21</v>
      </c>
      <c r="C210" s="2">
        <v>45209</v>
      </c>
      <c r="D210" s="3" t="s">
        <v>21</v>
      </c>
      <c r="E210" s="4" t="s">
        <v>14</v>
      </c>
      <c r="F210" s="3" t="s">
        <v>212</v>
      </c>
      <c r="G210" s="15" t="s">
        <v>832</v>
      </c>
      <c r="H210" s="3" t="s">
        <v>959</v>
      </c>
      <c r="I210" s="5" t="s">
        <v>239</v>
      </c>
      <c r="J210" s="14"/>
      <c r="K210" s="35" t="s">
        <v>324</v>
      </c>
      <c r="L210" s="6"/>
      <c r="M210" s="103">
        <f>250000*2</f>
        <v>500000</v>
      </c>
      <c r="N210" s="49" t="s">
        <v>969</v>
      </c>
    </row>
    <row r="211" spans="1:15" ht="40.5" hidden="1" x14ac:dyDescent="0.3">
      <c r="A211" s="59">
        <v>41</v>
      </c>
      <c r="B211" s="533"/>
      <c r="C211" s="38">
        <v>45210</v>
      </c>
      <c r="D211" s="3" t="s">
        <v>139</v>
      </c>
      <c r="E211" s="4" t="s">
        <v>14</v>
      </c>
      <c r="F211" s="3" t="s">
        <v>212</v>
      </c>
      <c r="G211" s="3">
        <v>2461</v>
      </c>
      <c r="H211" s="3" t="s">
        <v>18</v>
      </c>
      <c r="I211" s="9" t="s">
        <v>964</v>
      </c>
      <c r="J211" s="14" t="s">
        <v>90</v>
      </c>
      <c r="K211" s="3" t="s">
        <v>961</v>
      </c>
      <c r="L211" s="6"/>
      <c r="M211" s="103">
        <f>250000*1</f>
        <v>250000</v>
      </c>
      <c r="N211" s="49" t="s">
        <v>970</v>
      </c>
    </row>
    <row r="212" spans="1:15" ht="27" hidden="1" x14ac:dyDescent="0.3">
      <c r="A212" s="59">
        <v>42</v>
      </c>
      <c r="B212" s="531" t="s">
        <v>981</v>
      </c>
      <c r="C212" s="99" t="s">
        <v>978</v>
      </c>
      <c r="D212" s="4" t="s">
        <v>19</v>
      </c>
      <c r="E212" s="4" t="s">
        <v>25</v>
      </c>
      <c r="F212" s="4" t="s">
        <v>20</v>
      </c>
      <c r="G212" s="4">
        <v>3306</v>
      </c>
      <c r="H212" s="4" t="s">
        <v>813</v>
      </c>
      <c r="I212" s="9" t="s">
        <v>857</v>
      </c>
      <c r="J212" s="14" t="s">
        <v>127</v>
      </c>
      <c r="K212" s="3" t="s">
        <v>979</v>
      </c>
      <c r="L212" s="61" t="s">
        <v>210</v>
      </c>
      <c r="M212" s="103">
        <f>250000*5</f>
        <v>1250000</v>
      </c>
      <c r="N212" s="49" t="s">
        <v>122</v>
      </c>
    </row>
    <row r="213" spans="1:15" hidden="1" x14ac:dyDescent="0.3">
      <c r="A213" s="59">
        <v>42</v>
      </c>
      <c r="B213" s="532"/>
      <c r="C213" s="99">
        <v>45213</v>
      </c>
      <c r="D213" s="4" t="s">
        <v>19</v>
      </c>
      <c r="E213" s="4" t="s">
        <v>25</v>
      </c>
      <c r="F213" s="4" t="s">
        <v>20</v>
      </c>
      <c r="G213" s="4" t="s">
        <v>965</v>
      </c>
      <c r="H213" s="4" t="s">
        <v>966</v>
      </c>
      <c r="I213" s="9" t="s">
        <v>266</v>
      </c>
      <c r="J213" s="14" t="s">
        <v>95</v>
      </c>
      <c r="K213" s="3" t="s">
        <v>908</v>
      </c>
      <c r="L213" s="61" t="s">
        <v>210</v>
      </c>
      <c r="M213" s="103">
        <f>250000*2</f>
        <v>500000</v>
      </c>
      <c r="N213" s="49" t="s">
        <v>248</v>
      </c>
    </row>
    <row r="214" spans="1:15" hidden="1" x14ac:dyDescent="0.3">
      <c r="A214" s="59">
        <v>42</v>
      </c>
      <c r="B214" s="533"/>
      <c r="C214" s="99">
        <v>45216</v>
      </c>
      <c r="D214" s="4" t="s">
        <v>19</v>
      </c>
      <c r="E214" s="4" t="s">
        <v>25</v>
      </c>
      <c r="F214" s="4" t="s">
        <v>20</v>
      </c>
      <c r="G214" s="4" t="s">
        <v>976</v>
      </c>
      <c r="H214" s="4" t="s">
        <v>977</v>
      </c>
      <c r="I214" s="9" t="s">
        <v>266</v>
      </c>
      <c r="J214" s="14" t="s">
        <v>95</v>
      </c>
      <c r="K214" s="3" t="s">
        <v>908</v>
      </c>
      <c r="L214" s="61" t="s">
        <v>210</v>
      </c>
      <c r="M214" s="103">
        <f>250000*2</f>
        <v>500000</v>
      </c>
      <c r="N214" s="49" t="s">
        <v>248</v>
      </c>
    </row>
    <row r="215" spans="1:15" hidden="1" x14ac:dyDescent="0.3">
      <c r="A215" s="59">
        <v>42</v>
      </c>
      <c r="B215" s="531" t="s">
        <v>21</v>
      </c>
      <c r="C215" s="16">
        <v>45215</v>
      </c>
      <c r="D215" s="3" t="s">
        <v>21</v>
      </c>
      <c r="E215" s="4" t="s">
        <v>14</v>
      </c>
      <c r="F215" s="3" t="s">
        <v>150</v>
      </c>
      <c r="G215" s="15" t="s">
        <v>245</v>
      </c>
      <c r="H215" s="3" t="s">
        <v>23</v>
      </c>
      <c r="I215" s="9" t="s">
        <v>949</v>
      </c>
      <c r="J215" s="14" t="s">
        <v>975</v>
      </c>
      <c r="K215" s="3" t="s">
        <v>972</v>
      </c>
      <c r="L215" s="6" t="s">
        <v>971</v>
      </c>
      <c r="M215" s="103">
        <v>250000</v>
      </c>
      <c r="N215" s="49" t="s">
        <v>980</v>
      </c>
    </row>
    <row r="216" spans="1:15" hidden="1" x14ac:dyDescent="0.3">
      <c r="A216" s="59">
        <v>42</v>
      </c>
      <c r="B216" s="532"/>
      <c r="C216" s="16">
        <v>45216</v>
      </c>
      <c r="D216" s="3" t="s">
        <v>21</v>
      </c>
      <c r="E216" s="4" t="s">
        <v>14</v>
      </c>
      <c r="F216" s="3" t="s">
        <v>150</v>
      </c>
      <c r="G216" s="15" t="s">
        <v>245</v>
      </c>
      <c r="H216" s="3" t="s">
        <v>23</v>
      </c>
      <c r="I216" s="9" t="s">
        <v>974</v>
      </c>
      <c r="J216" s="14" t="s">
        <v>975</v>
      </c>
      <c r="K216" s="3" t="s">
        <v>972</v>
      </c>
      <c r="L216" s="6" t="s">
        <v>971</v>
      </c>
      <c r="M216" s="103">
        <v>250000</v>
      </c>
      <c r="N216" s="49" t="s">
        <v>980</v>
      </c>
    </row>
    <row r="217" spans="1:15" hidden="1" x14ac:dyDescent="0.3">
      <c r="A217" s="59">
        <v>42</v>
      </c>
      <c r="B217" s="533"/>
      <c r="C217" s="16">
        <v>45217</v>
      </c>
      <c r="D217" s="3" t="s">
        <v>21</v>
      </c>
      <c r="E217" s="4" t="s">
        <v>14</v>
      </c>
      <c r="F217" s="3" t="s">
        <v>150</v>
      </c>
      <c r="G217" s="15" t="s">
        <v>245</v>
      </c>
      <c r="H217" s="3" t="s">
        <v>23</v>
      </c>
      <c r="I217" s="9" t="s">
        <v>973</v>
      </c>
      <c r="J217" s="14" t="s">
        <v>975</v>
      </c>
      <c r="K217" s="3" t="s">
        <v>972</v>
      </c>
      <c r="L217" s="6" t="s">
        <v>971</v>
      </c>
      <c r="M217" s="103">
        <v>250000</v>
      </c>
      <c r="N217" s="49" t="s">
        <v>980</v>
      </c>
    </row>
    <row r="218" spans="1:15" ht="16.5" hidden="1" customHeight="1" x14ac:dyDescent="0.3">
      <c r="A218" s="59">
        <v>43</v>
      </c>
      <c r="B218" s="531" t="s">
        <v>20</v>
      </c>
      <c r="C218" s="547" t="s">
        <v>982</v>
      </c>
      <c r="D218" s="4" t="s">
        <v>19</v>
      </c>
      <c r="E218" s="4" t="s">
        <v>25</v>
      </c>
      <c r="F218" s="4" t="s">
        <v>20</v>
      </c>
      <c r="G218" s="4">
        <v>3306</v>
      </c>
      <c r="H218" s="4" t="s">
        <v>813</v>
      </c>
      <c r="I218" s="9" t="s">
        <v>857</v>
      </c>
      <c r="J218" s="14" t="s">
        <v>127</v>
      </c>
      <c r="K218" s="3" t="s">
        <v>615</v>
      </c>
      <c r="L218" s="61" t="s">
        <v>210</v>
      </c>
      <c r="M218" s="103">
        <f>250000*3</f>
        <v>750000</v>
      </c>
      <c r="N218" s="49" t="s">
        <v>122</v>
      </c>
    </row>
    <row r="219" spans="1:15" hidden="1" x14ac:dyDescent="0.3">
      <c r="A219" s="59">
        <v>43</v>
      </c>
      <c r="B219" s="532"/>
      <c r="C219" s="549"/>
      <c r="D219" s="4" t="s">
        <v>19</v>
      </c>
      <c r="E219" s="4" t="s">
        <v>25</v>
      </c>
      <c r="F219" s="4" t="s">
        <v>20</v>
      </c>
      <c r="G219" s="4">
        <v>2584</v>
      </c>
      <c r="H219" s="4" t="s">
        <v>265</v>
      </c>
      <c r="I219" s="9" t="s">
        <v>857</v>
      </c>
      <c r="J219" s="14" t="s">
        <v>127</v>
      </c>
      <c r="K219" s="3" t="s">
        <v>119</v>
      </c>
      <c r="L219" s="61" t="s">
        <v>210</v>
      </c>
      <c r="M219" s="103">
        <f>250000*2</f>
        <v>500000</v>
      </c>
      <c r="N219" s="49" t="s">
        <v>122</v>
      </c>
    </row>
    <row r="220" spans="1:15" hidden="1" x14ac:dyDescent="0.3">
      <c r="A220" s="59">
        <v>43</v>
      </c>
      <c r="B220" s="533"/>
      <c r="C220" s="99">
        <v>45222</v>
      </c>
      <c r="D220" s="4" t="s">
        <v>19</v>
      </c>
      <c r="E220" s="4" t="s">
        <v>25</v>
      </c>
      <c r="F220" s="4" t="s">
        <v>20</v>
      </c>
      <c r="G220" s="4" t="s">
        <v>963</v>
      </c>
      <c r="H220" s="4" t="s">
        <v>146</v>
      </c>
      <c r="I220" s="9" t="s">
        <v>266</v>
      </c>
      <c r="J220" s="14" t="s">
        <v>95</v>
      </c>
      <c r="K220" s="3" t="s">
        <v>908</v>
      </c>
      <c r="L220" s="61" t="s">
        <v>210</v>
      </c>
      <c r="M220" s="103">
        <f>250000*2</f>
        <v>500000</v>
      </c>
      <c r="N220" s="49" t="s">
        <v>248</v>
      </c>
    </row>
    <row r="221" spans="1:15" hidden="1" x14ac:dyDescent="0.3">
      <c r="A221" s="59">
        <v>43</v>
      </c>
      <c r="B221" s="531" t="s">
        <v>21</v>
      </c>
      <c r="C221" s="2">
        <v>45222</v>
      </c>
      <c r="D221" s="3" t="s">
        <v>21</v>
      </c>
      <c r="E221" s="4" t="s">
        <v>14</v>
      </c>
      <c r="F221" s="3" t="s">
        <v>278</v>
      </c>
      <c r="G221" s="3">
        <v>4208</v>
      </c>
      <c r="H221" s="3" t="s">
        <v>18</v>
      </c>
      <c r="I221" s="5" t="s">
        <v>983</v>
      </c>
      <c r="J221" s="14" t="s">
        <v>90</v>
      </c>
      <c r="K221" s="35" t="s">
        <v>643</v>
      </c>
      <c r="L221" s="6" t="s">
        <v>15</v>
      </c>
      <c r="M221" s="103">
        <f>250000*2</f>
        <v>500000</v>
      </c>
      <c r="N221" s="49" t="s">
        <v>984</v>
      </c>
      <c r="O221" t="s">
        <v>230</v>
      </c>
    </row>
    <row r="222" spans="1:15" hidden="1" x14ac:dyDescent="0.3">
      <c r="A222" s="59">
        <v>43</v>
      </c>
      <c r="B222" s="532"/>
      <c r="C222" s="2">
        <v>45223</v>
      </c>
      <c r="D222" s="3" t="s">
        <v>21</v>
      </c>
      <c r="E222" s="4" t="s">
        <v>14</v>
      </c>
      <c r="F222" s="3" t="s">
        <v>278</v>
      </c>
      <c r="G222" s="3">
        <v>4209</v>
      </c>
      <c r="H222" s="3" t="s">
        <v>18</v>
      </c>
      <c r="I222" s="5" t="s">
        <v>983</v>
      </c>
      <c r="J222" s="14" t="s">
        <v>90</v>
      </c>
      <c r="K222" s="35" t="s">
        <v>643</v>
      </c>
      <c r="L222" s="6" t="s">
        <v>15</v>
      </c>
      <c r="M222" s="103">
        <f t="shared" ref="M222:M223" si="5">250000*2</f>
        <v>500000</v>
      </c>
      <c r="N222" s="49" t="s">
        <v>984</v>
      </c>
      <c r="O222" t="s">
        <v>1005</v>
      </c>
    </row>
    <row r="223" spans="1:15" hidden="1" x14ac:dyDescent="0.3">
      <c r="A223" s="59">
        <v>43</v>
      </c>
      <c r="B223" s="533"/>
      <c r="C223" s="38">
        <v>45224</v>
      </c>
      <c r="D223" s="3" t="s">
        <v>21</v>
      </c>
      <c r="E223" s="4" t="s">
        <v>14</v>
      </c>
      <c r="F223" s="3" t="s">
        <v>278</v>
      </c>
      <c r="G223" s="3">
        <v>4204</v>
      </c>
      <c r="H223" s="3" t="s">
        <v>18</v>
      </c>
      <c r="I223" s="9" t="s">
        <v>983</v>
      </c>
      <c r="J223" s="14" t="s">
        <v>90</v>
      </c>
      <c r="K223" s="3" t="s">
        <v>643</v>
      </c>
      <c r="L223" s="6" t="s">
        <v>15</v>
      </c>
      <c r="M223" s="103">
        <f t="shared" si="5"/>
        <v>500000</v>
      </c>
      <c r="N223" s="49" t="s">
        <v>984</v>
      </c>
    </row>
    <row r="224" spans="1:15" ht="27" hidden="1" x14ac:dyDescent="0.3">
      <c r="A224" s="59">
        <v>44</v>
      </c>
      <c r="B224" s="531" t="s">
        <v>20</v>
      </c>
      <c r="C224" s="130" t="s">
        <v>998</v>
      </c>
      <c r="D224" s="4" t="s">
        <v>19</v>
      </c>
      <c r="E224" s="4" t="s">
        <v>25</v>
      </c>
      <c r="F224" s="4" t="s">
        <v>20</v>
      </c>
      <c r="G224" s="4">
        <v>3306</v>
      </c>
      <c r="H224" s="4" t="s">
        <v>813</v>
      </c>
      <c r="I224" s="9" t="s">
        <v>857</v>
      </c>
      <c r="J224" s="14" t="s">
        <v>127</v>
      </c>
      <c r="K224" s="3" t="s">
        <v>815</v>
      </c>
      <c r="L224" s="61" t="s">
        <v>210</v>
      </c>
      <c r="M224" s="103">
        <f>250000*5</f>
        <v>1250000</v>
      </c>
      <c r="N224" s="49" t="s">
        <v>122</v>
      </c>
    </row>
    <row r="225" spans="1:14" hidden="1" x14ac:dyDescent="0.3">
      <c r="A225" s="59">
        <v>44</v>
      </c>
      <c r="B225" s="532"/>
      <c r="C225" s="99">
        <v>45232</v>
      </c>
      <c r="D225" s="4" t="s">
        <v>19</v>
      </c>
      <c r="E225" s="4" t="s">
        <v>25</v>
      </c>
      <c r="F225" s="4" t="s">
        <v>20</v>
      </c>
      <c r="G225" s="4">
        <v>2584</v>
      </c>
      <c r="H225" s="4" t="s">
        <v>265</v>
      </c>
      <c r="I225" s="9" t="s">
        <v>266</v>
      </c>
      <c r="J225" s="14" t="s">
        <v>95</v>
      </c>
      <c r="K225" s="3" t="s">
        <v>908</v>
      </c>
      <c r="L225" s="61" t="s">
        <v>210</v>
      </c>
      <c r="M225" s="103">
        <f t="shared" ref="M225:M226" si="6">250000*2</f>
        <v>500000</v>
      </c>
      <c r="N225" s="552" t="s">
        <v>248</v>
      </c>
    </row>
    <row r="226" spans="1:14" hidden="1" x14ac:dyDescent="0.3">
      <c r="A226" s="59">
        <v>44</v>
      </c>
      <c r="B226" s="532"/>
      <c r="C226" s="99">
        <v>45233</v>
      </c>
      <c r="D226" s="4" t="s">
        <v>19</v>
      </c>
      <c r="E226" s="4" t="s">
        <v>25</v>
      </c>
      <c r="F226" s="4" t="s">
        <v>20</v>
      </c>
      <c r="G226" s="4">
        <v>2584</v>
      </c>
      <c r="H226" s="4" t="s">
        <v>265</v>
      </c>
      <c r="I226" s="9" t="s">
        <v>266</v>
      </c>
      <c r="J226" s="14" t="s">
        <v>95</v>
      </c>
      <c r="K226" s="3" t="s">
        <v>908</v>
      </c>
      <c r="L226" s="61" t="s">
        <v>210</v>
      </c>
      <c r="M226" s="103">
        <f t="shared" si="6"/>
        <v>500000</v>
      </c>
      <c r="N226" s="567"/>
    </row>
    <row r="227" spans="1:14" hidden="1" x14ac:dyDescent="0.3">
      <c r="A227" s="59">
        <v>44</v>
      </c>
      <c r="B227" s="533"/>
      <c r="C227" s="99">
        <v>45234</v>
      </c>
      <c r="D227" s="4" t="s">
        <v>19</v>
      </c>
      <c r="E227" s="4" t="s">
        <v>25</v>
      </c>
      <c r="F227" s="4" t="s">
        <v>20</v>
      </c>
      <c r="G227" s="4">
        <v>2584</v>
      </c>
      <c r="H227" s="4" t="s">
        <v>363</v>
      </c>
      <c r="I227" s="9" t="s">
        <v>266</v>
      </c>
      <c r="J227" s="14" t="s">
        <v>95</v>
      </c>
      <c r="K227" s="3" t="s">
        <v>908</v>
      </c>
      <c r="L227" s="61" t="s">
        <v>210</v>
      </c>
      <c r="M227" s="103">
        <f>250000*2</f>
        <v>500000</v>
      </c>
      <c r="N227" s="553"/>
    </row>
    <row r="228" spans="1:14" hidden="1" x14ac:dyDescent="0.3">
      <c r="A228" s="59">
        <v>44</v>
      </c>
      <c r="B228" s="531" t="s">
        <v>21</v>
      </c>
      <c r="C228" s="2">
        <v>45230</v>
      </c>
      <c r="D228" s="3" t="s">
        <v>992</v>
      </c>
      <c r="E228" s="4" t="s">
        <v>993</v>
      </c>
      <c r="F228" s="3" t="s">
        <v>994</v>
      </c>
      <c r="G228" s="3" t="s">
        <v>995</v>
      </c>
      <c r="H228" s="3" t="s">
        <v>996</v>
      </c>
      <c r="I228" s="9" t="s">
        <v>1000</v>
      </c>
      <c r="J228" s="14" t="s">
        <v>990</v>
      </c>
      <c r="K228" s="3" t="s">
        <v>997</v>
      </c>
      <c r="L228" s="6" t="s">
        <v>15</v>
      </c>
      <c r="M228" s="103">
        <f>250000*1</f>
        <v>250000</v>
      </c>
      <c r="N228" s="49" t="s">
        <v>999</v>
      </c>
    </row>
    <row r="229" spans="1:14" hidden="1" x14ac:dyDescent="0.3">
      <c r="A229" s="59">
        <v>44</v>
      </c>
      <c r="B229" s="533"/>
      <c r="C229" s="38">
        <v>45231</v>
      </c>
      <c r="D229" s="3" t="s">
        <v>21</v>
      </c>
      <c r="E229" s="4" t="s">
        <v>14</v>
      </c>
      <c r="F229" s="3" t="s">
        <v>278</v>
      </c>
      <c r="G229" s="3">
        <v>4210</v>
      </c>
      <c r="H229" s="3" t="s">
        <v>18</v>
      </c>
      <c r="I229" s="9" t="s">
        <v>983</v>
      </c>
      <c r="J229" s="14"/>
      <c r="K229" s="3" t="s">
        <v>643</v>
      </c>
      <c r="L229" s="6" t="s">
        <v>15</v>
      </c>
      <c r="M229" s="103">
        <f t="shared" ref="M229" si="7">250000*2</f>
        <v>500000</v>
      </c>
      <c r="N229" s="49" t="s">
        <v>984</v>
      </c>
    </row>
    <row r="230" spans="1:14" ht="27" hidden="1" x14ac:dyDescent="0.3">
      <c r="A230" s="59">
        <v>45</v>
      </c>
      <c r="B230" s="531" t="s">
        <v>20</v>
      </c>
      <c r="C230" s="99" t="s">
        <v>998</v>
      </c>
      <c r="D230" s="4" t="s">
        <v>19</v>
      </c>
      <c r="E230" s="4" t="s">
        <v>25</v>
      </c>
      <c r="F230" s="4" t="s">
        <v>20</v>
      </c>
      <c r="G230" s="4">
        <v>3306</v>
      </c>
      <c r="H230" s="4" t="s">
        <v>813</v>
      </c>
      <c r="I230" s="9" t="s">
        <v>857</v>
      </c>
      <c r="J230" s="14" t="s">
        <v>127</v>
      </c>
      <c r="K230" s="3" t="s">
        <v>815</v>
      </c>
      <c r="L230" s="61" t="s">
        <v>210</v>
      </c>
      <c r="M230" s="103">
        <f>250000*5</f>
        <v>1250000</v>
      </c>
      <c r="N230" s="27"/>
    </row>
    <row r="231" spans="1:14" hidden="1" x14ac:dyDescent="0.3">
      <c r="A231" s="59">
        <v>45</v>
      </c>
      <c r="B231" s="532"/>
      <c r="C231" s="99">
        <v>45232</v>
      </c>
      <c r="D231" s="4" t="s">
        <v>19</v>
      </c>
      <c r="E231" s="4" t="s">
        <v>25</v>
      </c>
      <c r="F231" s="4" t="s">
        <v>20</v>
      </c>
      <c r="G231" s="4">
        <v>2584</v>
      </c>
      <c r="H231" s="4" t="s">
        <v>265</v>
      </c>
      <c r="I231" s="9" t="s">
        <v>266</v>
      </c>
      <c r="J231" s="14" t="s">
        <v>95</v>
      </c>
      <c r="K231" s="3" t="s">
        <v>908</v>
      </c>
      <c r="L231" s="61" t="s">
        <v>210</v>
      </c>
      <c r="M231" s="103">
        <f t="shared" ref="M231:M232" si="8">250000*2</f>
        <v>500000</v>
      </c>
      <c r="N231" s="27"/>
    </row>
    <row r="232" spans="1:14" hidden="1" x14ac:dyDescent="0.3">
      <c r="A232" s="59">
        <v>45</v>
      </c>
      <c r="B232" s="532"/>
      <c r="C232" s="99">
        <v>45233</v>
      </c>
      <c r="D232" s="4" t="s">
        <v>19</v>
      </c>
      <c r="E232" s="4" t="s">
        <v>25</v>
      </c>
      <c r="F232" s="4" t="s">
        <v>20</v>
      </c>
      <c r="G232" s="4">
        <v>2584</v>
      </c>
      <c r="H232" s="4" t="s">
        <v>265</v>
      </c>
      <c r="I232" s="9" t="s">
        <v>266</v>
      </c>
      <c r="J232" s="14" t="s">
        <v>95</v>
      </c>
      <c r="K232" s="3" t="s">
        <v>908</v>
      </c>
      <c r="L232" s="61" t="s">
        <v>210</v>
      </c>
      <c r="M232" s="103">
        <f t="shared" si="8"/>
        <v>500000</v>
      </c>
      <c r="N232" s="27"/>
    </row>
    <row r="233" spans="1:14" hidden="1" x14ac:dyDescent="0.3">
      <c r="A233" s="59">
        <v>45</v>
      </c>
      <c r="B233" s="533"/>
      <c r="C233" s="99">
        <v>45234</v>
      </c>
      <c r="D233" s="4" t="s">
        <v>19</v>
      </c>
      <c r="E233" s="4" t="s">
        <v>25</v>
      </c>
      <c r="F233" s="4" t="s">
        <v>20</v>
      </c>
      <c r="G233" s="4">
        <v>2584</v>
      </c>
      <c r="H233" s="4" t="s">
        <v>363</v>
      </c>
      <c r="I233" s="9" t="s">
        <v>266</v>
      </c>
      <c r="J233" s="14" t="s">
        <v>95</v>
      </c>
      <c r="K233" s="3" t="s">
        <v>908</v>
      </c>
      <c r="L233" s="61" t="s">
        <v>210</v>
      </c>
      <c r="M233" s="103">
        <f>250000*2</f>
        <v>500000</v>
      </c>
      <c r="N233" s="27"/>
    </row>
    <row r="234" spans="1:14" hidden="1" x14ac:dyDescent="0.3">
      <c r="A234" s="59">
        <v>45</v>
      </c>
      <c r="B234" s="531" t="s">
        <v>21</v>
      </c>
      <c r="C234" s="16">
        <v>45222</v>
      </c>
      <c r="D234" s="3" t="s">
        <v>992</v>
      </c>
      <c r="E234" s="4" t="s">
        <v>993</v>
      </c>
      <c r="F234" s="3" t="s">
        <v>994</v>
      </c>
      <c r="G234" s="3" t="s">
        <v>995</v>
      </c>
      <c r="H234" s="3" t="s">
        <v>996</v>
      </c>
      <c r="I234" s="9" t="s">
        <v>1000</v>
      </c>
      <c r="J234" s="14" t="s">
        <v>990</v>
      </c>
      <c r="K234" s="3" t="s">
        <v>997</v>
      </c>
      <c r="L234" s="6" t="s">
        <v>15</v>
      </c>
      <c r="M234" s="103">
        <f>250000*1</f>
        <v>250000</v>
      </c>
      <c r="N234" s="27"/>
    </row>
    <row r="235" spans="1:14" hidden="1" x14ac:dyDescent="0.3">
      <c r="A235" s="59">
        <v>45</v>
      </c>
      <c r="B235" s="533"/>
      <c r="C235" s="16">
        <v>45223</v>
      </c>
      <c r="D235" s="3" t="s">
        <v>21</v>
      </c>
      <c r="E235" s="4" t="s">
        <v>14</v>
      </c>
      <c r="F235" s="3" t="s">
        <v>278</v>
      </c>
      <c r="G235" s="3">
        <v>4210</v>
      </c>
      <c r="H235" s="3" t="s">
        <v>18</v>
      </c>
      <c r="I235" s="9" t="s">
        <v>983</v>
      </c>
      <c r="J235" s="14"/>
      <c r="K235" s="3" t="s">
        <v>643</v>
      </c>
      <c r="L235" s="6" t="s">
        <v>15</v>
      </c>
      <c r="M235" s="103">
        <f t="shared" ref="M235" si="9">250000*2</f>
        <v>500000</v>
      </c>
      <c r="N235" s="27"/>
    </row>
    <row r="236" spans="1:14" ht="27" hidden="1" x14ac:dyDescent="0.3">
      <c r="A236" s="59">
        <v>46</v>
      </c>
      <c r="B236" s="531" t="s">
        <v>20</v>
      </c>
      <c r="C236" s="99" t="s">
        <v>1014</v>
      </c>
      <c r="D236" s="4" t="s">
        <v>19</v>
      </c>
      <c r="E236" s="4" t="s">
        <v>25</v>
      </c>
      <c r="F236" s="4" t="s">
        <v>20</v>
      </c>
      <c r="G236" s="4">
        <v>3306</v>
      </c>
      <c r="H236" s="4" t="s">
        <v>813</v>
      </c>
      <c r="I236" s="9" t="s">
        <v>857</v>
      </c>
      <c r="J236" s="14" t="s">
        <v>127</v>
      </c>
      <c r="K236" s="3" t="s">
        <v>815</v>
      </c>
      <c r="L236" s="61" t="s">
        <v>210</v>
      </c>
      <c r="M236" s="103">
        <f>250000*5</f>
        <v>1250000</v>
      </c>
      <c r="N236" s="27"/>
    </row>
    <row r="237" spans="1:14" hidden="1" x14ac:dyDescent="0.3">
      <c r="A237" s="59">
        <v>46</v>
      </c>
      <c r="B237" s="532"/>
      <c r="C237" s="99">
        <v>45236</v>
      </c>
      <c r="D237" s="4" t="s">
        <v>19</v>
      </c>
      <c r="E237" s="4" t="s">
        <v>25</v>
      </c>
      <c r="F237" s="4" t="s">
        <v>20</v>
      </c>
      <c r="G237" s="4">
        <v>2584</v>
      </c>
      <c r="H237" s="4" t="s">
        <v>265</v>
      </c>
      <c r="I237" s="9" t="s">
        <v>266</v>
      </c>
      <c r="J237" s="14" t="s">
        <v>95</v>
      </c>
      <c r="K237" s="3" t="s">
        <v>1018</v>
      </c>
      <c r="L237" s="61" t="s">
        <v>210</v>
      </c>
      <c r="M237" s="103">
        <f>250000*2</f>
        <v>500000</v>
      </c>
      <c r="N237" s="27"/>
    </row>
    <row r="238" spans="1:14" hidden="1" x14ac:dyDescent="0.3">
      <c r="A238" s="59">
        <v>46</v>
      </c>
      <c r="B238" s="533"/>
      <c r="C238" s="99">
        <v>45236</v>
      </c>
      <c r="D238" s="4" t="s">
        <v>19</v>
      </c>
      <c r="E238" s="4" t="s">
        <v>25</v>
      </c>
      <c r="F238" s="4" t="s">
        <v>20</v>
      </c>
      <c r="G238" s="4">
        <v>2584</v>
      </c>
      <c r="H238" s="4" t="s">
        <v>363</v>
      </c>
      <c r="I238" s="9" t="s">
        <v>266</v>
      </c>
      <c r="J238" s="14" t="s">
        <v>95</v>
      </c>
      <c r="K238" s="3" t="s">
        <v>1019</v>
      </c>
      <c r="L238" s="61" t="s">
        <v>210</v>
      </c>
      <c r="M238" s="103">
        <f>250000*2</f>
        <v>500000</v>
      </c>
      <c r="N238" s="27"/>
    </row>
    <row r="239" spans="1:14" ht="27" hidden="1" x14ac:dyDescent="0.3">
      <c r="A239" s="59">
        <v>46</v>
      </c>
      <c r="B239" s="131" t="s">
        <v>21</v>
      </c>
      <c r="C239" s="16" t="s">
        <v>1015</v>
      </c>
      <c r="D239" s="3" t="s">
        <v>985</v>
      </c>
      <c r="E239" s="4" t="s">
        <v>1011</v>
      </c>
      <c r="F239" s="3" t="s">
        <v>1012</v>
      </c>
      <c r="G239" s="15">
        <v>7060</v>
      </c>
      <c r="H239" s="3" t="s">
        <v>1013</v>
      </c>
      <c r="I239" s="9" t="s">
        <v>1016</v>
      </c>
      <c r="J239" s="14" t="s">
        <v>990</v>
      </c>
      <c r="K239" s="3" t="s">
        <v>1017</v>
      </c>
      <c r="L239" s="6"/>
      <c r="M239" s="103">
        <f>(300000*4)*2</f>
        <v>2400000</v>
      </c>
      <c r="N239" s="27"/>
    </row>
    <row r="240" spans="1:14" hidden="1" x14ac:dyDescent="0.3">
      <c r="A240" s="59">
        <v>46</v>
      </c>
      <c r="B240" s="531" t="s">
        <v>20</v>
      </c>
      <c r="C240" s="99">
        <v>45239</v>
      </c>
      <c r="D240" s="4" t="s">
        <v>19</v>
      </c>
      <c r="E240" s="4" t="s">
        <v>25</v>
      </c>
      <c r="F240" s="4" t="s">
        <v>20</v>
      </c>
      <c r="G240" s="4">
        <v>3306</v>
      </c>
      <c r="H240" s="4" t="s">
        <v>813</v>
      </c>
      <c r="I240" s="9" t="s">
        <v>1026</v>
      </c>
      <c r="J240" s="14" t="s">
        <v>96</v>
      </c>
      <c r="K240" s="3" t="s">
        <v>1024</v>
      </c>
      <c r="L240" s="61" t="s">
        <v>210</v>
      </c>
      <c r="M240" s="103">
        <f>250000*1</f>
        <v>250000</v>
      </c>
      <c r="N240" s="49" t="s">
        <v>1025</v>
      </c>
    </row>
    <row r="241" spans="1:14" hidden="1" x14ac:dyDescent="0.3">
      <c r="A241" s="59">
        <v>46</v>
      </c>
      <c r="B241" s="532"/>
      <c r="C241" s="130">
        <v>45243</v>
      </c>
      <c r="D241" s="4" t="s">
        <v>19</v>
      </c>
      <c r="E241" s="4" t="s">
        <v>25</v>
      </c>
      <c r="F241" s="4" t="s">
        <v>20</v>
      </c>
      <c r="G241" s="4">
        <v>3306</v>
      </c>
      <c r="H241" s="4" t="s">
        <v>813</v>
      </c>
      <c r="I241" s="9" t="s">
        <v>734</v>
      </c>
      <c r="J241" s="14" t="s">
        <v>95</v>
      </c>
      <c r="K241" s="3" t="s">
        <v>1018</v>
      </c>
      <c r="L241" s="61" t="s">
        <v>210</v>
      </c>
      <c r="M241" s="103">
        <f>250000*2</f>
        <v>500000</v>
      </c>
      <c r="N241" s="49" t="s">
        <v>1029</v>
      </c>
    </row>
    <row r="242" spans="1:14" ht="27" hidden="1" x14ac:dyDescent="0.3">
      <c r="A242" s="59">
        <v>46</v>
      </c>
      <c r="B242" s="533"/>
      <c r="C242" s="130" t="s">
        <v>1023</v>
      </c>
      <c r="D242" s="4" t="s">
        <v>19</v>
      </c>
      <c r="E242" s="4" t="s">
        <v>25</v>
      </c>
      <c r="F242" s="4" t="s">
        <v>20</v>
      </c>
      <c r="G242" s="4">
        <v>3306</v>
      </c>
      <c r="H242" s="4" t="s">
        <v>813</v>
      </c>
      <c r="I242" s="9" t="s">
        <v>857</v>
      </c>
      <c r="J242" s="14" t="s">
        <v>127</v>
      </c>
      <c r="K242" s="3" t="s">
        <v>615</v>
      </c>
      <c r="L242" s="61" t="s">
        <v>210</v>
      </c>
      <c r="M242" s="103">
        <f>250000*3</f>
        <v>750000</v>
      </c>
      <c r="N242" s="49" t="s">
        <v>122</v>
      </c>
    </row>
    <row r="243" spans="1:14" ht="27" hidden="1" x14ac:dyDescent="0.3">
      <c r="A243" s="59">
        <v>46</v>
      </c>
      <c r="B243" s="131" t="s">
        <v>21</v>
      </c>
      <c r="C243" s="38">
        <v>45246</v>
      </c>
      <c r="D243" s="3" t="s">
        <v>21</v>
      </c>
      <c r="E243" s="4" t="s">
        <v>993</v>
      </c>
      <c r="F243" s="3" t="s">
        <v>1002</v>
      </c>
      <c r="G243" s="3" t="s">
        <v>1003</v>
      </c>
      <c r="H243" s="3" t="s">
        <v>1004</v>
      </c>
      <c r="I243" s="9" t="s">
        <v>1020</v>
      </c>
      <c r="J243" s="4" t="s">
        <v>991</v>
      </c>
      <c r="K243" s="72" t="s">
        <v>1022</v>
      </c>
      <c r="L243" s="6"/>
      <c r="M243" s="103">
        <v>250000</v>
      </c>
      <c r="N243" s="49" t="s">
        <v>1027</v>
      </c>
    </row>
    <row r="244" spans="1:14" ht="27" hidden="1" x14ac:dyDescent="0.3">
      <c r="A244" s="59">
        <v>47</v>
      </c>
      <c r="B244" s="531" t="s">
        <v>20</v>
      </c>
      <c r="C244" s="99" t="s">
        <v>1034</v>
      </c>
      <c r="D244" s="4" t="s">
        <v>19</v>
      </c>
      <c r="E244" s="4" t="s">
        <v>25</v>
      </c>
      <c r="F244" s="4" t="s">
        <v>20</v>
      </c>
      <c r="G244" s="4">
        <v>3306</v>
      </c>
      <c r="H244" s="4" t="s">
        <v>813</v>
      </c>
      <c r="I244" s="9" t="s">
        <v>1035</v>
      </c>
      <c r="J244" s="14" t="s">
        <v>127</v>
      </c>
      <c r="K244" s="3" t="s">
        <v>815</v>
      </c>
      <c r="L244" s="61" t="s">
        <v>210</v>
      </c>
      <c r="M244" s="103">
        <f>250000*5</f>
        <v>1250000</v>
      </c>
      <c r="N244" s="49" t="s">
        <v>122</v>
      </c>
    </row>
    <row r="245" spans="1:14" ht="27" hidden="1" x14ac:dyDescent="0.3">
      <c r="A245" s="59">
        <v>47</v>
      </c>
      <c r="B245" s="533"/>
      <c r="C245" s="99">
        <v>45252</v>
      </c>
      <c r="D245" s="3" t="s">
        <v>19</v>
      </c>
      <c r="E245" s="4" t="s">
        <v>25</v>
      </c>
      <c r="F245" s="4" t="s">
        <v>20</v>
      </c>
      <c r="G245" s="4" t="s">
        <v>988</v>
      </c>
      <c r="H245" s="3" t="s">
        <v>989</v>
      </c>
      <c r="I245" s="9" t="s">
        <v>734</v>
      </c>
      <c r="J245" s="14" t="s">
        <v>770</v>
      </c>
      <c r="K245" s="3" t="s">
        <v>134</v>
      </c>
      <c r="L245" s="61"/>
      <c r="M245" s="103">
        <f>250000*2</f>
        <v>500000</v>
      </c>
      <c r="N245" s="49" t="s">
        <v>248</v>
      </c>
    </row>
    <row r="246" spans="1:14" hidden="1" x14ac:dyDescent="0.3">
      <c r="A246" s="59">
        <v>47</v>
      </c>
      <c r="B246" s="531" t="s">
        <v>21</v>
      </c>
      <c r="C246" s="135">
        <v>45247</v>
      </c>
      <c r="D246" s="65" t="s">
        <v>21</v>
      </c>
      <c r="E246" s="9" t="s">
        <v>30</v>
      </c>
      <c r="F246" s="65" t="s">
        <v>955</v>
      </c>
      <c r="G246" s="66">
        <v>7060</v>
      </c>
      <c r="H246" s="65" t="s">
        <v>36</v>
      </c>
      <c r="I246" s="9" t="s">
        <v>1032</v>
      </c>
      <c r="J246" s="9" t="s">
        <v>90</v>
      </c>
      <c r="K246" s="144" t="s">
        <v>41</v>
      </c>
      <c r="L246" s="6" t="s">
        <v>15</v>
      </c>
      <c r="M246" s="103">
        <v>250000</v>
      </c>
      <c r="N246" s="49" t="s">
        <v>1031</v>
      </c>
    </row>
    <row r="247" spans="1:14" hidden="1" x14ac:dyDescent="0.3">
      <c r="A247" s="59">
        <v>47</v>
      </c>
      <c r="B247" s="533"/>
      <c r="C247" s="16">
        <v>45250</v>
      </c>
      <c r="D247" s="3" t="s">
        <v>139</v>
      </c>
      <c r="E247" s="4" t="s">
        <v>30</v>
      </c>
      <c r="F247" s="3" t="s">
        <v>108</v>
      </c>
      <c r="G247" s="3" t="s">
        <v>963</v>
      </c>
      <c r="H247" s="3" t="s">
        <v>144</v>
      </c>
      <c r="I247" s="9" t="s">
        <v>1033</v>
      </c>
      <c r="J247" s="14"/>
      <c r="K247" s="3" t="s">
        <v>41</v>
      </c>
      <c r="L247" s="6" t="s">
        <v>15</v>
      </c>
      <c r="M247" s="103">
        <v>250000</v>
      </c>
      <c r="N247" s="85" t="s">
        <v>531</v>
      </c>
    </row>
    <row r="248" spans="1:14" ht="27" hidden="1" x14ac:dyDescent="0.3">
      <c r="A248" s="59">
        <v>48</v>
      </c>
      <c r="B248" s="531" t="s">
        <v>20</v>
      </c>
      <c r="C248" s="130" t="s">
        <v>1052</v>
      </c>
      <c r="D248" s="4" t="s">
        <v>19</v>
      </c>
      <c r="E248" s="4" t="s">
        <v>25</v>
      </c>
      <c r="F248" s="4" t="s">
        <v>20</v>
      </c>
      <c r="G248" s="4">
        <v>3306</v>
      </c>
      <c r="H248" s="4" t="s">
        <v>813</v>
      </c>
      <c r="I248" s="9" t="s">
        <v>1035</v>
      </c>
      <c r="J248" s="14" t="s">
        <v>127</v>
      </c>
      <c r="K248" s="3" t="s">
        <v>815</v>
      </c>
      <c r="L248" s="61" t="s">
        <v>210</v>
      </c>
      <c r="M248" s="103">
        <f>250000*5</f>
        <v>1250000</v>
      </c>
      <c r="N248" s="49" t="s">
        <v>122</v>
      </c>
    </row>
    <row r="249" spans="1:14" ht="16.5" hidden="1" customHeight="1" x14ac:dyDescent="0.3">
      <c r="A249" s="59">
        <v>48</v>
      </c>
      <c r="B249" s="532"/>
      <c r="C249" s="547" t="s">
        <v>1053</v>
      </c>
      <c r="D249" s="4" t="s">
        <v>19</v>
      </c>
      <c r="E249" s="4" t="s">
        <v>25</v>
      </c>
      <c r="F249" s="4" t="s">
        <v>20</v>
      </c>
      <c r="G249" s="4">
        <v>2585</v>
      </c>
      <c r="H249" s="4" t="s">
        <v>1050</v>
      </c>
      <c r="I249" s="9" t="s">
        <v>1051</v>
      </c>
      <c r="J249" s="14" t="s">
        <v>1058</v>
      </c>
      <c r="K249" s="3" t="s">
        <v>134</v>
      </c>
      <c r="L249" s="61"/>
      <c r="M249" s="103">
        <v>500000</v>
      </c>
      <c r="N249" s="552" t="s">
        <v>248</v>
      </c>
    </row>
    <row r="250" spans="1:14" hidden="1" x14ac:dyDescent="0.3">
      <c r="A250" s="59">
        <v>48</v>
      </c>
      <c r="B250" s="533"/>
      <c r="C250" s="549"/>
      <c r="D250" s="3" t="s">
        <v>19</v>
      </c>
      <c r="E250" s="4" t="s">
        <v>25</v>
      </c>
      <c r="F250" s="4" t="s">
        <v>20</v>
      </c>
      <c r="G250" s="4">
        <v>2585</v>
      </c>
      <c r="H250" s="3" t="s">
        <v>1048</v>
      </c>
      <c r="I250" s="9" t="s">
        <v>734</v>
      </c>
      <c r="J250" s="14" t="s">
        <v>1058</v>
      </c>
      <c r="K250" s="3" t="s">
        <v>1057</v>
      </c>
      <c r="L250" s="61"/>
      <c r="M250" s="103">
        <f>250000*4</f>
        <v>1000000</v>
      </c>
      <c r="N250" s="553"/>
    </row>
    <row r="251" spans="1:14" hidden="1" x14ac:dyDescent="0.3">
      <c r="A251" s="59">
        <v>48</v>
      </c>
      <c r="B251" s="531" t="s">
        <v>21</v>
      </c>
      <c r="C251" s="135">
        <v>45257</v>
      </c>
      <c r="D251" s="3" t="s">
        <v>21</v>
      </c>
      <c r="E251" s="4" t="s">
        <v>30</v>
      </c>
      <c r="F251" s="3" t="s">
        <v>921</v>
      </c>
      <c r="G251" s="3" t="s">
        <v>1028</v>
      </c>
      <c r="H251" s="3" t="s">
        <v>23</v>
      </c>
      <c r="I251" s="9" t="s">
        <v>1046</v>
      </c>
      <c r="J251" s="4" t="s">
        <v>1044</v>
      </c>
      <c r="K251" s="177" t="s">
        <v>1045</v>
      </c>
      <c r="L251" s="6" t="s">
        <v>15</v>
      </c>
      <c r="M251" s="103">
        <v>250000</v>
      </c>
      <c r="N251" s="49" t="s">
        <v>1055</v>
      </c>
    </row>
    <row r="252" spans="1:14" hidden="1" x14ac:dyDescent="0.3">
      <c r="A252" s="59">
        <v>48</v>
      </c>
      <c r="B252" s="532"/>
      <c r="C252" s="135">
        <v>45258</v>
      </c>
      <c r="D252" s="3" t="s">
        <v>21</v>
      </c>
      <c r="E252" s="4" t="s">
        <v>30</v>
      </c>
      <c r="F252" s="3" t="s">
        <v>921</v>
      </c>
      <c r="G252" s="3" t="s">
        <v>1028</v>
      </c>
      <c r="H252" s="3" t="s">
        <v>23</v>
      </c>
      <c r="I252" s="9" t="s">
        <v>1046</v>
      </c>
      <c r="J252" s="4" t="s">
        <v>1044</v>
      </c>
      <c r="K252" s="178" t="s">
        <v>1045</v>
      </c>
      <c r="L252" s="6" t="s">
        <v>15</v>
      </c>
      <c r="M252" s="103">
        <v>250000</v>
      </c>
      <c r="N252" s="49" t="s">
        <v>1055</v>
      </c>
    </row>
    <row r="253" spans="1:14" hidden="1" x14ac:dyDescent="0.3">
      <c r="A253" s="59">
        <v>48</v>
      </c>
      <c r="B253" s="532"/>
      <c r="C253" s="135">
        <v>45259</v>
      </c>
      <c r="D253" s="3" t="s">
        <v>21</v>
      </c>
      <c r="E253" s="4" t="s">
        <v>30</v>
      </c>
      <c r="F253" s="3" t="s">
        <v>921</v>
      </c>
      <c r="G253" s="3" t="s">
        <v>1028</v>
      </c>
      <c r="H253" s="3" t="s">
        <v>23</v>
      </c>
      <c r="I253" s="9" t="s">
        <v>1046</v>
      </c>
      <c r="J253" s="4" t="s">
        <v>1044</v>
      </c>
      <c r="K253" s="178" t="s">
        <v>1045</v>
      </c>
      <c r="L253" s="6" t="s">
        <v>15</v>
      </c>
      <c r="M253" s="103">
        <v>250000</v>
      </c>
      <c r="N253" s="49" t="s">
        <v>1055</v>
      </c>
    </row>
    <row r="254" spans="1:14" hidden="1" x14ac:dyDescent="0.3">
      <c r="A254" s="59">
        <v>48</v>
      </c>
      <c r="B254" s="533"/>
      <c r="C254" s="135">
        <v>45260</v>
      </c>
      <c r="D254" s="3" t="s">
        <v>1036</v>
      </c>
      <c r="E254" s="4" t="s">
        <v>1037</v>
      </c>
      <c r="F254" s="3" t="s">
        <v>1038</v>
      </c>
      <c r="G254" s="15" t="s">
        <v>1039</v>
      </c>
      <c r="H254" s="3" t="s">
        <v>1040</v>
      </c>
      <c r="I254" s="9" t="s">
        <v>1041</v>
      </c>
      <c r="J254" s="14" t="s">
        <v>1042</v>
      </c>
      <c r="K254" s="151" t="s">
        <v>1047</v>
      </c>
      <c r="L254" s="6" t="s">
        <v>1043</v>
      </c>
      <c r="M254" s="103">
        <v>250000</v>
      </c>
      <c r="N254" s="49" t="s">
        <v>128</v>
      </c>
    </row>
    <row r="255" spans="1:14" ht="27" hidden="1" x14ac:dyDescent="0.3">
      <c r="A255" s="59">
        <v>49</v>
      </c>
      <c r="B255" s="531" t="s">
        <v>20</v>
      </c>
      <c r="C255" s="130" t="s">
        <v>1088</v>
      </c>
      <c r="D255" s="4" t="s">
        <v>19</v>
      </c>
      <c r="E255" s="4" t="s">
        <v>25</v>
      </c>
      <c r="F255" s="4" t="s">
        <v>20</v>
      </c>
      <c r="G255" s="4">
        <v>3306</v>
      </c>
      <c r="H255" s="4" t="s">
        <v>813</v>
      </c>
      <c r="I255" s="9" t="s">
        <v>1035</v>
      </c>
      <c r="J255" s="14" t="s">
        <v>127</v>
      </c>
      <c r="K255" s="145" t="s">
        <v>815</v>
      </c>
      <c r="L255" s="61" t="s">
        <v>210</v>
      </c>
      <c r="M255" s="103">
        <f>250000*5</f>
        <v>1250000</v>
      </c>
      <c r="N255" s="49" t="s">
        <v>122</v>
      </c>
    </row>
    <row r="256" spans="1:14" ht="16.5" hidden="1" customHeight="1" x14ac:dyDescent="0.3">
      <c r="A256" s="59">
        <v>49</v>
      </c>
      <c r="B256" s="532"/>
      <c r="C256" s="547" t="s">
        <v>1087</v>
      </c>
      <c r="D256" s="4" t="s">
        <v>19</v>
      </c>
      <c r="E256" s="4" t="s">
        <v>25</v>
      </c>
      <c r="F256" s="4" t="s">
        <v>20</v>
      </c>
      <c r="G256" s="4" t="s">
        <v>1090</v>
      </c>
      <c r="H256" s="4" t="s">
        <v>1091</v>
      </c>
      <c r="I256" s="9" t="s">
        <v>1119</v>
      </c>
      <c r="J256" s="14" t="s">
        <v>1058</v>
      </c>
      <c r="K256" s="152" t="s">
        <v>136</v>
      </c>
      <c r="L256" s="61"/>
      <c r="M256" s="103">
        <f>250000*4</f>
        <v>1000000</v>
      </c>
      <c r="N256" s="552" t="s">
        <v>248</v>
      </c>
    </row>
    <row r="257" spans="1:14" hidden="1" x14ac:dyDescent="0.3">
      <c r="A257" s="59">
        <v>49</v>
      </c>
      <c r="B257" s="533"/>
      <c r="C257" s="549"/>
      <c r="D257" s="3" t="s">
        <v>19</v>
      </c>
      <c r="E257" s="4" t="s">
        <v>25</v>
      </c>
      <c r="F257" s="4" t="s">
        <v>20</v>
      </c>
      <c r="G257" s="4">
        <v>2585</v>
      </c>
      <c r="H257" s="3" t="s">
        <v>1048</v>
      </c>
      <c r="I257" s="9" t="s">
        <v>734</v>
      </c>
      <c r="J257" s="14" t="s">
        <v>1058</v>
      </c>
      <c r="K257" s="152" t="s">
        <v>134</v>
      </c>
      <c r="L257" s="61"/>
      <c r="M257" s="103">
        <f>250000*2</f>
        <v>500000</v>
      </c>
      <c r="N257" s="553"/>
    </row>
    <row r="258" spans="1:14" ht="40.5" hidden="1" x14ac:dyDescent="0.3">
      <c r="A258" s="59">
        <v>49</v>
      </c>
      <c r="B258" s="531" t="s">
        <v>21</v>
      </c>
      <c r="C258" s="135">
        <v>45264</v>
      </c>
      <c r="D258" s="3" t="s">
        <v>21</v>
      </c>
      <c r="E258" s="4" t="s">
        <v>30</v>
      </c>
      <c r="F258" s="3" t="s">
        <v>1061</v>
      </c>
      <c r="G258" s="3">
        <v>4209</v>
      </c>
      <c r="H258" s="3" t="s">
        <v>1062</v>
      </c>
      <c r="I258" s="9" t="s">
        <v>1086</v>
      </c>
      <c r="J258" s="4" t="s">
        <v>1085</v>
      </c>
      <c r="K258" s="149" t="s">
        <v>1094</v>
      </c>
      <c r="L258" s="6" t="s">
        <v>15</v>
      </c>
      <c r="M258" s="103">
        <v>250000</v>
      </c>
      <c r="N258" s="49" t="s">
        <v>1093</v>
      </c>
    </row>
    <row r="259" spans="1:14" hidden="1" x14ac:dyDescent="0.3">
      <c r="A259" s="59">
        <v>49</v>
      </c>
      <c r="B259" s="533"/>
      <c r="C259" s="135">
        <v>45265</v>
      </c>
      <c r="D259" s="3" t="s">
        <v>21</v>
      </c>
      <c r="E259" s="4" t="s">
        <v>30</v>
      </c>
      <c r="F259" s="3" t="s">
        <v>212</v>
      </c>
      <c r="G259" s="3" t="s">
        <v>402</v>
      </c>
      <c r="H259" s="3" t="s">
        <v>363</v>
      </c>
      <c r="I259" s="9" t="s">
        <v>1060</v>
      </c>
      <c r="J259" s="4"/>
      <c r="K259" s="176" t="s">
        <v>1092</v>
      </c>
      <c r="L259" s="17" t="s">
        <v>15</v>
      </c>
      <c r="M259" s="103">
        <f>250000*2</f>
        <v>500000</v>
      </c>
      <c r="N259" s="49" t="s">
        <v>1093</v>
      </c>
    </row>
    <row r="260" spans="1:14" ht="25.5" hidden="1" x14ac:dyDescent="0.3">
      <c r="A260" s="59">
        <v>49</v>
      </c>
      <c r="B260" s="540" t="s">
        <v>308</v>
      </c>
      <c r="C260" s="136" t="s">
        <v>1097</v>
      </c>
      <c r="D260" s="137" t="s">
        <v>307</v>
      </c>
      <c r="E260" s="137" t="s">
        <v>323</v>
      </c>
      <c r="F260" s="137" t="s">
        <v>308</v>
      </c>
      <c r="G260" s="137">
        <v>8384</v>
      </c>
      <c r="H260" s="137" t="s">
        <v>642</v>
      </c>
      <c r="I260" s="138" t="s">
        <v>1098</v>
      </c>
      <c r="J260" s="137" t="s">
        <v>1113</v>
      </c>
      <c r="K260" s="150" t="s">
        <v>1056</v>
      </c>
      <c r="L260" s="137" t="s">
        <v>325</v>
      </c>
      <c r="M260" s="137" t="s">
        <v>1114</v>
      </c>
      <c r="N260" s="137" t="s">
        <v>1099</v>
      </c>
    </row>
    <row r="261" spans="1:14" hidden="1" x14ac:dyDescent="0.3">
      <c r="A261" s="59">
        <v>49</v>
      </c>
      <c r="B261" s="541"/>
      <c r="C261" s="139" t="s">
        <v>1111</v>
      </c>
      <c r="D261" s="137" t="s">
        <v>307</v>
      </c>
      <c r="E261" s="137" t="s">
        <v>323</v>
      </c>
      <c r="F261" s="137" t="s">
        <v>308</v>
      </c>
      <c r="G261" s="137" t="s">
        <v>1089</v>
      </c>
      <c r="H261" s="137" t="s">
        <v>349</v>
      </c>
      <c r="I261" s="138" t="s">
        <v>1100</v>
      </c>
      <c r="J261" s="137" t="s">
        <v>666</v>
      </c>
      <c r="K261" s="146" t="s">
        <v>1102</v>
      </c>
      <c r="L261" s="137"/>
      <c r="M261" s="137" t="s">
        <v>460</v>
      </c>
      <c r="N261" s="538" t="s">
        <v>1105</v>
      </c>
    </row>
    <row r="262" spans="1:14" ht="25.5" hidden="1" x14ac:dyDescent="0.3">
      <c r="A262" s="140">
        <v>49</v>
      </c>
      <c r="B262" s="542"/>
      <c r="C262" s="141" t="s">
        <v>1112</v>
      </c>
      <c r="D262" s="111" t="s">
        <v>307</v>
      </c>
      <c r="E262" s="136" t="s">
        <v>323</v>
      </c>
      <c r="F262" s="136" t="s">
        <v>308</v>
      </c>
      <c r="G262" s="136">
        <v>2585</v>
      </c>
      <c r="H262" s="111" t="s">
        <v>1049</v>
      </c>
      <c r="I262" s="142" t="s">
        <v>1059</v>
      </c>
      <c r="J262" s="136" t="s">
        <v>666</v>
      </c>
      <c r="K262" s="147" t="s">
        <v>1104</v>
      </c>
      <c r="L262" s="136"/>
      <c r="M262" s="136" t="s">
        <v>674</v>
      </c>
      <c r="N262" s="539"/>
    </row>
    <row r="263" spans="1:14" ht="16.5" hidden="1" customHeight="1" x14ac:dyDescent="0.3">
      <c r="A263" s="59">
        <v>50</v>
      </c>
      <c r="B263" s="531" t="s">
        <v>20</v>
      </c>
      <c r="C263" s="547" t="s">
        <v>1122</v>
      </c>
      <c r="D263" s="4" t="s">
        <v>19</v>
      </c>
      <c r="E263" s="4" t="s">
        <v>25</v>
      </c>
      <c r="F263" s="4" t="s">
        <v>20</v>
      </c>
      <c r="G263" s="4">
        <v>8384</v>
      </c>
      <c r="H263" s="4" t="s">
        <v>126</v>
      </c>
      <c r="I263" s="9" t="s">
        <v>380</v>
      </c>
      <c r="J263" s="14" t="s">
        <v>127</v>
      </c>
      <c r="K263" s="3" t="s">
        <v>1116</v>
      </c>
      <c r="L263" s="61" t="s">
        <v>210</v>
      </c>
      <c r="M263" s="103">
        <f>250000*7</f>
        <v>1750000</v>
      </c>
      <c r="N263" s="49" t="s">
        <v>122</v>
      </c>
    </row>
    <row r="264" spans="1:14" hidden="1" x14ac:dyDescent="0.3">
      <c r="A264" s="59">
        <v>50</v>
      </c>
      <c r="B264" s="532"/>
      <c r="C264" s="548"/>
      <c r="D264" s="4" t="s">
        <v>19</v>
      </c>
      <c r="E264" s="4" t="s">
        <v>25</v>
      </c>
      <c r="F264" s="4" t="s">
        <v>20</v>
      </c>
      <c r="G264" s="4" t="s">
        <v>1064</v>
      </c>
      <c r="H264" s="4" t="s">
        <v>103</v>
      </c>
      <c r="I264" s="9" t="s">
        <v>1108</v>
      </c>
      <c r="J264" s="14" t="s">
        <v>169</v>
      </c>
      <c r="K264" s="182" t="s">
        <v>1103</v>
      </c>
      <c r="L264" s="61"/>
      <c r="M264" s="103">
        <f>250000*2</f>
        <v>500000</v>
      </c>
      <c r="N264" s="49" t="s">
        <v>1106</v>
      </c>
    </row>
    <row r="265" spans="1:14" hidden="1" x14ac:dyDescent="0.3">
      <c r="A265" s="59">
        <v>50</v>
      </c>
      <c r="B265" s="532"/>
      <c r="C265" s="548"/>
      <c r="D265" s="4" t="s">
        <v>19</v>
      </c>
      <c r="E265" s="4" t="s">
        <v>25</v>
      </c>
      <c r="F265" s="4" t="s">
        <v>20</v>
      </c>
      <c r="G265" s="4" t="s">
        <v>1109</v>
      </c>
      <c r="H265" s="4" t="s">
        <v>23</v>
      </c>
      <c r="I265" s="9" t="s">
        <v>1101</v>
      </c>
      <c r="J265" s="14" t="s">
        <v>169</v>
      </c>
      <c r="K265" s="148" t="s">
        <v>1103</v>
      </c>
      <c r="L265" s="61"/>
      <c r="M265" s="103">
        <f>250000*2</f>
        <v>500000</v>
      </c>
      <c r="N265" s="49" t="s">
        <v>1106</v>
      </c>
    </row>
    <row r="266" spans="1:14" hidden="1" x14ac:dyDescent="0.3">
      <c r="A266" s="59">
        <v>50</v>
      </c>
      <c r="B266" s="532"/>
      <c r="C266" s="548"/>
      <c r="D266" s="3" t="s">
        <v>19</v>
      </c>
      <c r="E266" s="4" t="s">
        <v>25</v>
      </c>
      <c r="F266" s="4" t="s">
        <v>20</v>
      </c>
      <c r="G266" s="4" t="s">
        <v>963</v>
      </c>
      <c r="H266" s="3" t="s">
        <v>146</v>
      </c>
      <c r="I266" s="9" t="s">
        <v>1107</v>
      </c>
      <c r="J266" s="14" t="s">
        <v>95</v>
      </c>
      <c r="K266" s="3" t="s">
        <v>1118</v>
      </c>
      <c r="L266" s="61"/>
      <c r="M266" s="103">
        <f>250000*2</f>
        <v>500000</v>
      </c>
      <c r="N266" s="49" t="s">
        <v>248</v>
      </c>
    </row>
    <row r="267" spans="1:14" hidden="1" x14ac:dyDescent="0.3">
      <c r="A267" s="59">
        <v>50</v>
      </c>
      <c r="B267" s="533"/>
      <c r="C267" s="549"/>
      <c r="D267" s="3" t="s">
        <v>19</v>
      </c>
      <c r="E267" s="4" t="s">
        <v>25</v>
      </c>
      <c r="F267" s="4" t="s">
        <v>20</v>
      </c>
      <c r="G267" s="4">
        <v>2585</v>
      </c>
      <c r="H267" s="3" t="s">
        <v>280</v>
      </c>
      <c r="I267" s="9" t="s">
        <v>1107</v>
      </c>
      <c r="J267" s="14" t="s">
        <v>95</v>
      </c>
      <c r="K267" s="152" t="s">
        <v>136</v>
      </c>
      <c r="L267" s="61"/>
      <c r="M267" s="103">
        <f>250000*4</f>
        <v>1000000</v>
      </c>
      <c r="N267" s="49" t="s">
        <v>248</v>
      </c>
    </row>
    <row r="268" spans="1:14" ht="25.5" hidden="1" x14ac:dyDescent="0.3">
      <c r="A268" s="59">
        <v>51</v>
      </c>
      <c r="B268" s="540" t="s">
        <v>660</v>
      </c>
      <c r="C268" s="538" t="s">
        <v>1284</v>
      </c>
      <c r="D268" s="156" t="s">
        <v>307</v>
      </c>
      <c r="E268" s="156" t="s">
        <v>323</v>
      </c>
      <c r="F268" s="156" t="s">
        <v>308</v>
      </c>
      <c r="G268" s="156">
        <v>3306</v>
      </c>
      <c r="H268" s="156" t="s">
        <v>1156</v>
      </c>
      <c r="I268" s="157" t="s">
        <v>1157</v>
      </c>
      <c r="J268" s="156" t="s">
        <v>1113</v>
      </c>
      <c r="K268" s="156" t="s">
        <v>1158</v>
      </c>
      <c r="L268" s="156" t="s">
        <v>325</v>
      </c>
      <c r="M268" s="156" t="s">
        <v>710</v>
      </c>
      <c r="N268" s="156" t="s">
        <v>667</v>
      </c>
    </row>
    <row r="269" spans="1:14" ht="25.5" hidden="1" x14ac:dyDescent="0.3">
      <c r="A269" s="59">
        <v>51</v>
      </c>
      <c r="B269" s="541"/>
      <c r="C269" s="603"/>
      <c r="D269" s="156" t="s">
        <v>307</v>
      </c>
      <c r="E269" s="156" t="s">
        <v>323</v>
      </c>
      <c r="F269" s="156" t="s">
        <v>308</v>
      </c>
      <c r="G269" s="156">
        <v>8384</v>
      </c>
      <c r="H269" s="156" t="s">
        <v>642</v>
      </c>
      <c r="I269" s="157" t="s">
        <v>1159</v>
      </c>
      <c r="J269" s="156" t="s">
        <v>351</v>
      </c>
      <c r="K269" s="170" t="s">
        <v>1160</v>
      </c>
      <c r="L269" s="156" t="s">
        <v>325</v>
      </c>
      <c r="M269" s="156" t="s">
        <v>1114</v>
      </c>
      <c r="N269" s="156" t="s">
        <v>427</v>
      </c>
    </row>
    <row r="270" spans="1:14" hidden="1" x14ac:dyDescent="0.3">
      <c r="A270" s="59">
        <v>51</v>
      </c>
      <c r="B270" s="542"/>
      <c r="C270" s="539"/>
      <c r="D270" s="156" t="s">
        <v>307</v>
      </c>
      <c r="E270" s="156" t="s">
        <v>323</v>
      </c>
      <c r="F270" s="156" t="s">
        <v>308</v>
      </c>
      <c r="G270" s="156" t="s">
        <v>1161</v>
      </c>
      <c r="H270" s="156" t="s">
        <v>664</v>
      </c>
      <c r="I270" s="157" t="s">
        <v>1162</v>
      </c>
      <c r="J270" s="156" t="s">
        <v>666</v>
      </c>
      <c r="K270" s="181" t="s">
        <v>1102</v>
      </c>
      <c r="L270" s="156" t="s">
        <v>325</v>
      </c>
      <c r="M270" s="156" t="s">
        <v>460</v>
      </c>
      <c r="N270" s="156" t="s">
        <v>1163</v>
      </c>
    </row>
    <row r="271" spans="1:14" ht="16.5" hidden="1" customHeight="1" x14ac:dyDescent="0.3">
      <c r="A271" s="59">
        <v>52</v>
      </c>
      <c r="B271" s="531" t="s">
        <v>20</v>
      </c>
      <c r="C271" s="547" t="s">
        <v>1136</v>
      </c>
      <c r="D271" s="4" t="s">
        <v>19</v>
      </c>
      <c r="E271" s="4" t="s">
        <v>25</v>
      </c>
      <c r="F271" s="4" t="s">
        <v>20</v>
      </c>
      <c r="G271" s="4">
        <v>3306</v>
      </c>
      <c r="H271" s="4" t="s">
        <v>813</v>
      </c>
      <c r="I271" s="9" t="s">
        <v>1124</v>
      </c>
      <c r="J271" s="14" t="s">
        <v>127</v>
      </c>
      <c r="K271" s="4" t="s">
        <v>1137</v>
      </c>
      <c r="L271" s="61" t="s">
        <v>210</v>
      </c>
      <c r="M271" s="103">
        <f>250000*4</f>
        <v>1000000</v>
      </c>
      <c r="N271" s="49" t="s">
        <v>122</v>
      </c>
    </row>
    <row r="272" spans="1:14" hidden="1" x14ac:dyDescent="0.3">
      <c r="A272" s="59">
        <v>52</v>
      </c>
      <c r="B272" s="532"/>
      <c r="C272" s="548"/>
      <c r="D272" s="4" t="s">
        <v>19</v>
      </c>
      <c r="E272" s="4" t="s">
        <v>25</v>
      </c>
      <c r="F272" s="4" t="s">
        <v>20</v>
      </c>
      <c r="G272" s="4">
        <v>3306</v>
      </c>
      <c r="H272" s="4" t="s">
        <v>813</v>
      </c>
      <c r="I272" s="9" t="s">
        <v>1151</v>
      </c>
      <c r="J272" s="14"/>
      <c r="K272" s="173" t="s">
        <v>1152</v>
      </c>
      <c r="L272" s="61" t="s">
        <v>210</v>
      </c>
      <c r="M272" s="103">
        <f>250000*3</f>
        <v>750000</v>
      </c>
      <c r="N272" s="49" t="s">
        <v>1153</v>
      </c>
    </row>
    <row r="273" spans="1:15" hidden="1" x14ac:dyDescent="0.3">
      <c r="A273" s="59">
        <v>52</v>
      </c>
      <c r="B273" s="532"/>
      <c r="C273" s="549"/>
      <c r="D273" s="4" t="s">
        <v>19</v>
      </c>
      <c r="E273" s="4" t="s">
        <v>25</v>
      </c>
      <c r="F273" s="4" t="s">
        <v>20</v>
      </c>
      <c r="G273" s="4">
        <v>8384</v>
      </c>
      <c r="H273" s="4" t="s">
        <v>1150</v>
      </c>
      <c r="I273" s="9" t="s">
        <v>1108</v>
      </c>
      <c r="J273" s="14" t="s">
        <v>169</v>
      </c>
      <c r="K273" s="184" t="s">
        <v>489</v>
      </c>
      <c r="L273" s="61" t="s">
        <v>210</v>
      </c>
      <c r="M273" s="103">
        <f>250000*2</f>
        <v>500000</v>
      </c>
      <c r="N273" s="49" t="s">
        <v>1025</v>
      </c>
      <c r="O273" s="179" t="s">
        <v>1265</v>
      </c>
    </row>
    <row r="274" spans="1:15" hidden="1" x14ac:dyDescent="0.3">
      <c r="A274" s="59">
        <v>52</v>
      </c>
      <c r="B274" s="532"/>
      <c r="C274" s="99">
        <v>45287</v>
      </c>
      <c r="D274" s="3" t="s">
        <v>24</v>
      </c>
      <c r="E274" s="4" t="s">
        <v>30</v>
      </c>
      <c r="F274" s="3" t="s">
        <v>1127</v>
      </c>
      <c r="G274" s="3" t="s">
        <v>606</v>
      </c>
      <c r="H274" s="3" t="s">
        <v>103</v>
      </c>
      <c r="I274" s="9" t="s">
        <v>1129</v>
      </c>
      <c r="J274" s="4"/>
      <c r="K274" s="185" t="s">
        <v>1131</v>
      </c>
      <c r="L274" s="61"/>
      <c r="M274" s="103">
        <f t="shared" ref="M274:M277" si="10">250000*2</f>
        <v>500000</v>
      </c>
      <c r="N274" s="49" t="s">
        <v>1140</v>
      </c>
    </row>
    <row r="275" spans="1:15" hidden="1" x14ac:dyDescent="0.3">
      <c r="A275" s="59">
        <v>52</v>
      </c>
      <c r="B275" s="532"/>
      <c r="C275" s="547">
        <v>45288</v>
      </c>
      <c r="D275" s="3" t="s">
        <v>24</v>
      </c>
      <c r="E275" s="4" t="s">
        <v>30</v>
      </c>
      <c r="F275" s="3" t="s">
        <v>625</v>
      </c>
      <c r="G275" s="3" t="s">
        <v>1125</v>
      </c>
      <c r="H275" s="3" t="s">
        <v>103</v>
      </c>
      <c r="I275" s="9" t="s">
        <v>1126</v>
      </c>
      <c r="J275" s="14"/>
      <c r="K275" s="185" t="s">
        <v>1131</v>
      </c>
      <c r="L275" s="61"/>
      <c r="M275" s="103">
        <f t="shared" si="10"/>
        <v>500000</v>
      </c>
      <c r="N275" s="49" t="s">
        <v>1140</v>
      </c>
    </row>
    <row r="276" spans="1:15" ht="27" hidden="1" x14ac:dyDescent="0.3">
      <c r="A276" s="59">
        <v>52</v>
      </c>
      <c r="B276" s="532"/>
      <c r="C276" s="549"/>
      <c r="D276" s="3" t="s">
        <v>21</v>
      </c>
      <c r="E276" s="4" t="s">
        <v>31</v>
      </c>
      <c r="F276" s="3" t="s">
        <v>900</v>
      </c>
      <c r="G276" s="3" t="s">
        <v>881</v>
      </c>
      <c r="H276" s="3" t="s">
        <v>103</v>
      </c>
      <c r="I276" s="9" t="s">
        <v>1142</v>
      </c>
      <c r="J276" s="4"/>
      <c r="K276" s="180" t="s">
        <v>1128</v>
      </c>
      <c r="L276" s="61"/>
      <c r="M276" s="103">
        <f>250000*3</f>
        <v>750000</v>
      </c>
      <c r="N276" s="49" t="s">
        <v>1141</v>
      </c>
    </row>
    <row r="277" spans="1:15" ht="27" hidden="1" x14ac:dyDescent="0.3">
      <c r="A277" s="59">
        <v>52</v>
      </c>
      <c r="B277" s="533"/>
      <c r="C277" s="99">
        <v>45289</v>
      </c>
      <c r="D277" s="3" t="s">
        <v>21</v>
      </c>
      <c r="E277" s="4" t="s">
        <v>30</v>
      </c>
      <c r="F277" s="3" t="s">
        <v>1134</v>
      </c>
      <c r="G277" s="154">
        <v>2461</v>
      </c>
      <c r="H277" s="155" t="s">
        <v>1133</v>
      </c>
      <c r="I277" s="154" t="s">
        <v>239</v>
      </c>
      <c r="J277" s="14"/>
      <c r="K277" s="4" t="s">
        <v>1135</v>
      </c>
      <c r="L277" s="61"/>
      <c r="M277" s="103">
        <f t="shared" si="10"/>
        <v>500000</v>
      </c>
      <c r="N277" s="49" t="s">
        <v>1140</v>
      </c>
    </row>
    <row r="278" spans="1:15" hidden="1" x14ac:dyDescent="0.3">
      <c r="A278" s="562" t="s">
        <v>1199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4"/>
    </row>
    <row r="279" spans="1:15" ht="16.5" hidden="1" customHeight="1" x14ac:dyDescent="0.3">
      <c r="A279" s="59">
        <v>1</v>
      </c>
      <c r="B279" s="531" t="s">
        <v>20</v>
      </c>
      <c r="C279" s="547" t="s">
        <v>1187</v>
      </c>
      <c r="D279" s="4" t="s">
        <v>19</v>
      </c>
      <c r="E279" s="4" t="s">
        <v>25</v>
      </c>
      <c r="F279" s="4" t="s">
        <v>20</v>
      </c>
      <c r="G279" s="4">
        <v>3306</v>
      </c>
      <c r="H279" s="4" t="s">
        <v>813</v>
      </c>
      <c r="I279" s="9" t="s">
        <v>1124</v>
      </c>
      <c r="J279" s="14" t="s">
        <v>127</v>
      </c>
      <c r="K279" s="4" t="s">
        <v>1137</v>
      </c>
      <c r="L279" s="61" t="s">
        <v>210</v>
      </c>
      <c r="M279" s="103">
        <f>250000*4</f>
        <v>1000000</v>
      </c>
      <c r="N279" s="49" t="s">
        <v>122</v>
      </c>
    </row>
    <row r="280" spans="1:15" hidden="1" x14ac:dyDescent="0.3">
      <c r="A280" s="59">
        <v>1</v>
      </c>
      <c r="B280" s="533"/>
      <c r="C280" s="549"/>
      <c r="D280" s="4" t="s">
        <v>19</v>
      </c>
      <c r="E280" s="4" t="s">
        <v>25</v>
      </c>
      <c r="F280" s="4" t="s">
        <v>20</v>
      </c>
      <c r="G280" s="4">
        <v>8384</v>
      </c>
      <c r="H280" s="4" t="s">
        <v>126</v>
      </c>
      <c r="I280" s="9" t="s">
        <v>131</v>
      </c>
      <c r="J280" s="14" t="s">
        <v>1189</v>
      </c>
      <c r="K280" s="171" t="s">
        <v>136</v>
      </c>
      <c r="L280" s="61" t="s">
        <v>210</v>
      </c>
      <c r="M280" s="103">
        <f>250000*4</f>
        <v>1000000</v>
      </c>
      <c r="N280" s="49" t="s">
        <v>1197</v>
      </c>
    </row>
    <row r="281" spans="1:15" hidden="1" x14ac:dyDescent="0.3">
      <c r="A281" s="59">
        <v>1</v>
      </c>
      <c r="B281" s="531" t="s">
        <v>64</v>
      </c>
      <c r="C281" s="547">
        <v>45293</v>
      </c>
      <c r="D281" s="3" t="s">
        <v>64</v>
      </c>
      <c r="E281" s="4" t="s">
        <v>1172</v>
      </c>
      <c r="F281" s="3" t="s">
        <v>1173</v>
      </c>
      <c r="G281" s="3" t="s">
        <v>1169</v>
      </c>
      <c r="H281" s="3" t="s">
        <v>1170</v>
      </c>
      <c r="I281" s="9" t="s">
        <v>1171</v>
      </c>
      <c r="J281" s="14" t="s">
        <v>1176</v>
      </c>
      <c r="K281" s="184" t="s">
        <v>1185</v>
      </c>
      <c r="L281" s="17" t="s">
        <v>1178</v>
      </c>
      <c r="M281" s="103">
        <v>500000</v>
      </c>
      <c r="N281" s="49" t="s">
        <v>1192</v>
      </c>
    </row>
    <row r="282" spans="1:15" ht="27" hidden="1" x14ac:dyDescent="0.3">
      <c r="A282" s="59">
        <v>1</v>
      </c>
      <c r="B282" s="532"/>
      <c r="C282" s="549"/>
      <c r="D282" s="3" t="s">
        <v>1165</v>
      </c>
      <c r="E282" s="4" t="s">
        <v>1166</v>
      </c>
      <c r="F282" s="3" t="s">
        <v>1167</v>
      </c>
      <c r="G282" s="3">
        <v>2461</v>
      </c>
      <c r="H282" s="3" t="s">
        <v>1168</v>
      </c>
      <c r="I282" s="9" t="s">
        <v>1174</v>
      </c>
      <c r="J282" s="153"/>
      <c r="K282" s="173" t="s">
        <v>1181</v>
      </c>
      <c r="L282" s="6" t="s">
        <v>1178</v>
      </c>
      <c r="M282" s="103">
        <v>500000</v>
      </c>
      <c r="N282" s="49" t="s">
        <v>1193</v>
      </c>
    </row>
    <row r="283" spans="1:15" hidden="1" x14ac:dyDescent="0.3">
      <c r="A283" s="59">
        <v>1</v>
      </c>
      <c r="B283" s="532"/>
      <c r="C283" s="547">
        <v>45294</v>
      </c>
      <c r="D283" s="3" t="s">
        <v>24</v>
      </c>
      <c r="E283" s="4" t="s">
        <v>31</v>
      </c>
      <c r="F283" s="3" t="s">
        <v>78</v>
      </c>
      <c r="G283" s="3" t="s">
        <v>1120</v>
      </c>
      <c r="H283" s="3" t="s">
        <v>347</v>
      </c>
      <c r="I283" s="9" t="s">
        <v>1121</v>
      </c>
      <c r="J283" s="558" t="s">
        <v>1177</v>
      </c>
      <c r="K283" s="560" t="s">
        <v>1191</v>
      </c>
      <c r="L283" s="6" t="s">
        <v>1179</v>
      </c>
      <c r="M283" s="103">
        <v>500000</v>
      </c>
      <c r="N283" s="49" t="s">
        <v>1194</v>
      </c>
    </row>
    <row r="284" spans="1:15" hidden="1" x14ac:dyDescent="0.3">
      <c r="A284" s="59">
        <v>1</v>
      </c>
      <c r="B284" s="532"/>
      <c r="C284" s="549"/>
      <c r="D284" s="3" t="s">
        <v>21</v>
      </c>
      <c r="E284" s="4" t="s">
        <v>17</v>
      </c>
      <c r="F284" s="3" t="s">
        <v>78</v>
      </c>
      <c r="G284" s="15" t="s">
        <v>869</v>
      </c>
      <c r="H284" s="3" t="s">
        <v>83</v>
      </c>
      <c r="I284" s="9" t="s">
        <v>1130</v>
      </c>
      <c r="J284" s="559"/>
      <c r="K284" s="561"/>
      <c r="L284" s="6" t="s">
        <v>1178</v>
      </c>
      <c r="M284" s="103">
        <v>500000</v>
      </c>
      <c r="N284" s="49" t="s">
        <v>1194</v>
      </c>
    </row>
    <row r="285" spans="1:15" hidden="1" x14ac:dyDescent="0.3">
      <c r="A285" s="59">
        <v>1</v>
      </c>
      <c r="B285" s="532"/>
      <c r="C285" s="99">
        <v>45295</v>
      </c>
      <c r="D285" s="3" t="s">
        <v>64</v>
      </c>
      <c r="E285" s="4" t="s">
        <v>70</v>
      </c>
      <c r="F285" s="3" t="s">
        <v>1127</v>
      </c>
      <c r="G285" s="3" t="s">
        <v>606</v>
      </c>
      <c r="H285" s="3" t="s">
        <v>103</v>
      </c>
      <c r="I285" s="9" t="s">
        <v>1183</v>
      </c>
      <c r="J285" s="14"/>
      <c r="K285" s="186" t="s">
        <v>1185</v>
      </c>
      <c r="L285" s="6" t="s">
        <v>1178</v>
      </c>
      <c r="M285" s="103">
        <v>500000</v>
      </c>
      <c r="N285" s="49" t="s">
        <v>1195</v>
      </c>
    </row>
    <row r="286" spans="1:15" hidden="1" x14ac:dyDescent="0.3">
      <c r="A286" s="59">
        <v>1</v>
      </c>
      <c r="B286" s="533"/>
      <c r="C286" s="99">
        <v>45296</v>
      </c>
      <c r="D286" s="3" t="s">
        <v>21</v>
      </c>
      <c r="E286" s="4" t="s">
        <v>30</v>
      </c>
      <c r="F286" s="3" t="s">
        <v>108</v>
      </c>
      <c r="G286" s="3" t="s">
        <v>109</v>
      </c>
      <c r="H286" s="3" t="s">
        <v>1175</v>
      </c>
      <c r="I286" s="9" t="s">
        <v>1184</v>
      </c>
      <c r="J286" s="14" t="s">
        <v>1176</v>
      </c>
      <c r="K286" s="173" t="s">
        <v>1186</v>
      </c>
      <c r="L286" s="6" t="s">
        <v>1178</v>
      </c>
      <c r="M286" s="103">
        <v>250000</v>
      </c>
      <c r="N286" s="49" t="s">
        <v>1196</v>
      </c>
    </row>
    <row r="287" spans="1:15" ht="25.5" hidden="1" customHeight="1" x14ac:dyDescent="0.3">
      <c r="A287" s="59">
        <v>2</v>
      </c>
      <c r="B287" s="565" t="s">
        <v>124</v>
      </c>
      <c r="C287" s="538" t="s">
        <v>1285</v>
      </c>
      <c r="D287" s="137" t="s">
        <v>307</v>
      </c>
      <c r="E287" s="137" t="s">
        <v>323</v>
      </c>
      <c r="F287" s="137" t="s">
        <v>308</v>
      </c>
      <c r="G287" s="137">
        <v>3306</v>
      </c>
      <c r="H287" s="137" t="s">
        <v>1156</v>
      </c>
      <c r="I287" s="138" t="s">
        <v>1157</v>
      </c>
      <c r="J287" s="137" t="s">
        <v>1113</v>
      </c>
      <c r="K287" s="137" t="s">
        <v>1158</v>
      </c>
      <c r="L287" s="137" t="s">
        <v>325</v>
      </c>
      <c r="M287" s="137" t="s">
        <v>710</v>
      </c>
      <c r="N287" s="137" t="s">
        <v>667</v>
      </c>
    </row>
    <row r="288" spans="1:15" ht="25.5" hidden="1" x14ac:dyDescent="0.3">
      <c r="A288" s="59">
        <v>2</v>
      </c>
      <c r="B288" s="566"/>
      <c r="C288" s="539"/>
      <c r="D288" s="137" t="s">
        <v>307</v>
      </c>
      <c r="E288" s="137" t="s">
        <v>323</v>
      </c>
      <c r="F288" s="137" t="s">
        <v>308</v>
      </c>
      <c r="G288" s="137" t="s">
        <v>1190</v>
      </c>
      <c r="H288" s="137" t="s">
        <v>1198</v>
      </c>
      <c r="I288" s="138" t="s">
        <v>1188</v>
      </c>
      <c r="J288" s="137" t="s">
        <v>351</v>
      </c>
      <c r="K288" s="172" t="s">
        <v>1160</v>
      </c>
      <c r="L288" s="137" t="s">
        <v>325</v>
      </c>
      <c r="M288" s="137" t="s">
        <v>1114</v>
      </c>
      <c r="N288" s="136" t="s">
        <v>427</v>
      </c>
    </row>
    <row r="289" spans="1:15" hidden="1" x14ac:dyDescent="0.3">
      <c r="A289" s="59">
        <v>2</v>
      </c>
      <c r="B289" s="540" t="s">
        <v>64</v>
      </c>
      <c r="C289" s="538" t="s">
        <v>1234</v>
      </c>
      <c r="D289" s="68" t="s">
        <v>312</v>
      </c>
      <c r="E289" s="137" t="s">
        <v>321</v>
      </c>
      <c r="F289" s="68" t="s">
        <v>1235</v>
      </c>
      <c r="G289" s="68" t="s">
        <v>691</v>
      </c>
      <c r="H289" s="68" t="s">
        <v>664</v>
      </c>
      <c r="I289" s="142" t="s">
        <v>1207</v>
      </c>
      <c r="J289" s="137" t="s">
        <v>640</v>
      </c>
      <c r="K289" s="187" t="s">
        <v>673</v>
      </c>
      <c r="L289" s="137" t="s">
        <v>310</v>
      </c>
      <c r="M289" s="137" t="s">
        <v>674</v>
      </c>
      <c r="N289" s="164" t="s">
        <v>1209</v>
      </c>
      <c r="O289" s="167" t="s">
        <v>1246</v>
      </c>
    </row>
    <row r="290" spans="1:15" hidden="1" x14ac:dyDescent="0.3">
      <c r="A290" s="59">
        <v>2</v>
      </c>
      <c r="B290" s="541"/>
      <c r="C290" s="556"/>
      <c r="D290" s="68" t="s">
        <v>312</v>
      </c>
      <c r="E290" s="137" t="s">
        <v>321</v>
      </c>
      <c r="F290" s="68" t="s">
        <v>711</v>
      </c>
      <c r="G290" s="68">
        <v>2461</v>
      </c>
      <c r="H290" s="68" t="s">
        <v>1049</v>
      </c>
      <c r="I290" s="165" t="s">
        <v>1215</v>
      </c>
      <c r="J290" s="137"/>
      <c r="K290" s="174" t="s">
        <v>694</v>
      </c>
      <c r="L290" s="137" t="s">
        <v>310</v>
      </c>
      <c r="M290" s="166" t="s">
        <v>1236</v>
      </c>
      <c r="N290" s="164" t="s">
        <v>728</v>
      </c>
    </row>
    <row r="291" spans="1:15" ht="25.5" hidden="1" x14ac:dyDescent="0.3">
      <c r="A291" s="59">
        <v>2</v>
      </c>
      <c r="B291" s="541"/>
      <c r="C291" s="557" t="s">
        <v>1237</v>
      </c>
      <c r="D291" s="68" t="s">
        <v>312</v>
      </c>
      <c r="E291" s="137" t="s">
        <v>677</v>
      </c>
      <c r="F291" s="68" t="s">
        <v>722</v>
      </c>
      <c r="G291" s="68" t="s">
        <v>1238</v>
      </c>
      <c r="H291" s="68" t="s">
        <v>1239</v>
      </c>
      <c r="I291" s="157" t="s">
        <v>1180</v>
      </c>
      <c r="J291" s="538" t="s">
        <v>640</v>
      </c>
      <c r="K291" s="554" t="s">
        <v>673</v>
      </c>
      <c r="L291" s="156" t="s">
        <v>310</v>
      </c>
      <c r="M291" s="538" t="s">
        <v>674</v>
      </c>
      <c r="N291" s="156" t="s">
        <v>725</v>
      </c>
    </row>
    <row r="292" spans="1:15" hidden="1" x14ac:dyDescent="0.3">
      <c r="A292" s="59">
        <v>2</v>
      </c>
      <c r="B292" s="541"/>
      <c r="C292" s="556"/>
      <c r="D292" s="68" t="s">
        <v>312</v>
      </c>
      <c r="E292" s="137" t="s">
        <v>677</v>
      </c>
      <c r="F292" s="68" t="s">
        <v>722</v>
      </c>
      <c r="G292" s="68" t="s">
        <v>1240</v>
      </c>
      <c r="H292" s="68" t="s">
        <v>1241</v>
      </c>
      <c r="I292" s="157" t="s">
        <v>1242</v>
      </c>
      <c r="J292" s="539"/>
      <c r="K292" s="555"/>
      <c r="L292" s="156" t="s">
        <v>310</v>
      </c>
      <c r="M292" s="539"/>
      <c r="N292" s="156" t="s">
        <v>725</v>
      </c>
    </row>
    <row r="293" spans="1:15" hidden="1" x14ac:dyDescent="0.3">
      <c r="A293" s="59">
        <v>2</v>
      </c>
      <c r="B293" s="541"/>
      <c r="C293" s="557" t="s">
        <v>1243</v>
      </c>
      <c r="D293" s="68" t="s">
        <v>312</v>
      </c>
      <c r="E293" s="137" t="s">
        <v>677</v>
      </c>
      <c r="F293" s="68" t="s">
        <v>338</v>
      </c>
      <c r="G293" s="68" t="s">
        <v>334</v>
      </c>
      <c r="H293" s="68" t="s">
        <v>1201</v>
      </c>
      <c r="I293" s="157" t="s">
        <v>1202</v>
      </c>
      <c r="J293" s="156" t="s">
        <v>640</v>
      </c>
      <c r="K293" s="188" t="s">
        <v>673</v>
      </c>
      <c r="L293" s="156" t="s">
        <v>310</v>
      </c>
      <c r="M293" s="156" t="s">
        <v>674</v>
      </c>
      <c r="N293" s="156" t="s">
        <v>725</v>
      </c>
    </row>
    <row r="294" spans="1:15" hidden="1" x14ac:dyDescent="0.3">
      <c r="A294" s="59">
        <v>2</v>
      </c>
      <c r="B294" s="541"/>
      <c r="C294" s="539"/>
      <c r="D294" s="68" t="s">
        <v>702</v>
      </c>
      <c r="E294" s="137" t="s">
        <v>321</v>
      </c>
      <c r="F294" s="68" t="s">
        <v>338</v>
      </c>
      <c r="G294" s="68" t="s">
        <v>1203</v>
      </c>
      <c r="H294" s="68" t="s">
        <v>330</v>
      </c>
      <c r="I294" s="157" t="s">
        <v>1212</v>
      </c>
      <c r="J294" s="156" t="s">
        <v>640</v>
      </c>
      <c r="K294" s="175" t="s">
        <v>673</v>
      </c>
      <c r="L294" s="156" t="s">
        <v>310</v>
      </c>
      <c r="M294" s="156" t="s">
        <v>674</v>
      </c>
      <c r="N294" s="156" t="s">
        <v>1211</v>
      </c>
    </row>
    <row r="295" spans="1:15" hidden="1" x14ac:dyDescent="0.3">
      <c r="A295" s="59">
        <v>2</v>
      </c>
      <c r="B295" s="542"/>
      <c r="C295" s="156" t="s">
        <v>1244</v>
      </c>
      <c r="D295" s="68" t="s">
        <v>312</v>
      </c>
      <c r="E295" s="137" t="s">
        <v>321</v>
      </c>
      <c r="F295" s="68" t="s">
        <v>338</v>
      </c>
      <c r="G295" s="68" t="s">
        <v>1204</v>
      </c>
      <c r="H295" s="68" t="s">
        <v>1200</v>
      </c>
      <c r="I295" s="157" t="s">
        <v>1245</v>
      </c>
      <c r="J295" s="156" t="s">
        <v>640</v>
      </c>
      <c r="K295" s="188" t="s">
        <v>673</v>
      </c>
      <c r="L295" s="156" t="s">
        <v>310</v>
      </c>
      <c r="M295" s="156" t="s">
        <v>674</v>
      </c>
      <c r="N295" s="156" t="s">
        <v>1213</v>
      </c>
    </row>
    <row r="296" spans="1:15" ht="16.5" hidden="1" customHeight="1" x14ac:dyDescent="0.3">
      <c r="A296" s="59">
        <v>3</v>
      </c>
      <c r="B296" s="531" t="s">
        <v>20</v>
      </c>
      <c r="C296" s="547" t="s">
        <v>1286</v>
      </c>
      <c r="D296" s="4" t="s">
        <v>19</v>
      </c>
      <c r="E296" s="4" t="s">
        <v>25</v>
      </c>
      <c r="F296" s="4" t="s">
        <v>20</v>
      </c>
      <c r="G296" s="4">
        <v>3306</v>
      </c>
      <c r="H296" s="4" t="s">
        <v>813</v>
      </c>
      <c r="I296" s="9" t="s">
        <v>1124</v>
      </c>
      <c r="J296" s="14" t="s">
        <v>127</v>
      </c>
      <c r="K296" s="4" t="s">
        <v>1208</v>
      </c>
      <c r="L296" s="61" t="s">
        <v>210</v>
      </c>
      <c r="M296" s="103">
        <f>250000*5</f>
        <v>1250000</v>
      </c>
      <c r="N296" s="49" t="s">
        <v>122</v>
      </c>
    </row>
    <row r="297" spans="1:15" hidden="1" x14ac:dyDescent="0.3">
      <c r="A297" s="59">
        <v>3</v>
      </c>
      <c r="B297" s="532"/>
      <c r="C297" s="548"/>
      <c r="D297" s="4" t="s">
        <v>19</v>
      </c>
      <c r="E297" s="4" t="s">
        <v>25</v>
      </c>
      <c r="F297" s="4" t="s">
        <v>20</v>
      </c>
      <c r="G297" s="4" t="s">
        <v>1227</v>
      </c>
      <c r="H297" s="4" t="s">
        <v>1228</v>
      </c>
      <c r="I297" s="9" t="s">
        <v>131</v>
      </c>
      <c r="J297" s="14" t="s">
        <v>1189</v>
      </c>
      <c r="K297" s="171" t="s">
        <v>136</v>
      </c>
      <c r="L297" s="61" t="s">
        <v>210</v>
      </c>
      <c r="M297" s="103">
        <f>250000*4</f>
        <v>1000000</v>
      </c>
      <c r="N297" s="84" t="s">
        <v>1197</v>
      </c>
    </row>
    <row r="298" spans="1:15" hidden="1" x14ac:dyDescent="0.3">
      <c r="A298" s="59">
        <v>3</v>
      </c>
      <c r="B298" s="533"/>
      <c r="C298" s="549"/>
      <c r="D298" s="4" t="s">
        <v>19</v>
      </c>
      <c r="E298" s="4" t="s">
        <v>25</v>
      </c>
      <c r="F298" s="4" t="s">
        <v>20</v>
      </c>
      <c r="G298" s="4" t="s">
        <v>1225</v>
      </c>
      <c r="H298" s="4" t="s">
        <v>1226</v>
      </c>
      <c r="I298" s="9" t="s">
        <v>131</v>
      </c>
      <c r="J298" s="14" t="s">
        <v>1189</v>
      </c>
      <c r="K298" s="171" t="s">
        <v>134</v>
      </c>
      <c r="L298" s="61" t="s">
        <v>210</v>
      </c>
      <c r="M298" s="103">
        <f>250000*2</f>
        <v>500000</v>
      </c>
      <c r="N298" s="84" t="s">
        <v>1197</v>
      </c>
    </row>
    <row r="299" spans="1:15" hidden="1" x14ac:dyDescent="0.3">
      <c r="A299" s="59">
        <v>3</v>
      </c>
      <c r="B299" s="531" t="s">
        <v>64</v>
      </c>
      <c r="C299" s="99">
        <v>45306</v>
      </c>
      <c r="D299" s="3" t="s">
        <v>1205</v>
      </c>
      <c r="E299" s="4" t="s">
        <v>1216</v>
      </c>
      <c r="F299" s="3" t="s">
        <v>1217</v>
      </c>
      <c r="G299" s="3" t="s">
        <v>1223</v>
      </c>
      <c r="H299" s="3" t="s">
        <v>1224</v>
      </c>
      <c r="I299" s="9" t="s">
        <v>1221</v>
      </c>
      <c r="J299" s="14" t="s">
        <v>1176</v>
      </c>
      <c r="K299" s="173" t="s">
        <v>1182</v>
      </c>
      <c r="L299" s="6" t="s">
        <v>1178</v>
      </c>
      <c r="M299" s="103">
        <v>250000</v>
      </c>
      <c r="N299" s="49" t="s">
        <v>1210</v>
      </c>
    </row>
    <row r="300" spans="1:15" hidden="1" x14ac:dyDescent="0.3">
      <c r="A300" s="59">
        <v>3</v>
      </c>
      <c r="B300" s="532"/>
      <c r="C300" s="99">
        <v>45307</v>
      </c>
      <c r="D300" s="3" t="s">
        <v>1205</v>
      </c>
      <c r="E300" s="4" t="s">
        <v>1216</v>
      </c>
      <c r="F300" s="3" t="s">
        <v>1217</v>
      </c>
      <c r="G300" s="3" t="s">
        <v>1223</v>
      </c>
      <c r="H300" s="3" t="s">
        <v>1224</v>
      </c>
      <c r="I300" s="9" t="s">
        <v>1222</v>
      </c>
      <c r="J300" s="14" t="s">
        <v>1176</v>
      </c>
      <c r="K300" s="173" t="s">
        <v>1182</v>
      </c>
      <c r="L300" s="6" t="s">
        <v>1178</v>
      </c>
      <c r="M300" s="163">
        <v>250000</v>
      </c>
      <c r="N300" s="49" t="s">
        <v>1214</v>
      </c>
    </row>
    <row r="301" spans="1:15" ht="27" hidden="1" x14ac:dyDescent="0.3">
      <c r="A301" s="59">
        <v>3</v>
      </c>
      <c r="B301" s="533"/>
      <c r="C301" s="99">
        <v>45307</v>
      </c>
      <c r="D301" s="3" t="s">
        <v>1218</v>
      </c>
      <c r="E301" s="4" t="s">
        <v>1206</v>
      </c>
      <c r="F301" s="3" t="s">
        <v>1219</v>
      </c>
      <c r="G301" s="3" t="s">
        <v>1220</v>
      </c>
      <c r="H301" s="3" t="s">
        <v>1231</v>
      </c>
      <c r="I301" s="9" t="s">
        <v>1232</v>
      </c>
      <c r="J301" s="4"/>
      <c r="K301" s="4" t="s">
        <v>1229</v>
      </c>
      <c r="L301" s="6" t="s">
        <v>1230</v>
      </c>
      <c r="M301" s="103">
        <v>250000</v>
      </c>
      <c r="N301" s="49" t="s">
        <v>1233</v>
      </c>
    </row>
    <row r="302" spans="1:15" ht="16.5" hidden="1" customHeight="1" x14ac:dyDescent="0.3">
      <c r="A302" s="59">
        <v>4</v>
      </c>
      <c r="B302" s="531" t="s">
        <v>20</v>
      </c>
      <c r="C302" s="547" t="s">
        <v>1248</v>
      </c>
      <c r="D302" s="4" t="s">
        <v>19</v>
      </c>
      <c r="E302" s="4" t="s">
        <v>25</v>
      </c>
      <c r="F302" s="4" t="s">
        <v>20</v>
      </c>
      <c r="G302" s="4">
        <v>3306</v>
      </c>
      <c r="H302" s="4" t="s">
        <v>813</v>
      </c>
      <c r="I302" s="9" t="s">
        <v>1124</v>
      </c>
      <c r="J302" s="14" t="s">
        <v>127</v>
      </c>
      <c r="K302" s="4" t="s">
        <v>815</v>
      </c>
      <c r="L302" s="61" t="s">
        <v>210</v>
      </c>
      <c r="M302" s="103">
        <f>250000*5</f>
        <v>1250000</v>
      </c>
      <c r="N302" s="49" t="s">
        <v>331</v>
      </c>
    </row>
    <row r="303" spans="1:15" hidden="1" x14ac:dyDescent="0.3">
      <c r="A303" s="59">
        <v>4</v>
      </c>
      <c r="B303" s="532"/>
      <c r="C303" s="548"/>
      <c r="D303" s="4" t="s">
        <v>19</v>
      </c>
      <c r="E303" s="4" t="s">
        <v>25</v>
      </c>
      <c r="F303" s="4" t="s">
        <v>20</v>
      </c>
      <c r="G303" s="4" t="s">
        <v>1249</v>
      </c>
      <c r="H303" s="4" t="s">
        <v>1250</v>
      </c>
      <c r="I303" s="9" t="s">
        <v>1251</v>
      </c>
      <c r="J303" s="14" t="s">
        <v>173</v>
      </c>
      <c r="K303" s="173" t="s">
        <v>1254</v>
      </c>
      <c r="L303" s="61" t="s">
        <v>210</v>
      </c>
      <c r="M303" s="103">
        <f>250000*5</f>
        <v>1250000</v>
      </c>
      <c r="N303" s="49" t="s">
        <v>122</v>
      </c>
    </row>
    <row r="304" spans="1:15" hidden="1" x14ac:dyDescent="0.3">
      <c r="A304" s="59">
        <v>4</v>
      </c>
      <c r="B304" s="532"/>
      <c r="C304" s="548"/>
      <c r="D304" s="4" t="s">
        <v>19</v>
      </c>
      <c r="E304" s="4" t="s">
        <v>25</v>
      </c>
      <c r="F304" s="4" t="s">
        <v>20</v>
      </c>
      <c r="G304" s="4" t="s">
        <v>1249</v>
      </c>
      <c r="H304" s="4" t="s">
        <v>265</v>
      </c>
      <c r="I304" s="9" t="s">
        <v>1252</v>
      </c>
      <c r="J304" s="14"/>
      <c r="K304" s="184" t="s">
        <v>41</v>
      </c>
      <c r="L304" s="61" t="s">
        <v>210</v>
      </c>
      <c r="M304" s="103">
        <f>250000*1</f>
        <v>250000</v>
      </c>
      <c r="N304" s="49" t="s">
        <v>122</v>
      </c>
    </row>
    <row r="305" spans="1:18" hidden="1" x14ac:dyDescent="0.3">
      <c r="A305" s="59">
        <v>4</v>
      </c>
      <c r="B305" s="532"/>
      <c r="C305" s="548"/>
      <c r="D305" s="4" t="s">
        <v>19</v>
      </c>
      <c r="E305" s="4" t="s">
        <v>25</v>
      </c>
      <c r="F305" s="4" t="s">
        <v>20</v>
      </c>
      <c r="G305" s="4" t="s">
        <v>1109</v>
      </c>
      <c r="H305" s="4" t="s">
        <v>40</v>
      </c>
      <c r="I305" s="9" t="s">
        <v>131</v>
      </c>
      <c r="J305" s="14" t="s">
        <v>399</v>
      </c>
      <c r="K305" s="171" t="s">
        <v>134</v>
      </c>
      <c r="L305" s="61" t="s">
        <v>210</v>
      </c>
      <c r="M305" s="103">
        <f>250000*2</f>
        <v>500000</v>
      </c>
      <c r="N305" s="84" t="s">
        <v>248</v>
      </c>
    </row>
    <row r="306" spans="1:18" hidden="1" x14ac:dyDescent="0.3">
      <c r="A306" s="59">
        <v>4</v>
      </c>
      <c r="B306" s="533"/>
      <c r="C306" s="549"/>
      <c r="D306" s="4" t="s">
        <v>19</v>
      </c>
      <c r="E306" s="4" t="s">
        <v>25</v>
      </c>
      <c r="F306" s="4" t="s">
        <v>20</v>
      </c>
      <c r="G306" s="4" t="s">
        <v>1249</v>
      </c>
      <c r="H306" s="4" t="s">
        <v>1253</v>
      </c>
      <c r="I306" s="9" t="s">
        <v>131</v>
      </c>
      <c r="J306" s="14" t="s">
        <v>399</v>
      </c>
      <c r="K306" s="171" t="s">
        <v>134</v>
      </c>
      <c r="L306" s="61" t="s">
        <v>210</v>
      </c>
      <c r="M306" s="103">
        <f>250000*2</f>
        <v>500000</v>
      </c>
      <c r="N306" s="84" t="s">
        <v>248</v>
      </c>
    </row>
    <row r="307" spans="1:18" hidden="1" x14ac:dyDescent="0.3">
      <c r="A307" s="59">
        <v>4</v>
      </c>
      <c r="B307" s="131" t="s">
        <v>64</v>
      </c>
      <c r="C307" s="99">
        <v>45317</v>
      </c>
      <c r="D307" s="3" t="s">
        <v>64</v>
      </c>
      <c r="E307" s="4" t="s">
        <v>70</v>
      </c>
      <c r="F307" s="3" t="s">
        <v>1127</v>
      </c>
      <c r="G307" s="3" t="s">
        <v>606</v>
      </c>
      <c r="H307" s="3" t="s">
        <v>103</v>
      </c>
      <c r="I307" s="9" t="s">
        <v>1255</v>
      </c>
      <c r="J307" s="14" t="s">
        <v>379</v>
      </c>
      <c r="K307" s="183" t="s">
        <v>1256</v>
      </c>
      <c r="L307" s="6" t="s">
        <v>69</v>
      </c>
      <c r="M307" s="103">
        <v>300000</v>
      </c>
      <c r="N307" s="49" t="s">
        <v>129</v>
      </c>
    </row>
    <row r="308" spans="1:18" ht="16.5" hidden="1" customHeight="1" x14ac:dyDescent="0.3">
      <c r="A308" s="59">
        <v>5</v>
      </c>
      <c r="B308" s="531" t="s">
        <v>20</v>
      </c>
      <c r="C308" s="547" t="s">
        <v>1287</v>
      </c>
      <c r="D308" s="4" t="s">
        <v>19</v>
      </c>
      <c r="E308" s="4" t="s">
        <v>25</v>
      </c>
      <c r="F308" s="4" t="s">
        <v>20</v>
      </c>
      <c r="G308" s="4">
        <v>3306</v>
      </c>
      <c r="H308" s="4" t="s">
        <v>813</v>
      </c>
      <c r="I308" s="9" t="s">
        <v>1124</v>
      </c>
      <c r="J308" s="14" t="s">
        <v>127</v>
      </c>
      <c r="K308" s="192" t="s">
        <v>815</v>
      </c>
      <c r="L308" s="61" t="s">
        <v>210</v>
      </c>
      <c r="M308" s="103">
        <f>250000*5</f>
        <v>1250000</v>
      </c>
      <c r="N308" s="49" t="s">
        <v>122</v>
      </c>
      <c r="P308" t="s">
        <v>1264</v>
      </c>
    </row>
    <row r="309" spans="1:18" hidden="1" x14ac:dyDescent="0.3">
      <c r="A309" s="59">
        <v>5</v>
      </c>
      <c r="B309" s="533"/>
      <c r="C309" s="549"/>
      <c r="D309" s="4" t="s">
        <v>19</v>
      </c>
      <c r="E309" s="4" t="s">
        <v>25</v>
      </c>
      <c r="F309" s="4" t="s">
        <v>20</v>
      </c>
      <c r="G309" s="4" t="s">
        <v>1109</v>
      </c>
      <c r="H309" s="4" t="s">
        <v>40</v>
      </c>
      <c r="I309" s="9" t="s">
        <v>131</v>
      </c>
      <c r="J309" s="14" t="s">
        <v>95</v>
      </c>
      <c r="K309" s="171" t="s">
        <v>136</v>
      </c>
      <c r="L309" s="61" t="s">
        <v>210</v>
      </c>
      <c r="M309" s="103">
        <f>250000*4</f>
        <v>1000000</v>
      </c>
      <c r="N309" s="84" t="s">
        <v>248</v>
      </c>
      <c r="P309" t="s">
        <v>1263</v>
      </c>
      <c r="Q309">
        <v>26</v>
      </c>
      <c r="R309" s="117">
        <v>6500000</v>
      </c>
    </row>
    <row r="310" spans="1:18" hidden="1" x14ac:dyDescent="0.3">
      <c r="A310" s="59">
        <v>5</v>
      </c>
      <c r="B310" s="531" t="s">
        <v>97</v>
      </c>
      <c r="C310" s="16">
        <v>45320</v>
      </c>
      <c r="D310" s="3" t="s">
        <v>64</v>
      </c>
      <c r="E310" s="4" t="s">
        <v>70</v>
      </c>
      <c r="F310" s="3" t="s">
        <v>1127</v>
      </c>
      <c r="G310" s="3" t="s">
        <v>606</v>
      </c>
      <c r="H310" s="3" t="s">
        <v>103</v>
      </c>
      <c r="I310" s="9" t="s">
        <v>1259</v>
      </c>
      <c r="J310" s="14"/>
      <c r="K310" s="193" t="s">
        <v>688</v>
      </c>
      <c r="L310" s="6" t="s">
        <v>15</v>
      </c>
      <c r="M310" s="103">
        <v>250000</v>
      </c>
      <c r="N310" s="49" t="s">
        <v>1261</v>
      </c>
    </row>
    <row r="311" spans="1:18" hidden="1" x14ac:dyDescent="0.3">
      <c r="A311" s="59">
        <v>5</v>
      </c>
      <c r="B311" s="532"/>
      <c r="C311" s="16">
        <v>45321</v>
      </c>
      <c r="D311" s="3" t="s">
        <v>64</v>
      </c>
      <c r="E311" s="4" t="s">
        <v>70</v>
      </c>
      <c r="F311" s="3" t="s">
        <v>1127</v>
      </c>
      <c r="G311" s="3" t="s">
        <v>606</v>
      </c>
      <c r="H311" s="3" t="s">
        <v>103</v>
      </c>
      <c r="I311" s="9" t="s">
        <v>1257</v>
      </c>
      <c r="J311" s="14" t="s">
        <v>90</v>
      </c>
      <c r="K311" s="193" t="s">
        <v>823</v>
      </c>
      <c r="L311" s="6" t="s">
        <v>66</v>
      </c>
      <c r="M311" s="103">
        <v>250000</v>
      </c>
      <c r="N311" s="49" t="s">
        <v>1260</v>
      </c>
      <c r="O311" t="s">
        <v>1357</v>
      </c>
    </row>
    <row r="312" spans="1:18" hidden="1" x14ac:dyDescent="0.3">
      <c r="A312" s="59">
        <v>5</v>
      </c>
      <c r="B312" s="533"/>
      <c r="C312" s="16">
        <v>45322</v>
      </c>
      <c r="D312" s="3" t="s">
        <v>64</v>
      </c>
      <c r="E312" s="4" t="s">
        <v>17</v>
      </c>
      <c r="F312" s="3" t="s">
        <v>101</v>
      </c>
      <c r="G312" s="3" t="s">
        <v>1120</v>
      </c>
      <c r="H312" s="3" t="s">
        <v>181</v>
      </c>
      <c r="I312" s="9" t="s">
        <v>104</v>
      </c>
      <c r="J312" s="14"/>
      <c r="K312" s="4" t="s">
        <v>105</v>
      </c>
      <c r="L312" s="6" t="s">
        <v>15</v>
      </c>
      <c r="M312" s="103">
        <v>300000</v>
      </c>
      <c r="N312" s="49"/>
    </row>
    <row r="313" spans="1:18" ht="25.5" hidden="1" customHeight="1" x14ac:dyDescent="0.3">
      <c r="A313" s="59">
        <v>6</v>
      </c>
      <c r="B313" s="540" t="s">
        <v>308</v>
      </c>
      <c r="C313" s="538" t="s">
        <v>1373</v>
      </c>
      <c r="D313" s="137" t="s">
        <v>307</v>
      </c>
      <c r="E313" s="137" t="s">
        <v>323</v>
      </c>
      <c r="F313" s="137" t="s">
        <v>308</v>
      </c>
      <c r="G313" s="137">
        <v>3306</v>
      </c>
      <c r="H313" s="137" t="s">
        <v>1156</v>
      </c>
      <c r="I313" s="138" t="s">
        <v>1157</v>
      </c>
      <c r="J313" s="137" t="s">
        <v>1113</v>
      </c>
      <c r="K313" s="191" t="s">
        <v>1291</v>
      </c>
      <c r="L313" s="137" t="s">
        <v>325</v>
      </c>
      <c r="M313" s="137" t="s">
        <v>1114</v>
      </c>
      <c r="N313" s="137" t="s">
        <v>667</v>
      </c>
    </row>
    <row r="314" spans="1:18" ht="25.5" hidden="1" x14ac:dyDescent="0.3">
      <c r="A314" s="59">
        <v>6</v>
      </c>
      <c r="B314" s="542"/>
      <c r="C314" s="539"/>
      <c r="D314" s="137" t="s">
        <v>307</v>
      </c>
      <c r="E314" s="137" t="s">
        <v>323</v>
      </c>
      <c r="F314" s="137" t="s">
        <v>308</v>
      </c>
      <c r="G314" s="137" t="s">
        <v>1288</v>
      </c>
      <c r="H314" s="137" t="s">
        <v>1049</v>
      </c>
      <c r="I314" s="138" t="s">
        <v>1188</v>
      </c>
      <c r="J314" s="137" t="s">
        <v>351</v>
      </c>
      <c r="K314" s="189" t="s">
        <v>1160</v>
      </c>
      <c r="L314" s="137" t="s">
        <v>325</v>
      </c>
      <c r="M314" s="137" t="s">
        <v>1114</v>
      </c>
      <c r="N314" s="136" t="s">
        <v>427</v>
      </c>
    </row>
    <row r="315" spans="1:18" hidden="1" x14ac:dyDescent="0.3">
      <c r="A315" s="59">
        <v>6</v>
      </c>
      <c r="B315" s="168" t="s">
        <v>312</v>
      </c>
      <c r="C315" s="118" t="s">
        <v>1296</v>
      </c>
      <c r="D315" s="118" t="s">
        <v>312</v>
      </c>
      <c r="E315" s="156" t="s">
        <v>321</v>
      </c>
      <c r="F315" s="118" t="s">
        <v>338</v>
      </c>
      <c r="G315" s="118" t="s">
        <v>355</v>
      </c>
      <c r="H315" s="118" t="s">
        <v>703</v>
      </c>
      <c r="I315" s="157" t="s">
        <v>1290</v>
      </c>
      <c r="J315" s="156"/>
      <c r="K315" s="194" t="s">
        <v>694</v>
      </c>
      <c r="L315" s="156" t="s">
        <v>310</v>
      </c>
      <c r="M315" s="156" t="s">
        <v>460</v>
      </c>
      <c r="N315" s="156" t="s">
        <v>1289</v>
      </c>
    </row>
    <row r="316" spans="1:18" ht="16.5" hidden="1" customHeight="1" x14ac:dyDescent="0.3">
      <c r="A316" s="59">
        <v>7</v>
      </c>
      <c r="B316" s="531" t="s">
        <v>20</v>
      </c>
      <c r="C316" s="547" t="s">
        <v>1293</v>
      </c>
      <c r="D316" s="4" t="s">
        <v>19</v>
      </c>
      <c r="E316" s="4" t="s">
        <v>25</v>
      </c>
      <c r="F316" s="4" t="s">
        <v>20</v>
      </c>
      <c r="G316" s="4">
        <v>3306</v>
      </c>
      <c r="H316" s="4" t="s">
        <v>813</v>
      </c>
      <c r="I316" s="9" t="s">
        <v>1124</v>
      </c>
      <c r="J316" s="14" t="s">
        <v>127</v>
      </c>
      <c r="K316" s="192" t="s">
        <v>1137</v>
      </c>
      <c r="L316" s="61" t="s">
        <v>210</v>
      </c>
      <c r="M316" s="103">
        <f>250000*4</f>
        <v>1000000</v>
      </c>
      <c r="N316" s="49" t="s">
        <v>1110</v>
      </c>
    </row>
    <row r="317" spans="1:18" hidden="1" x14ac:dyDescent="0.3">
      <c r="A317" s="59">
        <v>7</v>
      </c>
      <c r="B317" s="532"/>
      <c r="C317" s="548"/>
      <c r="D317" s="4" t="s">
        <v>19</v>
      </c>
      <c r="E317" s="4" t="s">
        <v>25</v>
      </c>
      <c r="F317" s="4" t="s">
        <v>20</v>
      </c>
      <c r="G317" s="14" t="s">
        <v>1294</v>
      </c>
      <c r="H317" s="4" t="s">
        <v>23</v>
      </c>
      <c r="I317" s="9" t="s">
        <v>131</v>
      </c>
      <c r="J317" s="14" t="s">
        <v>399</v>
      </c>
      <c r="K317" s="190" t="s">
        <v>134</v>
      </c>
      <c r="L317" s="61" t="s">
        <v>210</v>
      </c>
      <c r="M317" s="103">
        <f>250000*2</f>
        <v>500000</v>
      </c>
      <c r="N317" s="84" t="s">
        <v>248</v>
      </c>
    </row>
    <row r="318" spans="1:18" hidden="1" x14ac:dyDescent="0.3">
      <c r="A318" s="59">
        <v>7</v>
      </c>
      <c r="B318" s="533"/>
      <c r="C318" s="549"/>
      <c r="D318" s="4" t="s">
        <v>19</v>
      </c>
      <c r="E318" s="4" t="s">
        <v>25</v>
      </c>
      <c r="F318" s="4" t="s">
        <v>20</v>
      </c>
      <c r="G318" s="14" t="s">
        <v>1249</v>
      </c>
      <c r="H318" s="4" t="s">
        <v>265</v>
      </c>
      <c r="I318" s="9" t="s">
        <v>131</v>
      </c>
      <c r="J318" s="14" t="s">
        <v>95</v>
      </c>
      <c r="K318" s="190" t="s">
        <v>134</v>
      </c>
      <c r="L318" s="61" t="s">
        <v>210</v>
      </c>
      <c r="M318" s="103">
        <f>250000*2</f>
        <v>500000</v>
      </c>
      <c r="N318" s="84" t="s">
        <v>248</v>
      </c>
    </row>
    <row r="319" spans="1:18" hidden="1" x14ac:dyDescent="0.3">
      <c r="A319" s="59">
        <v>7</v>
      </c>
      <c r="B319" s="531" t="s">
        <v>21</v>
      </c>
      <c r="C319" s="16">
        <v>45335</v>
      </c>
      <c r="D319" s="3" t="s">
        <v>21</v>
      </c>
      <c r="E319" s="4" t="s">
        <v>14</v>
      </c>
      <c r="F319" s="3" t="s">
        <v>625</v>
      </c>
      <c r="G319" s="3" t="s">
        <v>1125</v>
      </c>
      <c r="H319" s="3" t="s">
        <v>103</v>
      </c>
      <c r="I319" s="9" t="s">
        <v>1295</v>
      </c>
      <c r="J319" s="14"/>
      <c r="K319" s="192" t="s">
        <v>1256</v>
      </c>
      <c r="L319" s="6" t="s">
        <v>66</v>
      </c>
      <c r="M319" s="103">
        <v>300000</v>
      </c>
      <c r="N319" s="49" t="s">
        <v>980</v>
      </c>
    </row>
    <row r="320" spans="1:18" hidden="1" x14ac:dyDescent="0.3">
      <c r="A320" s="59">
        <v>7</v>
      </c>
      <c r="B320" s="532"/>
      <c r="C320" s="16">
        <v>45336</v>
      </c>
      <c r="D320" s="3" t="s">
        <v>21</v>
      </c>
      <c r="E320" s="4" t="s">
        <v>14</v>
      </c>
      <c r="F320" s="3" t="s">
        <v>108</v>
      </c>
      <c r="G320" s="3" t="s">
        <v>109</v>
      </c>
      <c r="H320" s="3" t="s">
        <v>144</v>
      </c>
      <c r="I320" s="9" t="s">
        <v>1292</v>
      </c>
      <c r="J320" s="14" t="s">
        <v>90</v>
      </c>
      <c r="K320" s="193" t="s">
        <v>643</v>
      </c>
      <c r="L320" s="6" t="s">
        <v>15</v>
      </c>
      <c r="M320" s="103">
        <v>500000</v>
      </c>
      <c r="N320" s="49" t="s">
        <v>980</v>
      </c>
    </row>
    <row r="321" spans="1:17" hidden="1" x14ac:dyDescent="0.3">
      <c r="A321" s="59">
        <v>7</v>
      </c>
      <c r="B321" s="533"/>
      <c r="C321" s="16">
        <v>45337</v>
      </c>
      <c r="D321" s="3" t="s">
        <v>21</v>
      </c>
      <c r="E321" s="4" t="s">
        <v>14</v>
      </c>
      <c r="F321" s="3" t="s">
        <v>108</v>
      </c>
      <c r="G321" s="193" t="s">
        <v>109</v>
      </c>
      <c r="H321" s="193" t="s">
        <v>144</v>
      </c>
      <c r="I321" s="9" t="s">
        <v>304</v>
      </c>
      <c r="J321" s="14" t="s">
        <v>90</v>
      </c>
      <c r="K321" s="193" t="s">
        <v>688</v>
      </c>
      <c r="L321" s="6" t="s">
        <v>15</v>
      </c>
      <c r="M321" s="103">
        <v>250000</v>
      </c>
      <c r="N321" s="49" t="s">
        <v>980</v>
      </c>
    </row>
    <row r="322" spans="1:17" ht="16.5" hidden="1" customHeight="1" x14ac:dyDescent="0.3">
      <c r="A322" s="59">
        <v>8</v>
      </c>
      <c r="B322" s="531" t="s">
        <v>20</v>
      </c>
      <c r="C322" s="547" t="s">
        <v>1376</v>
      </c>
      <c r="D322" s="4" t="s">
        <v>19</v>
      </c>
      <c r="E322" s="4" t="s">
        <v>25</v>
      </c>
      <c r="F322" s="4" t="s">
        <v>20</v>
      </c>
      <c r="G322" s="4">
        <v>3306</v>
      </c>
      <c r="H322" s="4" t="s">
        <v>813</v>
      </c>
      <c r="I322" s="9" t="s">
        <v>1124</v>
      </c>
      <c r="J322" s="14" t="s">
        <v>127</v>
      </c>
      <c r="K322" s="192" t="s">
        <v>815</v>
      </c>
      <c r="L322" s="61" t="s">
        <v>210</v>
      </c>
      <c r="M322" s="103">
        <f>250000*5</f>
        <v>1250000</v>
      </c>
      <c r="N322" s="49" t="s">
        <v>1110</v>
      </c>
    </row>
    <row r="323" spans="1:17" hidden="1" x14ac:dyDescent="0.3">
      <c r="A323" s="59">
        <v>8</v>
      </c>
      <c r="B323" s="533"/>
      <c r="C323" s="549"/>
      <c r="D323" s="4" t="s">
        <v>19</v>
      </c>
      <c r="E323" s="4" t="s">
        <v>25</v>
      </c>
      <c r="F323" s="4" t="s">
        <v>20</v>
      </c>
      <c r="G323" s="14" t="s">
        <v>1294</v>
      </c>
      <c r="H323" s="4" t="s">
        <v>23</v>
      </c>
      <c r="I323" s="9" t="s">
        <v>131</v>
      </c>
      <c r="J323" s="14" t="s">
        <v>399</v>
      </c>
      <c r="K323" s="190" t="s">
        <v>1316</v>
      </c>
      <c r="L323" s="61" t="s">
        <v>210</v>
      </c>
      <c r="M323" s="103">
        <f>250000*4</f>
        <v>1000000</v>
      </c>
      <c r="N323" s="49" t="s">
        <v>248</v>
      </c>
    </row>
    <row r="324" spans="1:17" hidden="1" x14ac:dyDescent="0.3">
      <c r="A324" s="59">
        <v>8</v>
      </c>
      <c r="B324" s="531" t="s">
        <v>21</v>
      </c>
      <c r="C324" s="16">
        <v>45341</v>
      </c>
      <c r="D324" s="3" t="s">
        <v>21</v>
      </c>
      <c r="E324" s="4" t="s">
        <v>14</v>
      </c>
      <c r="F324" s="3" t="s">
        <v>108</v>
      </c>
      <c r="G324" s="3" t="s">
        <v>271</v>
      </c>
      <c r="H324" s="3" t="s">
        <v>67</v>
      </c>
      <c r="I324" s="9" t="s">
        <v>1315</v>
      </c>
      <c r="J324" s="14" t="s">
        <v>1297</v>
      </c>
      <c r="K324" s="193" t="s">
        <v>1304</v>
      </c>
      <c r="L324" s="6" t="s">
        <v>66</v>
      </c>
      <c r="M324" s="103">
        <v>250000</v>
      </c>
      <c r="N324" s="49" t="s">
        <v>980</v>
      </c>
    </row>
    <row r="325" spans="1:17" hidden="1" x14ac:dyDescent="0.3">
      <c r="A325" s="59">
        <v>8</v>
      </c>
      <c r="B325" s="532"/>
      <c r="C325" s="16">
        <v>45342</v>
      </c>
      <c r="D325" s="3" t="s">
        <v>21</v>
      </c>
      <c r="E325" s="4" t="s">
        <v>14</v>
      </c>
      <c r="F325" s="3" t="s">
        <v>108</v>
      </c>
      <c r="G325" s="3" t="s">
        <v>271</v>
      </c>
      <c r="H325" s="3" t="s">
        <v>67</v>
      </c>
      <c r="I325" s="9" t="s">
        <v>986</v>
      </c>
      <c r="J325" s="14" t="s">
        <v>1297</v>
      </c>
      <c r="K325" s="193" t="s">
        <v>1304</v>
      </c>
      <c r="L325" s="6" t="s">
        <v>15</v>
      </c>
      <c r="M325" s="103">
        <v>250000</v>
      </c>
      <c r="N325" s="49" t="s">
        <v>980</v>
      </c>
    </row>
    <row r="326" spans="1:17" hidden="1" x14ac:dyDescent="0.3">
      <c r="A326" s="59">
        <v>8</v>
      </c>
      <c r="B326" s="532"/>
      <c r="C326" s="16">
        <v>45343</v>
      </c>
      <c r="D326" s="3" t="s">
        <v>21</v>
      </c>
      <c r="E326" s="4" t="s">
        <v>1298</v>
      </c>
      <c r="F326" s="3" t="s">
        <v>1308</v>
      </c>
      <c r="G326" s="3" t="s">
        <v>1309</v>
      </c>
      <c r="H326" s="3" t="s">
        <v>1310</v>
      </c>
      <c r="I326" s="9" t="s">
        <v>1311</v>
      </c>
      <c r="J326" s="14" t="s">
        <v>1312</v>
      </c>
      <c r="K326" s="193" t="s">
        <v>1313</v>
      </c>
      <c r="L326" s="6" t="s">
        <v>1302</v>
      </c>
      <c r="M326" s="103">
        <v>250000</v>
      </c>
      <c r="N326" s="49" t="s">
        <v>980</v>
      </c>
      <c r="Q326" t="s">
        <v>1364</v>
      </c>
    </row>
    <row r="327" spans="1:17" hidden="1" x14ac:dyDescent="0.3">
      <c r="A327" s="59">
        <v>8</v>
      </c>
      <c r="B327" s="532"/>
      <c r="C327" s="16">
        <v>45344</v>
      </c>
      <c r="D327" s="3" t="s">
        <v>21</v>
      </c>
      <c r="E327" s="4" t="s">
        <v>1298</v>
      </c>
      <c r="F327" s="3" t="s">
        <v>1308</v>
      </c>
      <c r="G327" s="193" t="s">
        <v>1309</v>
      </c>
      <c r="H327" s="3" t="s">
        <v>1310</v>
      </c>
      <c r="I327" s="9" t="s">
        <v>1314</v>
      </c>
      <c r="J327" s="14" t="s">
        <v>1297</v>
      </c>
      <c r="K327" s="4" t="s">
        <v>1304</v>
      </c>
      <c r="L327" s="6" t="s">
        <v>1300</v>
      </c>
      <c r="M327" s="103">
        <v>250000</v>
      </c>
      <c r="N327" s="49" t="s">
        <v>980</v>
      </c>
    </row>
    <row r="328" spans="1:17" hidden="1" x14ac:dyDescent="0.3">
      <c r="A328" s="59">
        <v>8</v>
      </c>
      <c r="B328" s="533"/>
      <c r="C328" s="16">
        <v>45345</v>
      </c>
      <c r="D328" s="3" t="s">
        <v>1305</v>
      </c>
      <c r="E328" s="4" t="s">
        <v>1298</v>
      </c>
      <c r="F328" s="3" t="s">
        <v>278</v>
      </c>
      <c r="G328" s="3">
        <v>8384</v>
      </c>
      <c r="H328" s="3" t="s">
        <v>1306</v>
      </c>
      <c r="I328" s="9" t="s">
        <v>1307</v>
      </c>
      <c r="J328" s="14" t="s">
        <v>1303</v>
      </c>
      <c r="K328" s="4" t="s">
        <v>1304</v>
      </c>
      <c r="L328" s="6" t="s">
        <v>1302</v>
      </c>
      <c r="M328" s="103">
        <v>250000</v>
      </c>
      <c r="N328" s="49" t="s">
        <v>1317</v>
      </c>
    </row>
    <row r="329" spans="1:17" ht="16.5" hidden="1" customHeight="1" x14ac:dyDescent="0.3">
      <c r="A329" s="59">
        <v>9</v>
      </c>
      <c r="B329" s="531" t="s">
        <v>20</v>
      </c>
      <c r="C329" s="547" t="s">
        <v>1327</v>
      </c>
      <c r="D329" s="4" t="s">
        <v>19</v>
      </c>
      <c r="E329" s="4" t="s">
        <v>25</v>
      </c>
      <c r="F329" s="4" t="s">
        <v>20</v>
      </c>
      <c r="G329" s="4" t="s">
        <v>1328</v>
      </c>
      <c r="H329" s="4" t="s">
        <v>37</v>
      </c>
      <c r="I329" s="9" t="s">
        <v>1124</v>
      </c>
      <c r="J329" s="14" t="s">
        <v>127</v>
      </c>
      <c r="K329" s="192" t="s">
        <v>1332</v>
      </c>
      <c r="L329" s="61" t="s">
        <v>210</v>
      </c>
      <c r="M329" s="103">
        <f>250000*2</f>
        <v>500000</v>
      </c>
      <c r="N329" s="49" t="s">
        <v>1110</v>
      </c>
    </row>
    <row r="330" spans="1:17" hidden="1" x14ac:dyDescent="0.3">
      <c r="A330" s="59">
        <v>9</v>
      </c>
      <c r="B330" s="532"/>
      <c r="C330" s="548"/>
      <c r="D330" s="4" t="s">
        <v>19</v>
      </c>
      <c r="E330" s="4" t="s">
        <v>25</v>
      </c>
      <c r="F330" s="4" t="s">
        <v>20</v>
      </c>
      <c r="G330" s="14" t="s">
        <v>1329</v>
      </c>
      <c r="H330" s="4" t="s">
        <v>1330</v>
      </c>
      <c r="I330" s="9" t="s">
        <v>1124</v>
      </c>
      <c r="J330" s="14" t="s">
        <v>127</v>
      </c>
      <c r="K330" s="192" t="s">
        <v>1332</v>
      </c>
      <c r="L330" s="61" t="s">
        <v>210</v>
      </c>
      <c r="M330" s="103">
        <f>250000*2</f>
        <v>500000</v>
      </c>
      <c r="N330" s="49" t="s">
        <v>1110</v>
      </c>
    </row>
    <row r="331" spans="1:17" hidden="1" x14ac:dyDescent="0.3">
      <c r="A331" s="59">
        <v>9</v>
      </c>
      <c r="B331" s="533"/>
      <c r="C331" s="549"/>
      <c r="D331" s="4" t="s">
        <v>19</v>
      </c>
      <c r="E331" s="4" t="s">
        <v>25</v>
      </c>
      <c r="F331" s="4" t="s">
        <v>20</v>
      </c>
      <c r="G331" s="14">
        <v>3306</v>
      </c>
      <c r="H331" s="4" t="s">
        <v>1333</v>
      </c>
      <c r="I331" s="9" t="s">
        <v>1334</v>
      </c>
      <c r="J331" s="14" t="s">
        <v>399</v>
      </c>
      <c r="K331" s="190" t="s">
        <v>1331</v>
      </c>
      <c r="L331" s="61" t="s">
        <v>210</v>
      </c>
      <c r="M331" s="103">
        <f>250000*6</f>
        <v>1500000</v>
      </c>
      <c r="N331" s="49" t="s">
        <v>248</v>
      </c>
    </row>
    <row r="332" spans="1:17" hidden="1" x14ac:dyDescent="0.3">
      <c r="A332" s="59">
        <v>9</v>
      </c>
      <c r="B332" s="531" t="s">
        <v>21</v>
      </c>
      <c r="C332" s="16">
        <v>45348</v>
      </c>
      <c r="D332" s="4" t="s">
        <v>1335</v>
      </c>
      <c r="E332" s="4" t="s">
        <v>1298</v>
      </c>
      <c r="F332" s="3" t="s">
        <v>1308</v>
      </c>
      <c r="G332" s="193" t="s">
        <v>1309</v>
      </c>
      <c r="H332" s="3" t="s">
        <v>1310</v>
      </c>
      <c r="I332" s="9" t="s">
        <v>1323</v>
      </c>
      <c r="J332" s="14" t="s">
        <v>1297</v>
      </c>
      <c r="K332" s="4" t="s">
        <v>1321</v>
      </c>
      <c r="L332" s="6" t="s">
        <v>1336</v>
      </c>
      <c r="M332" s="103">
        <v>500000</v>
      </c>
      <c r="N332" s="49" t="s">
        <v>1337</v>
      </c>
      <c r="P332" t="s">
        <v>1437</v>
      </c>
    </row>
    <row r="333" spans="1:17" hidden="1" x14ac:dyDescent="0.3">
      <c r="A333" s="59">
        <v>9</v>
      </c>
      <c r="B333" s="533"/>
      <c r="C333" s="16">
        <v>45349</v>
      </c>
      <c r="D333" s="3" t="s">
        <v>139</v>
      </c>
      <c r="E333" s="4" t="s">
        <v>1298</v>
      </c>
      <c r="F333" s="3" t="s">
        <v>1324</v>
      </c>
      <c r="G333" s="3">
        <v>2579</v>
      </c>
      <c r="H333" s="3" t="s">
        <v>1306</v>
      </c>
      <c r="I333" s="9" t="s">
        <v>1326</v>
      </c>
      <c r="J333" s="4"/>
      <c r="K333" s="4" t="s">
        <v>1325</v>
      </c>
      <c r="L333" s="6" t="s">
        <v>1302</v>
      </c>
      <c r="M333" s="103">
        <v>500000</v>
      </c>
      <c r="N333" s="49" t="s">
        <v>1338</v>
      </c>
    </row>
    <row r="334" spans="1:17" ht="16.5" hidden="1" customHeight="1" x14ac:dyDescent="0.3">
      <c r="A334" s="59">
        <v>10</v>
      </c>
      <c r="B334" s="531" t="s">
        <v>20</v>
      </c>
      <c r="C334" s="547" t="s">
        <v>1371</v>
      </c>
      <c r="D334" s="4" t="s">
        <v>19</v>
      </c>
      <c r="E334" s="4" t="s">
        <v>25</v>
      </c>
      <c r="F334" s="4" t="s">
        <v>20</v>
      </c>
      <c r="G334" s="4">
        <v>4266</v>
      </c>
      <c r="H334" s="4" t="s">
        <v>18</v>
      </c>
      <c r="I334" s="9" t="s">
        <v>1124</v>
      </c>
      <c r="J334" s="14" t="s">
        <v>127</v>
      </c>
      <c r="K334" s="4" t="s">
        <v>1368</v>
      </c>
      <c r="L334" s="61" t="s">
        <v>210</v>
      </c>
      <c r="M334" s="103">
        <f>250000*2</f>
        <v>500000</v>
      </c>
      <c r="N334" s="49" t="s">
        <v>122</v>
      </c>
    </row>
    <row r="335" spans="1:17" ht="16.5" hidden="1" customHeight="1" x14ac:dyDescent="0.3">
      <c r="A335" s="59">
        <v>10</v>
      </c>
      <c r="B335" s="532"/>
      <c r="C335" s="548"/>
      <c r="D335" s="4" t="s">
        <v>19</v>
      </c>
      <c r="E335" s="4" t="s">
        <v>25</v>
      </c>
      <c r="F335" s="4" t="s">
        <v>20</v>
      </c>
      <c r="G335" s="4" t="s">
        <v>1328</v>
      </c>
      <c r="H335" s="4" t="s">
        <v>1369</v>
      </c>
      <c r="I335" s="9" t="s">
        <v>1370</v>
      </c>
      <c r="J335" s="14" t="s">
        <v>127</v>
      </c>
      <c r="K335" s="4" t="s">
        <v>1368</v>
      </c>
      <c r="L335" s="61" t="s">
        <v>210</v>
      </c>
      <c r="M335" s="103">
        <f>250000*2</f>
        <v>500000</v>
      </c>
      <c r="N335" s="49" t="s">
        <v>122</v>
      </c>
    </row>
    <row r="336" spans="1:17" hidden="1" x14ac:dyDescent="0.3">
      <c r="A336" s="59">
        <v>10</v>
      </c>
      <c r="B336" s="532"/>
      <c r="C336" s="548"/>
      <c r="D336" s="4" t="s">
        <v>19</v>
      </c>
      <c r="E336" s="4" t="s">
        <v>25</v>
      </c>
      <c r="F336" s="4" t="s">
        <v>20</v>
      </c>
      <c r="G336" s="14" t="s">
        <v>1329</v>
      </c>
      <c r="H336" s="4" t="s">
        <v>1330</v>
      </c>
      <c r="I336" s="9" t="s">
        <v>1367</v>
      </c>
      <c r="J336" s="14" t="s">
        <v>127</v>
      </c>
      <c r="K336" s="4" t="s">
        <v>1368</v>
      </c>
      <c r="L336" s="61" t="s">
        <v>210</v>
      </c>
      <c r="M336" s="103">
        <f>250000*1</f>
        <v>250000</v>
      </c>
      <c r="N336" s="49" t="s">
        <v>122</v>
      </c>
    </row>
    <row r="337" spans="1:15" hidden="1" x14ac:dyDescent="0.3">
      <c r="A337" s="59">
        <v>10</v>
      </c>
      <c r="B337" s="533"/>
      <c r="C337" s="549"/>
      <c r="D337" s="4" t="s">
        <v>19</v>
      </c>
      <c r="E337" s="4" t="s">
        <v>25</v>
      </c>
      <c r="F337" s="4" t="s">
        <v>20</v>
      </c>
      <c r="G337" s="14">
        <v>3306</v>
      </c>
      <c r="H337" s="4" t="s">
        <v>1333</v>
      </c>
      <c r="I337" s="9" t="s">
        <v>1334</v>
      </c>
      <c r="J337" s="14" t="s">
        <v>399</v>
      </c>
      <c r="K337" s="4" t="s">
        <v>136</v>
      </c>
      <c r="L337" s="61" t="s">
        <v>210</v>
      </c>
      <c r="M337" s="103">
        <f>250000*4</f>
        <v>1000000</v>
      </c>
      <c r="N337" s="84" t="s">
        <v>248</v>
      </c>
    </row>
    <row r="338" spans="1:15" hidden="1" x14ac:dyDescent="0.3">
      <c r="A338" s="59">
        <v>10</v>
      </c>
      <c r="B338" s="531" t="s">
        <v>1258</v>
      </c>
      <c r="C338" s="16">
        <v>45355</v>
      </c>
      <c r="D338" s="36" t="s">
        <v>21</v>
      </c>
      <c r="E338" s="4" t="s">
        <v>1301</v>
      </c>
      <c r="F338" s="3" t="s">
        <v>955</v>
      </c>
      <c r="G338" s="3">
        <v>7059</v>
      </c>
      <c r="H338" s="3" t="s">
        <v>1343</v>
      </c>
      <c r="I338" s="5" t="s">
        <v>1344</v>
      </c>
      <c r="J338" s="14" t="s">
        <v>121</v>
      </c>
      <c r="K338" s="4" t="s">
        <v>947</v>
      </c>
      <c r="L338" s="6" t="s">
        <v>1345</v>
      </c>
      <c r="M338" s="103">
        <v>250000</v>
      </c>
      <c r="N338" s="84" t="s">
        <v>128</v>
      </c>
    </row>
    <row r="339" spans="1:15" hidden="1" x14ac:dyDescent="0.3">
      <c r="A339" s="59">
        <v>10</v>
      </c>
      <c r="B339" s="532"/>
      <c r="C339" s="16">
        <v>45356</v>
      </c>
      <c r="D339" s="3" t="s">
        <v>21</v>
      </c>
      <c r="E339" s="4" t="s">
        <v>1341</v>
      </c>
      <c r="F339" s="3" t="s">
        <v>1342</v>
      </c>
      <c r="G339" s="15" t="s">
        <v>1339</v>
      </c>
      <c r="H339" s="3" t="s">
        <v>1340</v>
      </c>
      <c r="I339" s="9" t="s">
        <v>1247</v>
      </c>
      <c r="J339" s="14" t="s">
        <v>121</v>
      </c>
      <c r="K339" s="4" t="s">
        <v>68</v>
      </c>
      <c r="L339" s="6" t="s">
        <v>1358</v>
      </c>
      <c r="M339" s="103">
        <v>250000</v>
      </c>
      <c r="N339" s="84" t="s">
        <v>1366</v>
      </c>
    </row>
    <row r="340" spans="1:15" hidden="1" x14ac:dyDescent="0.3">
      <c r="A340" s="59">
        <v>10</v>
      </c>
      <c r="B340" s="532"/>
      <c r="C340" s="16">
        <v>45357</v>
      </c>
      <c r="D340" s="3" t="s">
        <v>1305</v>
      </c>
      <c r="E340" s="4" t="s">
        <v>410</v>
      </c>
      <c r="F340" s="3" t="s">
        <v>429</v>
      </c>
      <c r="G340" s="3" t="s">
        <v>1320</v>
      </c>
      <c r="H340" s="3" t="s">
        <v>1362</v>
      </c>
      <c r="I340" s="5" t="s">
        <v>1363</v>
      </c>
      <c r="J340" s="14"/>
      <c r="K340" s="10" t="s">
        <v>119</v>
      </c>
      <c r="L340" s="6" t="s">
        <v>1361</v>
      </c>
      <c r="M340" s="103">
        <v>500000</v>
      </c>
      <c r="N340" s="84" t="s">
        <v>1365</v>
      </c>
    </row>
    <row r="341" spans="1:15" hidden="1" x14ac:dyDescent="0.3">
      <c r="A341" s="59">
        <v>10</v>
      </c>
      <c r="B341" s="533"/>
      <c r="C341" s="16">
        <v>45358</v>
      </c>
      <c r="D341" s="3" t="s">
        <v>1305</v>
      </c>
      <c r="E341" s="4" t="s">
        <v>410</v>
      </c>
      <c r="F341" s="3" t="s">
        <v>429</v>
      </c>
      <c r="G341" s="3" t="s">
        <v>1320</v>
      </c>
      <c r="H341" s="3" t="s">
        <v>1362</v>
      </c>
      <c r="I341" s="5" t="s">
        <v>304</v>
      </c>
      <c r="J341" s="14"/>
      <c r="K341" s="10" t="s">
        <v>119</v>
      </c>
      <c r="L341" s="6" t="s">
        <v>1361</v>
      </c>
      <c r="M341" s="103">
        <v>500000</v>
      </c>
      <c r="N341" s="84" t="s">
        <v>1365</v>
      </c>
    </row>
    <row r="342" spans="1:15" ht="16.5" hidden="1" customHeight="1" x14ac:dyDescent="0.3">
      <c r="A342" s="59">
        <v>11</v>
      </c>
      <c r="B342" s="531" t="s">
        <v>20</v>
      </c>
      <c r="C342" s="547" t="s">
        <v>1383</v>
      </c>
      <c r="D342" s="4" t="s">
        <v>19</v>
      </c>
      <c r="E342" s="4" t="s">
        <v>25</v>
      </c>
      <c r="F342" s="4" t="s">
        <v>20</v>
      </c>
      <c r="G342" s="4">
        <v>4266</v>
      </c>
      <c r="H342" s="4" t="s">
        <v>18</v>
      </c>
      <c r="I342" s="9" t="s">
        <v>1124</v>
      </c>
      <c r="J342" s="14" t="s">
        <v>127</v>
      </c>
      <c r="K342" s="4" t="s">
        <v>1368</v>
      </c>
      <c r="L342" s="61" t="s">
        <v>210</v>
      </c>
      <c r="M342" s="103">
        <f>250000*2</f>
        <v>500000</v>
      </c>
      <c r="N342" s="49" t="s">
        <v>122</v>
      </c>
    </row>
    <row r="343" spans="1:15" hidden="1" x14ac:dyDescent="0.3">
      <c r="A343" s="59">
        <v>11</v>
      </c>
      <c r="B343" s="532"/>
      <c r="C343" s="549"/>
      <c r="D343" s="4" t="s">
        <v>19</v>
      </c>
      <c r="E343" s="4" t="s">
        <v>25</v>
      </c>
      <c r="F343" s="4" t="s">
        <v>20</v>
      </c>
      <c r="G343" s="155" t="s">
        <v>1384</v>
      </c>
      <c r="H343" s="4" t="s">
        <v>103</v>
      </c>
      <c r="I343" s="9" t="s">
        <v>1124</v>
      </c>
      <c r="J343" s="14" t="s">
        <v>127</v>
      </c>
      <c r="K343" s="4" t="s">
        <v>1368</v>
      </c>
      <c r="L343" s="61" t="s">
        <v>210</v>
      </c>
      <c r="M343" s="103">
        <f>250000*3</f>
        <v>750000</v>
      </c>
      <c r="N343" s="49" t="s">
        <v>122</v>
      </c>
    </row>
    <row r="344" spans="1:15" hidden="1" x14ac:dyDescent="0.3">
      <c r="A344" s="59">
        <v>11</v>
      </c>
      <c r="B344" s="533"/>
      <c r="C344" s="16">
        <v>45363</v>
      </c>
      <c r="D344" s="4" t="s">
        <v>19</v>
      </c>
      <c r="E344" s="4" t="s">
        <v>25</v>
      </c>
      <c r="F344" s="4" t="s">
        <v>20</v>
      </c>
      <c r="G344" s="4" t="s">
        <v>1385</v>
      </c>
      <c r="H344" s="4" t="s">
        <v>18</v>
      </c>
      <c r="I344" s="9" t="s">
        <v>1386</v>
      </c>
      <c r="J344" s="14" t="s">
        <v>95</v>
      </c>
      <c r="K344" s="4" t="s">
        <v>134</v>
      </c>
      <c r="L344" s="61" t="s">
        <v>210</v>
      </c>
      <c r="M344" s="103">
        <f>250000*2</f>
        <v>500000</v>
      </c>
      <c r="N344" s="49" t="s">
        <v>248</v>
      </c>
    </row>
    <row r="345" spans="1:15" hidden="1" x14ac:dyDescent="0.3">
      <c r="A345" s="59">
        <v>11</v>
      </c>
      <c r="B345" s="531" t="s">
        <v>21</v>
      </c>
      <c r="C345" s="16">
        <v>45362</v>
      </c>
      <c r="D345" s="3" t="s">
        <v>21</v>
      </c>
      <c r="E345" s="4" t="s">
        <v>14</v>
      </c>
      <c r="F345" s="3" t="s">
        <v>108</v>
      </c>
      <c r="G345" s="3" t="s">
        <v>109</v>
      </c>
      <c r="H345" s="3" t="s">
        <v>378</v>
      </c>
      <c r="I345" s="5" t="s">
        <v>1282</v>
      </c>
      <c r="J345" s="14" t="s">
        <v>90</v>
      </c>
      <c r="K345" s="4" t="s">
        <v>119</v>
      </c>
      <c r="L345" s="6" t="s">
        <v>15</v>
      </c>
      <c r="M345" s="103">
        <v>500000</v>
      </c>
      <c r="N345" s="84" t="s">
        <v>613</v>
      </c>
    </row>
    <row r="346" spans="1:15" hidden="1" x14ac:dyDescent="0.3">
      <c r="A346" s="59">
        <v>11</v>
      </c>
      <c r="B346" s="532"/>
      <c r="C346" s="16">
        <v>45363</v>
      </c>
      <c r="D346" s="3" t="s">
        <v>21</v>
      </c>
      <c r="E346" s="4" t="s">
        <v>14</v>
      </c>
      <c r="F346" s="3" t="s">
        <v>625</v>
      </c>
      <c r="G346" s="15" t="s">
        <v>480</v>
      </c>
      <c r="H346" s="3" t="s">
        <v>103</v>
      </c>
      <c r="I346" s="5" t="s">
        <v>231</v>
      </c>
      <c r="J346" s="14"/>
      <c r="K346" s="4" t="s">
        <v>1001</v>
      </c>
      <c r="L346" s="6" t="s">
        <v>15</v>
      </c>
      <c r="M346" s="103">
        <v>300000</v>
      </c>
      <c r="N346" s="84" t="s">
        <v>129</v>
      </c>
    </row>
    <row r="347" spans="1:15" hidden="1" x14ac:dyDescent="0.3">
      <c r="A347" s="59">
        <v>11</v>
      </c>
      <c r="B347" s="532"/>
      <c r="C347" s="16">
        <v>45364</v>
      </c>
      <c r="D347" s="3" t="s">
        <v>21</v>
      </c>
      <c r="E347" s="4" t="s">
        <v>14</v>
      </c>
      <c r="F347" s="3" t="s">
        <v>625</v>
      </c>
      <c r="G347" s="15" t="s">
        <v>480</v>
      </c>
      <c r="H347" s="3" t="s">
        <v>103</v>
      </c>
      <c r="I347" s="9" t="s">
        <v>1360</v>
      </c>
      <c r="J347" s="14"/>
      <c r="K347" s="4" t="s">
        <v>1001</v>
      </c>
      <c r="L347" s="6" t="s">
        <v>15</v>
      </c>
      <c r="M347" s="103">
        <v>300000</v>
      </c>
      <c r="N347" s="49" t="s">
        <v>129</v>
      </c>
    </row>
    <row r="348" spans="1:15" hidden="1" x14ac:dyDescent="0.3">
      <c r="A348" s="59">
        <v>11</v>
      </c>
      <c r="B348" s="532"/>
      <c r="C348" s="16">
        <v>45365</v>
      </c>
      <c r="D348" s="3" t="s">
        <v>21</v>
      </c>
      <c r="E348" s="4" t="s">
        <v>14</v>
      </c>
      <c r="F348" s="3" t="s">
        <v>108</v>
      </c>
      <c r="G348" s="3" t="s">
        <v>109</v>
      </c>
      <c r="H348" s="3" t="s">
        <v>144</v>
      </c>
      <c r="I348" s="9" t="s">
        <v>1282</v>
      </c>
      <c r="J348" s="14" t="s">
        <v>90</v>
      </c>
      <c r="K348" s="4" t="s">
        <v>119</v>
      </c>
      <c r="L348" s="6" t="s">
        <v>15</v>
      </c>
      <c r="M348" s="103">
        <v>500000</v>
      </c>
      <c r="N348" s="49" t="s">
        <v>613</v>
      </c>
    </row>
    <row r="349" spans="1:15" hidden="1" x14ac:dyDescent="0.3">
      <c r="A349" s="59">
        <v>11</v>
      </c>
      <c r="B349" s="532"/>
      <c r="C349" s="550">
        <v>45366</v>
      </c>
      <c r="D349" s="3" t="s">
        <v>21</v>
      </c>
      <c r="E349" s="4" t="s">
        <v>14</v>
      </c>
      <c r="F349" s="3" t="s">
        <v>108</v>
      </c>
      <c r="G349" s="3" t="s">
        <v>109</v>
      </c>
      <c r="H349" s="3" t="s">
        <v>144</v>
      </c>
      <c r="I349" s="9" t="s">
        <v>1282</v>
      </c>
      <c r="J349" s="14" t="s">
        <v>90</v>
      </c>
      <c r="K349" s="4" t="s">
        <v>119</v>
      </c>
      <c r="L349" s="6" t="s">
        <v>15</v>
      </c>
      <c r="M349" s="103">
        <v>500000</v>
      </c>
      <c r="N349" s="49" t="s">
        <v>613</v>
      </c>
    </row>
    <row r="350" spans="1:15" hidden="1" x14ac:dyDescent="0.3">
      <c r="A350" s="59">
        <v>11</v>
      </c>
      <c r="B350" s="533"/>
      <c r="C350" s="551"/>
      <c r="D350" s="3" t="s">
        <v>21</v>
      </c>
      <c r="E350" s="4" t="s">
        <v>14</v>
      </c>
      <c r="F350" s="4" t="s">
        <v>108</v>
      </c>
      <c r="G350" s="3" t="s">
        <v>109</v>
      </c>
      <c r="H350" s="3" t="s">
        <v>1380</v>
      </c>
      <c r="I350" s="9" t="s">
        <v>1379</v>
      </c>
      <c r="J350" s="14" t="s">
        <v>90</v>
      </c>
      <c r="K350" s="4" t="s">
        <v>112</v>
      </c>
      <c r="L350" s="6" t="s">
        <v>15</v>
      </c>
      <c r="M350" s="103">
        <v>250000</v>
      </c>
      <c r="N350" s="49" t="s">
        <v>129</v>
      </c>
    </row>
    <row r="351" spans="1:15" ht="25.5" hidden="1" x14ac:dyDescent="0.3">
      <c r="A351" s="59">
        <v>12</v>
      </c>
      <c r="B351" s="540" t="s">
        <v>308</v>
      </c>
      <c r="C351" s="141" t="s">
        <v>1411</v>
      </c>
      <c r="D351" s="137" t="s">
        <v>307</v>
      </c>
      <c r="E351" s="137" t="s">
        <v>323</v>
      </c>
      <c r="F351" s="137" t="s">
        <v>308</v>
      </c>
      <c r="G351" s="138" t="s">
        <v>1412</v>
      </c>
      <c r="H351" s="137" t="s">
        <v>664</v>
      </c>
      <c r="I351" s="138" t="s">
        <v>1157</v>
      </c>
      <c r="J351" s="137" t="s">
        <v>1113</v>
      </c>
      <c r="K351" s="137" t="s">
        <v>1413</v>
      </c>
      <c r="L351" s="137" t="s">
        <v>325</v>
      </c>
      <c r="M351" s="137" t="s">
        <v>460</v>
      </c>
      <c r="N351" s="137" t="s">
        <v>667</v>
      </c>
      <c r="O351" s="200"/>
    </row>
    <row r="352" spans="1:15" hidden="1" x14ac:dyDescent="0.3">
      <c r="A352" s="59">
        <v>12</v>
      </c>
      <c r="B352" s="541"/>
      <c r="C352" s="199">
        <v>45373</v>
      </c>
      <c r="D352" s="137" t="s">
        <v>307</v>
      </c>
      <c r="E352" s="137" t="s">
        <v>323</v>
      </c>
      <c r="F352" s="137" t="s">
        <v>308</v>
      </c>
      <c r="G352" s="138" t="s">
        <v>1414</v>
      </c>
      <c r="H352" s="137" t="s">
        <v>1415</v>
      </c>
      <c r="I352" s="138" t="s">
        <v>1157</v>
      </c>
      <c r="J352" s="137" t="s">
        <v>1113</v>
      </c>
      <c r="K352" s="137" t="s">
        <v>1413</v>
      </c>
      <c r="L352" s="137" t="s">
        <v>325</v>
      </c>
      <c r="M352" s="137" t="s">
        <v>458</v>
      </c>
      <c r="N352" s="137" t="s">
        <v>667</v>
      </c>
      <c r="O352" s="200"/>
    </row>
    <row r="353" spans="1:15" hidden="1" x14ac:dyDescent="0.3">
      <c r="A353" s="59">
        <v>12</v>
      </c>
      <c r="B353" s="541"/>
      <c r="C353" s="201" t="s">
        <v>1416</v>
      </c>
      <c r="D353" s="137" t="s">
        <v>307</v>
      </c>
      <c r="E353" s="137" t="s">
        <v>323</v>
      </c>
      <c r="F353" s="137" t="s">
        <v>308</v>
      </c>
      <c r="G353" s="137" t="s">
        <v>1417</v>
      </c>
      <c r="H353" s="137" t="s">
        <v>1418</v>
      </c>
      <c r="I353" s="138" t="s">
        <v>706</v>
      </c>
      <c r="J353" s="137" t="s">
        <v>666</v>
      </c>
      <c r="K353" s="137" t="s">
        <v>673</v>
      </c>
      <c r="L353" s="137" t="s">
        <v>325</v>
      </c>
      <c r="M353" s="137" t="s">
        <v>674</v>
      </c>
      <c r="N353" s="137" t="s">
        <v>667</v>
      </c>
      <c r="O353" s="200"/>
    </row>
    <row r="354" spans="1:15" hidden="1" x14ac:dyDescent="0.3">
      <c r="A354" s="59">
        <v>12</v>
      </c>
      <c r="B354" s="541"/>
      <c r="C354" s="68" t="s">
        <v>1419</v>
      </c>
      <c r="D354" s="137" t="s">
        <v>307</v>
      </c>
      <c r="E354" s="137" t="s">
        <v>323</v>
      </c>
      <c r="F354" s="137" t="s">
        <v>308</v>
      </c>
      <c r="G354" s="137" t="s">
        <v>1420</v>
      </c>
      <c r="H354" s="137" t="s">
        <v>1421</v>
      </c>
      <c r="I354" s="138" t="s">
        <v>1422</v>
      </c>
      <c r="J354" s="137" t="s">
        <v>666</v>
      </c>
      <c r="K354" s="137" t="s">
        <v>673</v>
      </c>
      <c r="L354" s="137" t="s">
        <v>325</v>
      </c>
      <c r="M354" s="137" t="s">
        <v>674</v>
      </c>
      <c r="N354" s="137" t="s">
        <v>667</v>
      </c>
      <c r="O354" s="200"/>
    </row>
    <row r="355" spans="1:15" hidden="1" x14ac:dyDescent="0.3">
      <c r="A355" s="59">
        <v>12</v>
      </c>
      <c r="B355" s="542"/>
      <c r="C355" s="68" t="s">
        <v>1416</v>
      </c>
      <c r="D355" s="137" t="s">
        <v>307</v>
      </c>
      <c r="E355" s="137" t="s">
        <v>323</v>
      </c>
      <c r="F355" s="137" t="s">
        <v>308</v>
      </c>
      <c r="G355" s="137" t="s">
        <v>1423</v>
      </c>
      <c r="H355" s="137" t="s">
        <v>642</v>
      </c>
      <c r="I355" s="138" t="s">
        <v>1424</v>
      </c>
      <c r="J355" s="137" t="s">
        <v>351</v>
      </c>
      <c r="K355" s="137" t="s">
        <v>657</v>
      </c>
      <c r="L355" s="137" t="s">
        <v>325</v>
      </c>
      <c r="M355" s="137" t="s">
        <v>460</v>
      </c>
      <c r="N355" s="137" t="s">
        <v>427</v>
      </c>
      <c r="O355" s="200"/>
    </row>
    <row r="356" spans="1:15" ht="25.5" hidden="1" x14ac:dyDescent="0.3">
      <c r="A356" s="59">
        <v>12</v>
      </c>
      <c r="B356" s="540" t="s">
        <v>312</v>
      </c>
      <c r="C356" s="68" t="s">
        <v>1419</v>
      </c>
      <c r="D356" s="68" t="s">
        <v>702</v>
      </c>
      <c r="E356" s="137" t="s">
        <v>321</v>
      </c>
      <c r="F356" s="68" t="s">
        <v>711</v>
      </c>
      <c r="G356" s="68" t="s">
        <v>1425</v>
      </c>
      <c r="H356" s="68" t="s">
        <v>1426</v>
      </c>
      <c r="I356" s="142" t="s">
        <v>1427</v>
      </c>
      <c r="J356" s="137"/>
      <c r="K356" s="137" t="s">
        <v>1428</v>
      </c>
      <c r="L356" s="137"/>
      <c r="M356" s="137" t="s">
        <v>458</v>
      </c>
      <c r="N356" s="164" t="s">
        <v>1429</v>
      </c>
      <c r="O356" s="200"/>
    </row>
    <row r="357" spans="1:15" hidden="1" x14ac:dyDescent="0.3">
      <c r="A357" s="59">
        <v>12</v>
      </c>
      <c r="B357" s="541"/>
      <c r="C357" s="68" t="s">
        <v>1419</v>
      </c>
      <c r="D357" s="68" t="s">
        <v>312</v>
      </c>
      <c r="E357" s="137" t="s">
        <v>321</v>
      </c>
      <c r="F357" s="68" t="s">
        <v>1430</v>
      </c>
      <c r="G357" s="68" t="s">
        <v>663</v>
      </c>
      <c r="H357" s="68" t="s">
        <v>664</v>
      </c>
      <c r="I357" s="165" t="s">
        <v>1431</v>
      </c>
      <c r="J357" s="137"/>
      <c r="K357" s="137" t="s">
        <v>1104</v>
      </c>
      <c r="L357" s="137" t="s">
        <v>310</v>
      </c>
      <c r="M357" s="137" t="s">
        <v>361</v>
      </c>
      <c r="N357" s="164" t="s">
        <v>1209</v>
      </c>
      <c r="O357" s="200"/>
    </row>
    <row r="358" spans="1:15" ht="25.5" hidden="1" x14ac:dyDescent="0.3">
      <c r="A358" s="59">
        <v>12</v>
      </c>
      <c r="B358" s="541"/>
      <c r="C358" s="68" t="s">
        <v>1432</v>
      </c>
      <c r="D358" s="68" t="s">
        <v>312</v>
      </c>
      <c r="E358" s="137" t="s">
        <v>321</v>
      </c>
      <c r="F358" s="68" t="s">
        <v>1430</v>
      </c>
      <c r="G358" s="68" t="s">
        <v>663</v>
      </c>
      <c r="H358" s="68" t="s">
        <v>664</v>
      </c>
      <c r="I358" s="165" t="s">
        <v>1433</v>
      </c>
      <c r="J358" s="137" t="s">
        <v>640</v>
      </c>
      <c r="K358" s="137" t="s">
        <v>1434</v>
      </c>
      <c r="L358" s="137" t="s">
        <v>310</v>
      </c>
      <c r="M358" s="137" t="s">
        <v>1435</v>
      </c>
      <c r="N358" s="164" t="s">
        <v>1209</v>
      </c>
      <c r="O358" s="200"/>
    </row>
    <row r="359" spans="1:15" hidden="1" x14ac:dyDescent="0.3">
      <c r="A359" s="59">
        <v>12</v>
      </c>
      <c r="B359" s="542"/>
      <c r="C359" s="68" t="s">
        <v>1436</v>
      </c>
      <c r="D359" s="68" t="s">
        <v>312</v>
      </c>
      <c r="E359" s="137" t="s">
        <v>321</v>
      </c>
      <c r="F359" s="68" t="s">
        <v>1430</v>
      </c>
      <c r="G359" s="68" t="s">
        <v>663</v>
      </c>
      <c r="H359" s="68" t="s">
        <v>664</v>
      </c>
      <c r="I359" s="165" t="s">
        <v>676</v>
      </c>
      <c r="J359" s="137" t="s">
        <v>640</v>
      </c>
      <c r="K359" s="137" t="s">
        <v>1527</v>
      </c>
      <c r="L359" s="137" t="s">
        <v>310</v>
      </c>
      <c r="M359" s="137" t="s">
        <v>361</v>
      </c>
      <c r="N359" s="164" t="s">
        <v>1209</v>
      </c>
      <c r="O359" s="200"/>
    </row>
    <row r="360" spans="1:15" ht="40.5" hidden="1" x14ac:dyDescent="0.3">
      <c r="A360" s="59">
        <v>13</v>
      </c>
      <c r="B360" s="531" t="s">
        <v>20</v>
      </c>
      <c r="C360" s="130" t="s">
        <v>1398</v>
      </c>
      <c r="D360" s="4" t="s">
        <v>19</v>
      </c>
      <c r="E360" s="4" t="s">
        <v>25</v>
      </c>
      <c r="F360" s="4" t="s">
        <v>20</v>
      </c>
      <c r="G360" s="155" t="s">
        <v>1392</v>
      </c>
      <c r="H360" s="4" t="s">
        <v>1333</v>
      </c>
      <c r="I360" s="9" t="s">
        <v>1124</v>
      </c>
      <c r="J360" s="14" t="s">
        <v>127</v>
      </c>
      <c r="K360" s="4" t="s">
        <v>1409</v>
      </c>
      <c r="L360" s="61" t="s">
        <v>210</v>
      </c>
      <c r="M360" s="103">
        <v>750000</v>
      </c>
      <c r="N360" s="49" t="s">
        <v>122</v>
      </c>
      <c r="O360" s="200"/>
    </row>
    <row r="361" spans="1:15" hidden="1" x14ac:dyDescent="0.3">
      <c r="A361" s="59">
        <v>13</v>
      </c>
      <c r="B361" s="532"/>
      <c r="C361" s="16">
        <v>45380</v>
      </c>
      <c r="D361" s="4" t="s">
        <v>19</v>
      </c>
      <c r="E361" s="4" t="s">
        <v>25</v>
      </c>
      <c r="F361" s="4" t="s">
        <v>20</v>
      </c>
      <c r="G361" s="155" t="s">
        <v>1384</v>
      </c>
      <c r="H361" s="4" t="s">
        <v>103</v>
      </c>
      <c r="I361" s="9" t="s">
        <v>1124</v>
      </c>
      <c r="J361" s="14" t="s">
        <v>127</v>
      </c>
      <c r="K361" s="4" t="s">
        <v>1410</v>
      </c>
      <c r="L361" s="61" t="s">
        <v>210</v>
      </c>
      <c r="M361" s="103">
        <v>250000</v>
      </c>
      <c r="N361" s="49" t="s">
        <v>122</v>
      </c>
      <c r="O361" s="200"/>
    </row>
    <row r="362" spans="1:15" ht="40.5" hidden="1" x14ac:dyDescent="0.3">
      <c r="A362" s="59">
        <v>13</v>
      </c>
      <c r="B362" s="533"/>
      <c r="C362" s="130" t="s">
        <v>1405</v>
      </c>
      <c r="D362" s="4" t="s">
        <v>19</v>
      </c>
      <c r="E362" s="173" t="s">
        <v>25</v>
      </c>
      <c r="F362" s="173" t="s">
        <v>20</v>
      </c>
      <c r="G362" s="224" t="s">
        <v>1404</v>
      </c>
      <c r="H362" s="173" t="s">
        <v>1333</v>
      </c>
      <c r="I362" s="225" t="s">
        <v>1408</v>
      </c>
      <c r="J362" s="226"/>
      <c r="K362" s="173" t="s">
        <v>1406</v>
      </c>
      <c r="L362" s="227" t="s">
        <v>210</v>
      </c>
      <c r="M362" s="209">
        <v>2250000</v>
      </c>
      <c r="N362" s="49" t="s">
        <v>1407</v>
      </c>
      <c r="O362" s="210" t="s">
        <v>1529</v>
      </c>
    </row>
    <row r="363" spans="1:15" hidden="1" x14ac:dyDescent="0.3">
      <c r="A363" s="59">
        <v>13</v>
      </c>
      <c r="B363" s="531" t="s">
        <v>64</v>
      </c>
      <c r="C363" s="16">
        <v>45376</v>
      </c>
      <c r="D363" s="3" t="s">
        <v>21</v>
      </c>
      <c r="E363" s="4" t="s">
        <v>14</v>
      </c>
      <c r="F363" s="3" t="s">
        <v>108</v>
      </c>
      <c r="G363" s="3" t="s">
        <v>109</v>
      </c>
      <c r="H363" s="3" t="s">
        <v>378</v>
      </c>
      <c r="I363" s="9" t="s">
        <v>1282</v>
      </c>
      <c r="J363" s="14" t="s">
        <v>90</v>
      </c>
      <c r="K363" s="236" t="s">
        <v>41</v>
      </c>
      <c r="L363" s="6" t="s">
        <v>15</v>
      </c>
      <c r="M363" s="103">
        <v>250000</v>
      </c>
      <c r="N363" s="49" t="s">
        <v>1399</v>
      </c>
      <c r="O363" s="200"/>
    </row>
    <row r="364" spans="1:15" ht="27" hidden="1" x14ac:dyDescent="0.3">
      <c r="A364" s="59">
        <v>13</v>
      </c>
      <c r="B364" s="532"/>
      <c r="C364" s="16">
        <v>45376</v>
      </c>
      <c r="D364" s="3" t="s">
        <v>139</v>
      </c>
      <c r="E364" s="4" t="s">
        <v>30</v>
      </c>
      <c r="F364" s="3" t="s">
        <v>278</v>
      </c>
      <c r="G364" s="15">
        <v>8384</v>
      </c>
      <c r="H364" s="3" t="s">
        <v>18</v>
      </c>
      <c r="I364" s="9" t="s">
        <v>1393</v>
      </c>
      <c r="J364" s="14" t="s">
        <v>90</v>
      </c>
      <c r="K364" s="65" t="s">
        <v>1001</v>
      </c>
      <c r="L364" s="6" t="s">
        <v>15</v>
      </c>
      <c r="M364" s="103">
        <v>250000</v>
      </c>
      <c r="N364" s="49" t="s">
        <v>1400</v>
      </c>
      <c r="O364" s="200"/>
    </row>
    <row r="365" spans="1:15" hidden="1" x14ac:dyDescent="0.3">
      <c r="A365" s="59">
        <v>13</v>
      </c>
      <c r="B365" s="532"/>
      <c r="C365" s="16">
        <v>45376</v>
      </c>
      <c r="D365" s="3" t="s">
        <v>21</v>
      </c>
      <c r="E365" s="4" t="s">
        <v>14</v>
      </c>
      <c r="F365" s="3" t="s">
        <v>1388</v>
      </c>
      <c r="G365" s="3" t="s">
        <v>621</v>
      </c>
      <c r="H365" s="3" t="s">
        <v>103</v>
      </c>
      <c r="I365" s="9" t="s">
        <v>1397</v>
      </c>
      <c r="J365" s="14"/>
      <c r="K365" s="4" t="s">
        <v>119</v>
      </c>
      <c r="L365" s="6" t="s">
        <v>15</v>
      </c>
      <c r="M365" s="103">
        <v>500000</v>
      </c>
      <c r="N365" s="49" t="s">
        <v>129</v>
      </c>
      <c r="O365" s="200"/>
    </row>
    <row r="366" spans="1:15" ht="27" hidden="1" x14ac:dyDescent="0.3">
      <c r="A366" s="59">
        <v>13</v>
      </c>
      <c r="B366" s="532"/>
      <c r="C366" s="16">
        <v>45377</v>
      </c>
      <c r="D366" s="4" t="s">
        <v>21</v>
      </c>
      <c r="E366" s="4" t="s">
        <v>14</v>
      </c>
      <c r="F366" s="4" t="s">
        <v>108</v>
      </c>
      <c r="G366" s="4" t="s">
        <v>109</v>
      </c>
      <c r="H366" s="3" t="s">
        <v>144</v>
      </c>
      <c r="I366" s="9" t="s">
        <v>1391</v>
      </c>
      <c r="J366" s="14"/>
      <c r="K366" s="222" t="s">
        <v>615</v>
      </c>
      <c r="L366" s="6" t="s">
        <v>15</v>
      </c>
      <c r="M366" s="103">
        <v>750000</v>
      </c>
      <c r="N366" s="49" t="s">
        <v>1399</v>
      </c>
      <c r="O366" s="210" t="s">
        <v>1530</v>
      </c>
    </row>
    <row r="367" spans="1:15" ht="27" hidden="1" x14ac:dyDescent="0.3">
      <c r="A367" s="59">
        <v>13</v>
      </c>
      <c r="B367" s="532"/>
      <c r="C367" s="16">
        <v>45378</v>
      </c>
      <c r="D367" s="4" t="s">
        <v>139</v>
      </c>
      <c r="E367" s="4" t="s">
        <v>14</v>
      </c>
      <c r="F367" s="4" t="s">
        <v>212</v>
      </c>
      <c r="G367" s="4" t="s">
        <v>804</v>
      </c>
      <c r="H367" s="3" t="s">
        <v>1133</v>
      </c>
      <c r="I367" s="9" t="s">
        <v>1402</v>
      </c>
      <c r="J367" s="14"/>
      <c r="K367" s="218" t="s">
        <v>324</v>
      </c>
      <c r="L367" s="6" t="s">
        <v>15</v>
      </c>
      <c r="M367" s="103">
        <v>500000</v>
      </c>
      <c r="N367" s="49" t="s">
        <v>1403</v>
      </c>
    </row>
    <row r="368" spans="1:15" hidden="1" x14ac:dyDescent="0.3">
      <c r="A368" s="59">
        <v>13</v>
      </c>
      <c r="B368" s="533"/>
      <c r="C368" s="16">
        <v>45380</v>
      </c>
      <c r="D368" s="3" t="s">
        <v>139</v>
      </c>
      <c r="E368" s="4" t="s">
        <v>30</v>
      </c>
      <c r="F368" s="3" t="s">
        <v>278</v>
      </c>
      <c r="G368" s="15">
        <v>8384</v>
      </c>
      <c r="H368" s="3" t="s">
        <v>18</v>
      </c>
      <c r="I368" s="9" t="s">
        <v>1394</v>
      </c>
      <c r="J368" s="14" t="s">
        <v>90</v>
      </c>
      <c r="K368" s="4" t="s">
        <v>688</v>
      </c>
      <c r="L368" s="6" t="s">
        <v>15</v>
      </c>
      <c r="M368" s="103">
        <v>250000</v>
      </c>
      <c r="N368" s="49" t="s">
        <v>1401</v>
      </c>
    </row>
    <row r="369" spans="1:19" ht="27" hidden="1" x14ac:dyDescent="0.3">
      <c r="A369" s="59">
        <v>14</v>
      </c>
      <c r="B369" s="531" t="s">
        <v>20</v>
      </c>
      <c r="C369" s="202" t="s">
        <v>1512</v>
      </c>
      <c r="D369" s="197" t="s">
        <v>19</v>
      </c>
      <c r="E369" s="197" t="s">
        <v>25</v>
      </c>
      <c r="F369" s="197" t="s">
        <v>20</v>
      </c>
      <c r="G369" s="219" t="s">
        <v>1328</v>
      </c>
      <c r="H369" s="197" t="s">
        <v>23</v>
      </c>
      <c r="I369" s="203" t="s">
        <v>1507</v>
      </c>
      <c r="J369" s="204" t="s">
        <v>169</v>
      </c>
      <c r="K369" s="197" t="s">
        <v>1409</v>
      </c>
      <c r="L369" s="220" t="s">
        <v>210</v>
      </c>
      <c r="M369" s="221">
        <v>750000</v>
      </c>
      <c r="N369" s="49" t="s">
        <v>1025</v>
      </c>
    </row>
    <row r="370" spans="1:19" ht="27" hidden="1" x14ac:dyDescent="0.3">
      <c r="A370" s="59">
        <v>14</v>
      </c>
      <c r="B370" s="532"/>
      <c r="C370" s="202" t="s">
        <v>1513</v>
      </c>
      <c r="D370" s="197" t="s">
        <v>19</v>
      </c>
      <c r="E370" s="197" t="s">
        <v>25</v>
      </c>
      <c r="F370" s="197" t="s">
        <v>20</v>
      </c>
      <c r="G370" s="219" t="s">
        <v>1509</v>
      </c>
      <c r="H370" s="197" t="s">
        <v>265</v>
      </c>
      <c r="I370" s="203" t="s">
        <v>1124</v>
      </c>
      <c r="J370" s="204" t="s">
        <v>127</v>
      </c>
      <c r="K370" s="197" t="s">
        <v>1510</v>
      </c>
      <c r="L370" s="220" t="s">
        <v>210</v>
      </c>
      <c r="M370" s="221">
        <v>500000</v>
      </c>
      <c r="N370" s="49" t="s">
        <v>122</v>
      </c>
    </row>
    <row r="371" spans="1:19" ht="27" hidden="1" x14ac:dyDescent="0.3">
      <c r="A371" s="59">
        <v>14</v>
      </c>
      <c r="B371" s="532"/>
      <c r="C371" s="99" t="s">
        <v>1514</v>
      </c>
      <c r="D371" s="4" t="s">
        <v>19</v>
      </c>
      <c r="E371" s="4" t="s">
        <v>25</v>
      </c>
      <c r="F371" s="4" t="s">
        <v>20</v>
      </c>
      <c r="G371" s="155">
        <v>3306</v>
      </c>
      <c r="H371" s="4" t="s">
        <v>1156</v>
      </c>
      <c r="I371" s="9" t="s">
        <v>1663</v>
      </c>
      <c r="J371" s="14" t="s">
        <v>169</v>
      </c>
      <c r="K371" s="222" t="s">
        <v>1137</v>
      </c>
      <c r="L371" s="61"/>
      <c r="M371" s="209">
        <v>1000000</v>
      </c>
      <c r="N371" s="49" t="s">
        <v>122</v>
      </c>
    </row>
    <row r="372" spans="1:19" ht="27" hidden="1" x14ac:dyDescent="0.3">
      <c r="A372" s="59">
        <v>14</v>
      </c>
      <c r="B372" s="533"/>
      <c r="C372" s="99" t="s">
        <v>1515</v>
      </c>
      <c r="D372" s="4" t="s">
        <v>19</v>
      </c>
      <c r="E372" s="173" t="s">
        <v>25</v>
      </c>
      <c r="F372" s="173" t="s">
        <v>20</v>
      </c>
      <c r="G372" s="224">
        <v>4266</v>
      </c>
      <c r="H372" s="173" t="s">
        <v>126</v>
      </c>
      <c r="I372" s="225" t="s">
        <v>266</v>
      </c>
      <c r="J372" s="226" t="s">
        <v>95</v>
      </c>
      <c r="K372" s="173" t="s">
        <v>953</v>
      </c>
      <c r="L372" s="227" t="s">
        <v>210</v>
      </c>
      <c r="M372" s="209">
        <v>1000000</v>
      </c>
      <c r="N372" s="49" t="s">
        <v>248</v>
      </c>
      <c r="O372" s="200"/>
    </row>
    <row r="373" spans="1:19" hidden="1" x14ac:dyDescent="0.3">
      <c r="A373" s="59">
        <v>14</v>
      </c>
      <c r="B373" s="531" t="s">
        <v>21</v>
      </c>
      <c r="C373" s="16">
        <v>45386</v>
      </c>
      <c r="D373" s="4" t="s">
        <v>139</v>
      </c>
      <c r="E373" s="4" t="s">
        <v>14</v>
      </c>
      <c r="F373" s="4" t="s">
        <v>212</v>
      </c>
      <c r="G373" s="4" t="s">
        <v>804</v>
      </c>
      <c r="H373" s="3" t="s">
        <v>265</v>
      </c>
      <c r="I373" s="215" t="s">
        <v>1511</v>
      </c>
      <c r="J373" s="14"/>
      <c r="K373" s="218" t="s">
        <v>324</v>
      </c>
      <c r="L373" s="6" t="s">
        <v>15</v>
      </c>
      <c r="M373" s="103">
        <v>500000</v>
      </c>
      <c r="N373" s="49" t="s">
        <v>1403</v>
      </c>
      <c r="O373" s="200"/>
    </row>
    <row r="374" spans="1:19" hidden="1" x14ac:dyDescent="0.3">
      <c r="A374" s="59">
        <v>14</v>
      </c>
      <c r="B374" s="533"/>
      <c r="C374" s="16">
        <v>45386</v>
      </c>
      <c r="D374" s="3" t="s">
        <v>139</v>
      </c>
      <c r="E374" s="4" t="s">
        <v>14</v>
      </c>
      <c r="F374" s="3" t="s">
        <v>108</v>
      </c>
      <c r="G374" s="3" t="s">
        <v>271</v>
      </c>
      <c r="H374" s="3" t="s">
        <v>144</v>
      </c>
      <c r="I374" s="9" t="s">
        <v>272</v>
      </c>
      <c r="J374" s="14" t="s">
        <v>90</v>
      </c>
      <c r="K374" s="237" t="s">
        <v>489</v>
      </c>
      <c r="L374" s="6" t="s">
        <v>15</v>
      </c>
      <c r="M374" s="103">
        <v>500000</v>
      </c>
      <c r="N374" s="49" t="s">
        <v>1403</v>
      </c>
    </row>
    <row r="375" spans="1:19" hidden="1" x14ac:dyDescent="0.3">
      <c r="A375" s="213" t="s">
        <v>1544</v>
      </c>
      <c r="B375" s="540" t="s">
        <v>308</v>
      </c>
      <c r="C375" s="136" t="s">
        <v>1536</v>
      </c>
      <c r="D375" s="538" t="s">
        <v>307</v>
      </c>
      <c r="E375" s="538" t="s">
        <v>323</v>
      </c>
      <c r="F375" s="538" t="s">
        <v>308</v>
      </c>
      <c r="G375" s="543">
        <v>4266</v>
      </c>
      <c r="H375" s="538" t="s">
        <v>642</v>
      </c>
      <c r="I375" s="543" t="s">
        <v>1538</v>
      </c>
      <c r="J375" s="538" t="s">
        <v>1539</v>
      </c>
      <c r="K375" s="545" t="s">
        <v>694</v>
      </c>
      <c r="L375" s="538" t="s">
        <v>325</v>
      </c>
      <c r="M375" s="538" t="s">
        <v>1540</v>
      </c>
      <c r="N375" s="538" t="s">
        <v>427</v>
      </c>
    </row>
    <row r="376" spans="1:19" hidden="1" x14ac:dyDescent="0.3">
      <c r="A376" s="213" t="s">
        <v>1544</v>
      </c>
      <c r="B376" s="541"/>
      <c r="C376" s="137" t="s">
        <v>1537</v>
      </c>
      <c r="D376" s="539"/>
      <c r="E376" s="539"/>
      <c r="F376" s="539"/>
      <c r="G376" s="544"/>
      <c r="H376" s="539"/>
      <c r="I376" s="544"/>
      <c r="J376" s="539"/>
      <c r="K376" s="546"/>
      <c r="L376" s="539"/>
      <c r="M376" s="539"/>
      <c r="N376" s="539"/>
    </row>
    <row r="377" spans="1:19" hidden="1" x14ac:dyDescent="0.3">
      <c r="A377" s="213" t="s">
        <v>1544</v>
      </c>
      <c r="B377" s="541"/>
      <c r="C377" s="136" t="s">
        <v>1541</v>
      </c>
      <c r="D377" s="538" t="s">
        <v>307</v>
      </c>
      <c r="E377" s="538" t="s">
        <v>323</v>
      </c>
      <c r="F377" s="538" t="s">
        <v>308</v>
      </c>
      <c r="G377" s="543">
        <v>3306</v>
      </c>
      <c r="H377" s="538" t="s">
        <v>1156</v>
      </c>
      <c r="I377" s="543" t="s">
        <v>1543</v>
      </c>
      <c r="J377" s="538" t="s">
        <v>1539</v>
      </c>
      <c r="K377" s="545" t="s">
        <v>694</v>
      </c>
      <c r="L377" s="538" t="s">
        <v>325</v>
      </c>
      <c r="M377" s="538" t="s">
        <v>1540</v>
      </c>
      <c r="N377" s="538" t="s">
        <v>427</v>
      </c>
    </row>
    <row r="378" spans="1:19" hidden="1" x14ac:dyDescent="0.3">
      <c r="A378" s="213" t="s">
        <v>1544</v>
      </c>
      <c r="B378" s="542"/>
      <c r="C378" s="137" t="s">
        <v>1542</v>
      </c>
      <c r="D378" s="539"/>
      <c r="E378" s="539"/>
      <c r="F378" s="539"/>
      <c r="G378" s="544"/>
      <c r="H378" s="539"/>
      <c r="I378" s="544"/>
      <c r="J378" s="539"/>
      <c r="K378" s="546"/>
      <c r="L378" s="539"/>
      <c r="M378" s="539"/>
      <c r="N378" s="539"/>
    </row>
    <row r="379" spans="1:19" ht="27" hidden="1" customHeight="1" x14ac:dyDescent="0.3">
      <c r="A379" s="131">
        <v>15</v>
      </c>
      <c r="B379" s="531" t="s">
        <v>20</v>
      </c>
      <c r="C379" s="202" t="s">
        <v>1531</v>
      </c>
      <c r="D379" s="197" t="s">
        <v>19</v>
      </c>
      <c r="E379" s="197" t="s">
        <v>25</v>
      </c>
      <c r="F379" s="197" t="s">
        <v>20</v>
      </c>
      <c r="G379" s="219" t="s">
        <v>1534</v>
      </c>
      <c r="H379" s="197" t="s">
        <v>23</v>
      </c>
      <c r="I379" s="203" t="s">
        <v>1535</v>
      </c>
      <c r="J379" s="204" t="s">
        <v>253</v>
      </c>
      <c r="K379" s="197" t="s">
        <v>1510</v>
      </c>
      <c r="L379" s="220" t="s">
        <v>210</v>
      </c>
      <c r="M379" s="221">
        <v>500000</v>
      </c>
      <c r="N379" s="49" t="s">
        <v>122</v>
      </c>
    </row>
    <row r="380" spans="1:19" ht="27" hidden="1" customHeight="1" x14ac:dyDescent="0.3">
      <c r="A380" s="131">
        <v>15</v>
      </c>
      <c r="B380" s="532"/>
      <c r="C380" s="202" t="s">
        <v>1532</v>
      </c>
      <c r="D380" s="197" t="s">
        <v>19</v>
      </c>
      <c r="E380" s="197" t="s">
        <v>25</v>
      </c>
      <c r="F380" s="197" t="s">
        <v>20</v>
      </c>
      <c r="G380" s="219" t="s">
        <v>1552</v>
      </c>
      <c r="H380" s="197" t="s">
        <v>484</v>
      </c>
      <c r="I380" s="203" t="s">
        <v>1124</v>
      </c>
      <c r="J380" s="204" t="s">
        <v>169</v>
      </c>
      <c r="K380" s="197" t="s">
        <v>1510</v>
      </c>
      <c r="L380" s="220" t="s">
        <v>210</v>
      </c>
      <c r="M380" s="221">
        <v>500000</v>
      </c>
      <c r="N380" s="49" t="s">
        <v>122</v>
      </c>
      <c r="O380" t="s">
        <v>1626</v>
      </c>
    </row>
    <row r="381" spans="1:19" ht="27" hidden="1" customHeight="1" x14ac:dyDescent="0.3">
      <c r="A381" s="131">
        <v>15</v>
      </c>
      <c r="B381" s="532"/>
      <c r="C381" s="99" t="s">
        <v>1553</v>
      </c>
      <c r="D381" s="4" t="s">
        <v>19</v>
      </c>
      <c r="E381" s="173" t="s">
        <v>25</v>
      </c>
      <c r="F381" s="173" t="s">
        <v>20</v>
      </c>
      <c r="G381" s="224" t="s">
        <v>1555</v>
      </c>
      <c r="H381" s="173" t="s">
        <v>1556</v>
      </c>
      <c r="I381" s="225" t="s">
        <v>1557</v>
      </c>
      <c r="J381" s="226" t="s">
        <v>1558</v>
      </c>
      <c r="K381" s="173" t="s">
        <v>1559</v>
      </c>
      <c r="L381" s="227" t="s">
        <v>210</v>
      </c>
      <c r="M381" s="209">
        <v>1000000</v>
      </c>
      <c r="N381" s="49" t="s">
        <v>122</v>
      </c>
    </row>
    <row r="382" spans="1:19" ht="27" hidden="1" customHeight="1" x14ac:dyDescent="0.3">
      <c r="A382" s="131">
        <v>15</v>
      </c>
      <c r="B382" s="533"/>
      <c r="C382" s="99" t="s">
        <v>1554</v>
      </c>
      <c r="D382" s="4" t="s">
        <v>19</v>
      </c>
      <c r="E382" s="4" t="s">
        <v>25</v>
      </c>
      <c r="F382" s="4" t="s">
        <v>20</v>
      </c>
      <c r="G382" s="155" t="s">
        <v>963</v>
      </c>
      <c r="H382" s="4" t="s">
        <v>171</v>
      </c>
      <c r="I382" s="9" t="s">
        <v>1560</v>
      </c>
      <c r="J382" s="14" t="s">
        <v>1561</v>
      </c>
      <c r="K382" s="222" t="s">
        <v>1562</v>
      </c>
      <c r="L382" s="61" t="s">
        <v>210</v>
      </c>
      <c r="M382" s="103">
        <v>1000000</v>
      </c>
      <c r="N382" s="49" t="s">
        <v>122</v>
      </c>
    </row>
    <row r="383" spans="1:19" ht="27" hidden="1" customHeight="1" x14ac:dyDescent="0.3">
      <c r="A383" s="131">
        <v>15</v>
      </c>
      <c r="B383" s="531" t="s">
        <v>21</v>
      </c>
      <c r="C383" s="16">
        <v>45393</v>
      </c>
      <c r="D383" s="4" t="s">
        <v>139</v>
      </c>
      <c r="E383" s="4" t="s">
        <v>14</v>
      </c>
      <c r="F383" s="4" t="s">
        <v>212</v>
      </c>
      <c r="G383" s="4" t="s">
        <v>804</v>
      </c>
      <c r="H383" s="3" t="s">
        <v>265</v>
      </c>
      <c r="I383" s="215" t="s">
        <v>1667</v>
      </c>
      <c r="J383" s="14"/>
      <c r="K383" s="218" t="s">
        <v>324</v>
      </c>
      <c r="L383" s="6" t="s">
        <v>15</v>
      </c>
      <c r="M383" s="103">
        <v>500000</v>
      </c>
      <c r="N383" s="49" t="s">
        <v>1403</v>
      </c>
    </row>
    <row r="384" spans="1:19" ht="27" hidden="1" customHeight="1" x14ac:dyDescent="0.3">
      <c r="A384" s="131">
        <v>15</v>
      </c>
      <c r="B384" s="533"/>
      <c r="C384" s="16">
        <f>C383+1</f>
        <v>45394</v>
      </c>
      <c r="D384" s="3" t="s">
        <v>21</v>
      </c>
      <c r="E384" s="4" t="s">
        <v>14</v>
      </c>
      <c r="F384" s="3" t="s">
        <v>1388</v>
      </c>
      <c r="G384" s="3" t="s">
        <v>621</v>
      </c>
      <c r="H384" s="3" t="s">
        <v>103</v>
      </c>
      <c r="I384" s="9" t="s">
        <v>217</v>
      </c>
      <c r="J384" s="14" t="s">
        <v>90</v>
      </c>
      <c r="K384" s="235" t="s">
        <v>1546</v>
      </c>
      <c r="L384" s="6" t="s">
        <v>15</v>
      </c>
      <c r="M384" s="103">
        <v>250000</v>
      </c>
      <c r="N384" s="49" t="s">
        <v>395</v>
      </c>
      <c r="O384" t="s">
        <v>1565</v>
      </c>
      <c r="Q384" t="s">
        <v>1665</v>
      </c>
      <c r="S384" t="s">
        <v>1666</v>
      </c>
    </row>
    <row r="385" spans="1:14" ht="27" hidden="1" x14ac:dyDescent="0.3">
      <c r="A385" s="131">
        <v>16</v>
      </c>
      <c r="B385" s="531" t="s">
        <v>20</v>
      </c>
      <c r="C385" s="202" t="s">
        <v>1566</v>
      </c>
      <c r="D385" s="197" t="s">
        <v>19</v>
      </c>
      <c r="E385" s="197" t="s">
        <v>25</v>
      </c>
      <c r="F385" s="197" t="s">
        <v>20</v>
      </c>
      <c r="G385" s="219" t="s">
        <v>1534</v>
      </c>
      <c r="H385" s="197" t="s">
        <v>23</v>
      </c>
      <c r="I385" s="203" t="s">
        <v>1535</v>
      </c>
      <c r="J385" s="204" t="s">
        <v>221</v>
      </c>
      <c r="K385" s="197" t="s">
        <v>1409</v>
      </c>
      <c r="L385" s="220" t="s">
        <v>210</v>
      </c>
      <c r="M385" s="221">
        <v>750000</v>
      </c>
      <c r="N385" s="49" t="s">
        <v>122</v>
      </c>
    </row>
    <row r="386" spans="1:14" ht="27" hidden="1" x14ac:dyDescent="0.3">
      <c r="A386" s="131">
        <v>16</v>
      </c>
      <c r="B386" s="532"/>
      <c r="C386" s="202" t="s">
        <v>1567</v>
      </c>
      <c r="D386" s="197" t="s">
        <v>1533</v>
      </c>
      <c r="E386" s="197" t="s">
        <v>25</v>
      </c>
      <c r="F386" s="197" t="s">
        <v>20</v>
      </c>
      <c r="G386" s="219" t="s">
        <v>1524</v>
      </c>
      <c r="H386" s="197" t="s">
        <v>484</v>
      </c>
      <c r="I386" s="203" t="s">
        <v>1508</v>
      </c>
      <c r="J386" s="204" t="s">
        <v>169</v>
      </c>
      <c r="K386" s="197" t="s">
        <v>1510</v>
      </c>
      <c r="L386" s="220" t="s">
        <v>210</v>
      </c>
      <c r="M386" s="221">
        <v>500000</v>
      </c>
      <c r="N386" s="49" t="s">
        <v>209</v>
      </c>
    </row>
    <row r="387" spans="1:14" ht="27" hidden="1" x14ac:dyDescent="0.3">
      <c r="A387" s="131">
        <v>16</v>
      </c>
      <c r="B387" s="532"/>
      <c r="C387" s="99" t="s">
        <v>1568</v>
      </c>
      <c r="D387" s="4" t="s">
        <v>19</v>
      </c>
      <c r="E387" s="173" t="s">
        <v>25</v>
      </c>
      <c r="F387" s="173" t="s">
        <v>20</v>
      </c>
      <c r="G387" s="224" t="s">
        <v>1570</v>
      </c>
      <c r="H387" s="173" t="s">
        <v>1580</v>
      </c>
      <c r="I387" s="225" t="s">
        <v>594</v>
      </c>
      <c r="J387" s="226" t="s">
        <v>95</v>
      </c>
      <c r="K387" s="173" t="s">
        <v>1577</v>
      </c>
      <c r="L387" s="227" t="s">
        <v>210</v>
      </c>
      <c r="M387" s="209">
        <v>1500000</v>
      </c>
      <c r="N387" s="49" t="s">
        <v>122</v>
      </c>
    </row>
    <row r="388" spans="1:14" ht="27" hidden="1" x14ac:dyDescent="0.3">
      <c r="A388" s="131">
        <v>16</v>
      </c>
      <c r="B388" s="533"/>
      <c r="C388" s="99" t="s">
        <v>1554</v>
      </c>
      <c r="D388" s="4" t="s">
        <v>19</v>
      </c>
      <c r="E388" s="4" t="s">
        <v>25</v>
      </c>
      <c r="F388" s="4" t="s">
        <v>20</v>
      </c>
      <c r="G388" s="155" t="s">
        <v>1534</v>
      </c>
      <c r="H388" s="4" t="s">
        <v>23</v>
      </c>
      <c r="I388" s="9" t="s">
        <v>1569</v>
      </c>
      <c r="J388" s="14" t="s">
        <v>169</v>
      </c>
      <c r="K388" s="222" t="s">
        <v>119</v>
      </c>
      <c r="L388" s="61" t="s">
        <v>210</v>
      </c>
      <c r="M388" s="103">
        <v>500000</v>
      </c>
      <c r="N388" s="49" t="s">
        <v>122</v>
      </c>
    </row>
    <row r="389" spans="1:14" hidden="1" x14ac:dyDescent="0.3">
      <c r="A389" s="131">
        <v>16</v>
      </c>
      <c r="B389" s="531" t="s">
        <v>21</v>
      </c>
      <c r="C389" s="16">
        <v>45397</v>
      </c>
      <c r="D389" s="3" t="s">
        <v>21</v>
      </c>
      <c r="E389" s="4" t="s">
        <v>17</v>
      </c>
      <c r="F389" s="3" t="s">
        <v>78</v>
      </c>
      <c r="G389" s="3" t="s">
        <v>207</v>
      </c>
      <c r="H389" s="3" t="s">
        <v>1387</v>
      </c>
      <c r="I389" s="5" t="s">
        <v>1551</v>
      </c>
      <c r="J389" s="14" t="s">
        <v>203</v>
      </c>
      <c r="K389" s="222" t="s">
        <v>112</v>
      </c>
      <c r="L389" s="6" t="s">
        <v>15</v>
      </c>
      <c r="M389" s="103">
        <v>250000</v>
      </c>
      <c r="N389" s="84" t="s">
        <v>1576</v>
      </c>
    </row>
    <row r="390" spans="1:14" hidden="1" x14ac:dyDescent="0.3">
      <c r="A390" s="131">
        <v>16</v>
      </c>
      <c r="B390" s="532"/>
      <c r="C390" s="16">
        <v>45399</v>
      </c>
      <c r="D390" s="4" t="s">
        <v>139</v>
      </c>
      <c r="E390" s="4" t="s">
        <v>14</v>
      </c>
      <c r="F390" s="4" t="s">
        <v>212</v>
      </c>
      <c r="G390" s="4" t="s">
        <v>804</v>
      </c>
      <c r="H390" s="3" t="s">
        <v>265</v>
      </c>
      <c r="I390" s="5" t="s">
        <v>1579</v>
      </c>
      <c r="J390" s="14"/>
      <c r="K390" s="218" t="s">
        <v>437</v>
      </c>
      <c r="L390" s="6" t="s">
        <v>15</v>
      </c>
      <c r="M390" s="103">
        <v>750000</v>
      </c>
      <c r="N390" s="84" t="s">
        <v>1578</v>
      </c>
    </row>
    <row r="391" spans="1:14" ht="27" hidden="1" x14ac:dyDescent="0.3">
      <c r="A391" s="131">
        <v>16</v>
      </c>
      <c r="B391" s="532"/>
      <c r="C391" s="16" t="s">
        <v>1574</v>
      </c>
      <c r="D391" s="3" t="s">
        <v>139</v>
      </c>
      <c r="E391" s="4" t="s">
        <v>14</v>
      </c>
      <c r="F391" s="3" t="s">
        <v>625</v>
      </c>
      <c r="G391" s="3" t="s">
        <v>480</v>
      </c>
      <c r="H391" s="3" t="s">
        <v>103</v>
      </c>
      <c r="I391" s="9" t="s">
        <v>1571</v>
      </c>
      <c r="J391" s="14" t="s">
        <v>90</v>
      </c>
      <c r="K391" s="240" t="s">
        <v>41</v>
      </c>
      <c r="L391" s="91" t="s">
        <v>84</v>
      </c>
      <c r="M391" s="103">
        <v>250000</v>
      </c>
      <c r="N391" s="84" t="s">
        <v>1575</v>
      </c>
    </row>
    <row r="392" spans="1:14" ht="27" hidden="1" x14ac:dyDescent="0.3">
      <c r="A392" s="131">
        <v>16</v>
      </c>
      <c r="B392" s="533"/>
      <c r="C392" s="16" t="s">
        <v>1572</v>
      </c>
      <c r="D392" s="3" t="s">
        <v>139</v>
      </c>
      <c r="E392" s="4" t="s">
        <v>17</v>
      </c>
      <c r="F392" s="4" t="s">
        <v>1573</v>
      </c>
      <c r="G392" s="3" t="s">
        <v>274</v>
      </c>
      <c r="H392" s="3" t="s">
        <v>103</v>
      </c>
      <c r="I392" s="9" t="s">
        <v>1571</v>
      </c>
      <c r="J392" s="14" t="s">
        <v>90</v>
      </c>
      <c r="K392" s="223" t="s">
        <v>41</v>
      </c>
      <c r="L392" s="234" t="s">
        <v>84</v>
      </c>
      <c r="M392" s="103">
        <v>250000</v>
      </c>
      <c r="N392" s="84" t="s">
        <v>1575</v>
      </c>
    </row>
    <row r="393" spans="1:14" ht="27" hidden="1" x14ac:dyDescent="0.3">
      <c r="A393" s="131">
        <v>17</v>
      </c>
      <c r="B393" s="531" t="s">
        <v>252</v>
      </c>
      <c r="C393" s="230" t="s">
        <v>1583</v>
      </c>
      <c r="D393" s="197" t="s">
        <v>19</v>
      </c>
      <c r="E393" s="197" t="s">
        <v>25</v>
      </c>
      <c r="F393" s="197" t="s">
        <v>20</v>
      </c>
      <c r="G393" s="219">
        <v>3306</v>
      </c>
      <c r="H393" s="197" t="s">
        <v>813</v>
      </c>
      <c r="I393" s="203" t="s">
        <v>1584</v>
      </c>
      <c r="J393" s="204" t="s">
        <v>169</v>
      </c>
      <c r="K393" s="197" t="s">
        <v>1585</v>
      </c>
      <c r="L393" s="220" t="s">
        <v>210</v>
      </c>
      <c r="M393" s="221">
        <v>1250000</v>
      </c>
      <c r="N393" s="49" t="s">
        <v>122</v>
      </c>
    </row>
    <row r="394" spans="1:14" hidden="1" x14ac:dyDescent="0.3">
      <c r="A394" s="131">
        <v>17</v>
      </c>
      <c r="B394" s="532"/>
      <c r="C394" s="16">
        <v>45406</v>
      </c>
      <c r="D394" s="216" t="s">
        <v>307</v>
      </c>
      <c r="E394" s="216" t="s">
        <v>323</v>
      </c>
      <c r="F394" s="216" t="s">
        <v>308</v>
      </c>
      <c r="G394" s="217">
        <v>3306</v>
      </c>
      <c r="H394" s="216" t="s">
        <v>1156</v>
      </c>
      <c r="I394" s="217" t="s">
        <v>1595</v>
      </c>
      <c r="J394" s="216" t="s">
        <v>666</v>
      </c>
      <c r="K394" s="250" t="s">
        <v>120</v>
      </c>
      <c r="L394" s="216" t="s">
        <v>325</v>
      </c>
      <c r="M394" s="103">
        <v>500000</v>
      </c>
      <c r="N394" s="216" t="s">
        <v>122</v>
      </c>
    </row>
    <row r="395" spans="1:14" ht="40.5" hidden="1" x14ac:dyDescent="0.3">
      <c r="A395" s="131">
        <v>17</v>
      </c>
      <c r="B395" s="533"/>
      <c r="C395" s="16">
        <v>45407</v>
      </c>
      <c r="D395" s="4" t="s">
        <v>19</v>
      </c>
      <c r="E395" s="173" t="s">
        <v>25</v>
      </c>
      <c r="F395" s="173" t="s">
        <v>20</v>
      </c>
      <c r="G395" s="224" t="s">
        <v>1592</v>
      </c>
      <c r="H395" s="173" t="s">
        <v>1597</v>
      </c>
      <c r="I395" s="225" t="s">
        <v>594</v>
      </c>
      <c r="J395" s="226" t="s">
        <v>95</v>
      </c>
      <c r="K395" s="173" t="s">
        <v>1593</v>
      </c>
      <c r="L395" s="227" t="s">
        <v>210</v>
      </c>
      <c r="M395" s="209">
        <v>500000</v>
      </c>
      <c r="N395" s="49" t="s">
        <v>248</v>
      </c>
    </row>
    <row r="396" spans="1:14" hidden="1" x14ac:dyDescent="0.3">
      <c r="A396" s="131">
        <v>17</v>
      </c>
      <c r="B396" s="531" t="s">
        <v>254</v>
      </c>
      <c r="C396" s="16">
        <v>45404</v>
      </c>
      <c r="D396" s="3" t="s">
        <v>139</v>
      </c>
      <c r="E396" s="4" t="s">
        <v>17</v>
      </c>
      <c r="F396" s="4" t="s">
        <v>78</v>
      </c>
      <c r="G396" s="14" t="s">
        <v>504</v>
      </c>
      <c r="H396" s="3" t="s">
        <v>28</v>
      </c>
      <c r="I396" s="9" t="s">
        <v>1582</v>
      </c>
      <c r="J396" s="14"/>
      <c r="K396" s="222" t="s">
        <v>119</v>
      </c>
      <c r="L396" s="6" t="s">
        <v>15</v>
      </c>
      <c r="M396" s="103">
        <v>500000</v>
      </c>
      <c r="N396" s="49" t="s">
        <v>1576</v>
      </c>
    </row>
    <row r="397" spans="1:14" hidden="1" x14ac:dyDescent="0.3">
      <c r="A397" s="131">
        <v>17</v>
      </c>
      <c r="B397" s="532"/>
      <c r="C397" s="16">
        <v>45405</v>
      </c>
      <c r="D397" s="232" t="s">
        <v>312</v>
      </c>
      <c r="E397" s="133" t="s">
        <v>321</v>
      </c>
      <c r="F397" s="133" t="s">
        <v>411</v>
      </c>
      <c r="G397" s="207" t="s">
        <v>1417</v>
      </c>
      <c r="H397" s="133" t="s">
        <v>1418</v>
      </c>
      <c r="I397" s="207" t="s">
        <v>1586</v>
      </c>
      <c r="J397" s="133"/>
      <c r="K397" s="233" t="s">
        <v>329</v>
      </c>
      <c r="L397" s="133" t="s">
        <v>310</v>
      </c>
      <c r="M397" s="103">
        <v>500000</v>
      </c>
      <c r="N397" s="49" t="s">
        <v>1594</v>
      </c>
    </row>
    <row r="398" spans="1:14" hidden="1" x14ac:dyDescent="0.3">
      <c r="A398" s="131">
        <v>17</v>
      </c>
      <c r="B398" s="532"/>
      <c r="C398" s="16">
        <v>45406</v>
      </c>
      <c r="D398" s="3" t="s">
        <v>21</v>
      </c>
      <c r="E398" s="4" t="s">
        <v>14</v>
      </c>
      <c r="F398" s="4" t="s">
        <v>1588</v>
      </c>
      <c r="G398" s="155" t="s">
        <v>1220</v>
      </c>
      <c r="H398" s="4" t="s">
        <v>126</v>
      </c>
      <c r="I398" s="9" t="s">
        <v>1590</v>
      </c>
      <c r="J398" s="14"/>
      <c r="K398" s="218" t="s">
        <v>1135</v>
      </c>
      <c r="L398" s="6" t="s">
        <v>15</v>
      </c>
      <c r="M398" s="103">
        <v>500000</v>
      </c>
      <c r="N398" s="49" t="s">
        <v>1575</v>
      </c>
    </row>
    <row r="399" spans="1:14" hidden="1" x14ac:dyDescent="0.3">
      <c r="A399" s="131">
        <v>17</v>
      </c>
      <c r="B399" s="532"/>
      <c r="C399" s="16" t="s">
        <v>1661</v>
      </c>
      <c r="D399" s="3" t="s">
        <v>1657</v>
      </c>
      <c r="E399" s="4" t="s">
        <v>14</v>
      </c>
      <c r="F399" s="3" t="s">
        <v>1658</v>
      </c>
      <c r="G399" s="3" t="s">
        <v>747</v>
      </c>
      <c r="H399" s="3" t="s">
        <v>116</v>
      </c>
      <c r="I399" s="9" t="s">
        <v>1659</v>
      </c>
      <c r="J399" s="14" t="s">
        <v>1596</v>
      </c>
      <c r="K399" s="237" t="s">
        <v>222</v>
      </c>
      <c r="L399" s="6" t="s">
        <v>15</v>
      </c>
      <c r="M399" s="103">
        <v>250000</v>
      </c>
      <c r="N399" s="49" t="s">
        <v>1660</v>
      </c>
    </row>
    <row r="400" spans="1:14" ht="27" hidden="1" x14ac:dyDescent="0.3">
      <c r="A400" s="131">
        <v>17</v>
      </c>
      <c r="B400" s="532"/>
      <c r="C400" s="16" t="s">
        <v>1591</v>
      </c>
      <c r="D400" s="3" t="s">
        <v>139</v>
      </c>
      <c r="E400" s="4" t="s">
        <v>17</v>
      </c>
      <c r="F400" s="3" t="s">
        <v>625</v>
      </c>
      <c r="G400" s="3" t="s">
        <v>1125</v>
      </c>
      <c r="H400" s="3" t="s">
        <v>103</v>
      </c>
      <c r="I400" s="9" t="s">
        <v>1571</v>
      </c>
      <c r="J400" s="14"/>
      <c r="K400" s="223" t="s">
        <v>1662</v>
      </c>
      <c r="L400" s="6" t="s">
        <v>15</v>
      </c>
      <c r="M400" s="103">
        <v>500000</v>
      </c>
      <c r="N400" s="49" t="s">
        <v>1589</v>
      </c>
    </row>
    <row r="401" spans="1:14" hidden="1" x14ac:dyDescent="0.3">
      <c r="A401" s="131">
        <v>17</v>
      </c>
      <c r="B401" s="532"/>
      <c r="C401" s="16" t="s">
        <v>1591</v>
      </c>
      <c r="D401" s="3" t="s">
        <v>21</v>
      </c>
      <c r="E401" s="4" t="s">
        <v>14</v>
      </c>
      <c r="F401" s="4" t="s">
        <v>1588</v>
      </c>
      <c r="G401" s="155" t="s">
        <v>1220</v>
      </c>
      <c r="H401" s="4" t="s">
        <v>280</v>
      </c>
      <c r="I401" s="9" t="s">
        <v>1590</v>
      </c>
      <c r="J401" s="14"/>
      <c r="K401" s="218" t="s">
        <v>1135</v>
      </c>
      <c r="L401" s="6" t="s">
        <v>15</v>
      </c>
      <c r="M401" s="103">
        <v>500000</v>
      </c>
      <c r="N401" s="49" t="s">
        <v>1575</v>
      </c>
    </row>
    <row r="402" spans="1:14" hidden="1" x14ac:dyDescent="0.3">
      <c r="A402" s="131">
        <v>17</v>
      </c>
      <c r="B402" s="533"/>
      <c r="C402" s="16" t="s">
        <v>1912</v>
      </c>
      <c r="D402" s="3" t="s">
        <v>139</v>
      </c>
      <c r="E402" s="4" t="s">
        <v>14</v>
      </c>
      <c r="F402" s="4" t="s">
        <v>108</v>
      </c>
      <c r="G402" s="3" t="s">
        <v>271</v>
      </c>
      <c r="H402" s="3" t="s">
        <v>1396</v>
      </c>
      <c r="I402" s="9" t="s">
        <v>1581</v>
      </c>
      <c r="J402" s="14" t="s">
        <v>90</v>
      </c>
      <c r="K402" s="252" t="s">
        <v>688</v>
      </c>
      <c r="L402" s="6" t="s">
        <v>15</v>
      </c>
      <c r="M402" s="103">
        <v>250000</v>
      </c>
      <c r="N402" s="49" t="s">
        <v>1587</v>
      </c>
    </row>
    <row r="403" spans="1:14" ht="16.5" hidden="1" customHeight="1" x14ac:dyDescent="0.3">
      <c r="A403" s="131">
        <v>18</v>
      </c>
      <c r="B403" s="522" t="s">
        <v>1791</v>
      </c>
      <c r="C403" s="242" t="s">
        <v>1757</v>
      </c>
      <c r="D403" s="534" t="s">
        <v>307</v>
      </c>
      <c r="E403" s="534" t="s">
        <v>323</v>
      </c>
      <c r="F403" s="534" t="s">
        <v>308</v>
      </c>
      <c r="G403" s="536">
        <v>3306</v>
      </c>
      <c r="H403" s="534" t="s">
        <v>1156</v>
      </c>
      <c r="I403" s="536" t="s">
        <v>1758</v>
      </c>
      <c r="J403" s="534" t="s">
        <v>666</v>
      </c>
      <c r="K403" s="612" t="s">
        <v>1291</v>
      </c>
      <c r="L403" s="534" t="s">
        <v>325</v>
      </c>
      <c r="M403" s="534" t="s">
        <v>1759</v>
      </c>
      <c r="N403" s="534" t="s">
        <v>667</v>
      </c>
    </row>
    <row r="404" spans="1:14" hidden="1" x14ac:dyDescent="0.3">
      <c r="A404" s="131">
        <v>18</v>
      </c>
      <c r="B404" s="523"/>
      <c r="C404" s="242" t="s">
        <v>1760</v>
      </c>
      <c r="D404" s="535"/>
      <c r="E404" s="535"/>
      <c r="F404" s="535"/>
      <c r="G404" s="537"/>
      <c r="H404" s="535"/>
      <c r="I404" s="537"/>
      <c r="J404" s="535"/>
      <c r="K404" s="613"/>
      <c r="L404" s="535"/>
      <c r="M404" s="535"/>
      <c r="N404" s="535"/>
    </row>
    <row r="405" spans="1:14" ht="22.5" hidden="1" x14ac:dyDescent="0.3">
      <c r="A405" s="131">
        <v>18</v>
      </c>
      <c r="B405" s="523"/>
      <c r="C405" s="242" t="s">
        <v>1761</v>
      </c>
      <c r="D405" s="242" t="s">
        <v>307</v>
      </c>
      <c r="E405" s="242" t="s">
        <v>323</v>
      </c>
      <c r="F405" s="242" t="s">
        <v>308</v>
      </c>
      <c r="G405" s="243">
        <v>3306</v>
      </c>
      <c r="H405" s="242" t="s">
        <v>1156</v>
      </c>
      <c r="I405" s="243" t="s">
        <v>1762</v>
      </c>
      <c r="J405" s="242" t="s">
        <v>666</v>
      </c>
      <c r="K405" s="242" t="s">
        <v>700</v>
      </c>
      <c r="L405" s="242" t="s">
        <v>325</v>
      </c>
      <c r="M405" s="242" t="s">
        <v>1763</v>
      </c>
      <c r="N405" s="242"/>
    </row>
    <row r="406" spans="1:14" ht="16.5" hidden="1" customHeight="1" x14ac:dyDescent="0.3">
      <c r="A406" s="131">
        <v>18</v>
      </c>
      <c r="B406" s="523"/>
      <c r="C406" s="242" t="s">
        <v>1764</v>
      </c>
      <c r="D406" s="534" t="s">
        <v>307</v>
      </c>
      <c r="E406" s="534" t="s">
        <v>323</v>
      </c>
      <c r="F406" s="534" t="s">
        <v>308</v>
      </c>
      <c r="G406" s="536" t="s">
        <v>1765</v>
      </c>
      <c r="H406" s="534" t="s">
        <v>349</v>
      </c>
      <c r="I406" s="536" t="s">
        <v>1157</v>
      </c>
      <c r="J406" s="534" t="s">
        <v>666</v>
      </c>
      <c r="K406" s="534" t="s">
        <v>1766</v>
      </c>
      <c r="L406" s="534" t="s">
        <v>325</v>
      </c>
      <c r="M406" s="534" t="s">
        <v>1767</v>
      </c>
      <c r="N406" s="534" t="s">
        <v>667</v>
      </c>
    </row>
    <row r="407" spans="1:14" hidden="1" x14ac:dyDescent="0.3">
      <c r="A407" s="131">
        <v>18</v>
      </c>
      <c r="B407" s="523"/>
      <c r="C407" s="242" t="s">
        <v>1768</v>
      </c>
      <c r="D407" s="535"/>
      <c r="E407" s="535"/>
      <c r="F407" s="535"/>
      <c r="G407" s="537"/>
      <c r="H407" s="535"/>
      <c r="I407" s="537"/>
      <c r="J407" s="535"/>
      <c r="K407" s="535"/>
      <c r="L407" s="535"/>
      <c r="M407" s="535"/>
      <c r="N407" s="535"/>
    </row>
    <row r="408" spans="1:14" ht="16.5" hidden="1" customHeight="1" x14ac:dyDescent="0.3">
      <c r="A408" s="131">
        <v>18</v>
      </c>
      <c r="B408" s="523"/>
      <c r="C408" s="244" t="s">
        <v>1769</v>
      </c>
      <c r="D408" s="534" t="s">
        <v>307</v>
      </c>
      <c r="E408" s="534" t="s">
        <v>323</v>
      </c>
      <c r="F408" s="534" t="s">
        <v>308</v>
      </c>
      <c r="G408" s="536" t="s">
        <v>1770</v>
      </c>
      <c r="H408" s="534" t="s">
        <v>330</v>
      </c>
      <c r="I408" s="536" t="s">
        <v>1771</v>
      </c>
      <c r="J408" s="534" t="s">
        <v>666</v>
      </c>
      <c r="K408" s="534" t="s">
        <v>1772</v>
      </c>
      <c r="L408" s="534" t="s">
        <v>325</v>
      </c>
      <c r="M408" s="534" t="s">
        <v>1773</v>
      </c>
      <c r="N408" s="534" t="s">
        <v>1774</v>
      </c>
    </row>
    <row r="409" spans="1:14" hidden="1" x14ac:dyDescent="0.3">
      <c r="A409" s="131">
        <v>18</v>
      </c>
      <c r="B409" s="524"/>
      <c r="C409" s="242" t="s">
        <v>1775</v>
      </c>
      <c r="D409" s="535"/>
      <c r="E409" s="535"/>
      <c r="F409" s="535"/>
      <c r="G409" s="537"/>
      <c r="H409" s="535"/>
      <c r="I409" s="537"/>
      <c r="J409" s="535"/>
      <c r="K409" s="535"/>
      <c r="L409" s="535"/>
      <c r="M409" s="535"/>
      <c r="N409" s="535"/>
    </row>
    <row r="410" spans="1:14" ht="16.5" hidden="1" customHeight="1" x14ac:dyDescent="0.3">
      <c r="A410" s="131">
        <v>18</v>
      </c>
      <c r="B410" s="522" t="s">
        <v>254</v>
      </c>
      <c r="C410" s="614" t="s">
        <v>1776</v>
      </c>
      <c r="D410" s="534" t="s">
        <v>312</v>
      </c>
      <c r="E410" s="534" t="s">
        <v>321</v>
      </c>
      <c r="F410" s="534" t="s">
        <v>711</v>
      </c>
      <c r="G410" s="534" t="s">
        <v>1777</v>
      </c>
      <c r="H410" s="614" t="s">
        <v>1778</v>
      </c>
      <c r="I410" s="243" t="s">
        <v>1779</v>
      </c>
      <c r="J410" s="534"/>
      <c r="K410" s="616" t="s">
        <v>1780</v>
      </c>
      <c r="L410" s="534" t="s">
        <v>310</v>
      </c>
      <c r="M410" s="534" t="s">
        <v>1773</v>
      </c>
      <c r="N410" s="534" t="s">
        <v>1781</v>
      </c>
    </row>
    <row r="411" spans="1:14" hidden="1" x14ac:dyDescent="0.3">
      <c r="A411" s="131">
        <v>18</v>
      </c>
      <c r="B411" s="523"/>
      <c r="C411" s="615"/>
      <c r="D411" s="535"/>
      <c r="E411" s="535"/>
      <c r="F411" s="535"/>
      <c r="G411" s="535"/>
      <c r="H411" s="615"/>
      <c r="I411" s="243" t="s">
        <v>1782</v>
      </c>
      <c r="J411" s="535"/>
      <c r="K411" s="617"/>
      <c r="L411" s="535"/>
      <c r="M411" s="535"/>
      <c r="N411" s="535"/>
    </row>
    <row r="412" spans="1:14" ht="22.5" hidden="1" x14ac:dyDescent="0.3">
      <c r="A412" s="131">
        <v>18</v>
      </c>
      <c r="B412" s="523"/>
      <c r="C412" s="244" t="s">
        <v>1783</v>
      </c>
      <c r="D412" s="244" t="s">
        <v>312</v>
      </c>
      <c r="E412" s="242" t="s">
        <v>321</v>
      </c>
      <c r="F412" s="242" t="s">
        <v>411</v>
      </c>
      <c r="G412" s="243" t="s">
        <v>1417</v>
      </c>
      <c r="H412" s="242" t="s">
        <v>349</v>
      </c>
      <c r="I412" s="243" t="s">
        <v>1586</v>
      </c>
      <c r="J412" s="242"/>
      <c r="K412" s="251" t="s">
        <v>329</v>
      </c>
      <c r="L412" s="242" t="s">
        <v>310</v>
      </c>
      <c r="M412" s="242" t="s">
        <v>1773</v>
      </c>
      <c r="N412" s="242" t="s">
        <v>1784</v>
      </c>
    </row>
    <row r="413" spans="1:14" ht="16.5" hidden="1" customHeight="1" x14ac:dyDescent="0.3">
      <c r="A413" s="131">
        <v>18</v>
      </c>
      <c r="B413" s="523"/>
      <c r="C413" s="614" t="s">
        <v>1785</v>
      </c>
      <c r="D413" s="614" t="s">
        <v>702</v>
      </c>
      <c r="E413" s="534" t="s">
        <v>677</v>
      </c>
      <c r="F413" s="614" t="s">
        <v>1786</v>
      </c>
      <c r="G413" s="614" t="s">
        <v>1787</v>
      </c>
      <c r="H413" s="614" t="s">
        <v>664</v>
      </c>
      <c r="I413" s="243" t="s">
        <v>1788</v>
      </c>
      <c r="J413" s="534" t="s">
        <v>640</v>
      </c>
      <c r="K413" s="534" t="s">
        <v>733</v>
      </c>
      <c r="L413" s="534" t="s">
        <v>310</v>
      </c>
      <c r="M413" s="534" t="s">
        <v>1789</v>
      </c>
      <c r="N413" s="534" t="s">
        <v>1790</v>
      </c>
    </row>
    <row r="414" spans="1:14" hidden="1" x14ac:dyDescent="0.3">
      <c r="A414" s="131">
        <v>18</v>
      </c>
      <c r="B414" s="524"/>
      <c r="C414" s="615"/>
      <c r="D414" s="615"/>
      <c r="E414" s="535"/>
      <c r="F414" s="615"/>
      <c r="G414" s="615"/>
      <c r="H414" s="615"/>
      <c r="I414" s="27"/>
      <c r="J414" s="535"/>
      <c r="K414" s="535"/>
      <c r="L414" s="535"/>
      <c r="M414" s="535"/>
      <c r="N414" s="535"/>
    </row>
    <row r="415" spans="1:14" ht="16.5" hidden="1" customHeight="1" x14ac:dyDescent="0.3">
      <c r="A415" s="131">
        <v>19</v>
      </c>
      <c r="B415" s="522" t="s">
        <v>20</v>
      </c>
      <c r="C415" s="156" t="s">
        <v>1803</v>
      </c>
      <c r="D415" s="538" t="s">
        <v>307</v>
      </c>
      <c r="E415" s="538" t="s">
        <v>323</v>
      </c>
      <c r="F415" s="538" t="s">
        <v>308</v>
      </c>
      <c r="G415" s="543" t="s">
        <v>1805</v>
      </c>
      <c r="H415" s="538" t="s">
        <v>1806</v>
      </c>
      <c r="I415" s="543" t="s">
        <v>1801</v>
      </c>
      <c r="J415" s="538" t="s">
        <v>666</v>
      </c>
      <c r="K415" s="156" t="s">
        <v>1525</v>
      </c>
      <c r="L415" s="538" t="s">
        <v>325</v>
      </c>
      <c r="M415" s="538" t="s">
        <v>1808</v>
      </c>
      <c r="N415" s="538" t="s">
        <v>667</v>
      </c>
    </row>
    <row r="416" spans="1:14" hidden="1" x14ac:dyDescent="0.3">
      <c r="A416" s="131">
        <v>19</v>
      </c>
      <c r="B416" s="523"/>
      <c r="C416" s="156" t="s">
        <v>1804</v>
      </c>
      <c r="D416" s="539"/>
      <c r="E416" s="539"/>
      <c r="F416" s="539"/>
      <c r="G416" s="544"/>
      <c r="H416" s="539"/>
      <c r="I416" s="544"/>
      <c r="J416" s="539"/>
      <c r="K416" s="156" t="s">
        <v>1807</v>
      </c>
      <c r="L416" s="539"/>
      <c r="M416" s="539"/>
      <c r="N416" s="539"/>
    </row>
    <row r="417" spans="1:14" hidden="1" x14ac:dyDescent="0.3">
      <c r="A417" s="131">
        <v>19</v>
      </c>
      <c r="B417" s="523"/>
      <c r="C417" s="156" t="s">
        <v>1809</v>
      </c>
      <c r="D417" s="538" t="s">
        <v>307</v>
      </c>
      <c r="E417" s="538" t="s">
        <v>323</v>
      </c>
      <c r="F417" s="538" t="s">
        <v>308</v>
      </c>
      <c r="G417" s="543" t="s">
        <v>1810</v>
      </c>
      <c r="H417" s="538" t="s">
        <v>1811</v>
      </c>
      <c r="I417" s="543" t="s">
        <v>1812</v>
      </c>
      <c r="J417" s="538" t="s">
        <v>666</v>
      </c>
      <c r="K417" s="554" t="s">
        <v>1158</v>
      </c>
      <c r="L417" s="538" t="s">
        <v>325</v>
      </c>
      <c r="M417" s="538" t="s">
        <v>1813</v>
      </c>
      <c r="N417" s="538" t="s">
        <v>667</v>
      </c>
    </row>
    <row r="418" spans="1:14" hidden="1" x14ac:dyDescent="0.3">
      <c r="A418" s="131">
        <v>19</v>
      </c>
      <c r="B418" s="524"/>
      <c r="C418" s="156" t="s">
        <v>1804</v>
      </c>
      <c r="D418" s="539"/>
      <c r="E418" s="539"/>
      <c r="F418" s="539"/>
      <c r="G418" s="544"/>
      <c r="H418" s="539"/>
      <c r="I418" s="544"/>
      <c r="J418" s="539"/>
      <c r="K418" s="555"/>
      <c r="L418" s="539"/>
      <c r="M418" s="539"/>
      <c r="N418" s="539"/>
    </row>
    <row r="419" spans="1:14" ht="16.5" hidden="1" customHeight="1" x14ac:dyDescent="0.3">
      <c r="A419" s="131">
        <v>19</v>
      </c>
      <c r="B419" s="522" t="s">
        <v>21</v>
      </c>
      <c r="C419" s="568" t="s">
        <v>1814</v>
      </c>
      <c r="D419" s="568" t="s">
        <v>702</v>
      </c>
      <c r="E419" s="538" t="s">
        <v>677</v>
      </c>
      <c r="F419" s="568" t="s">
        <v>1815</v>
      </c>
      <c r="G419" s="568" t="s">
        <v>1816</v>
      </c>
      <c r="H419" s="568" t="s">
        <v>664</v>
      </c>
      <c r="I419" s="543" t="s">
        <v>1817</v>
      </c>
      <c r="J419" s="538"/>
      <c r="K419" s="618" t="s">
        <v>1818</v>
      </c>
      <c r="L419" s="538" t="s">
        <v>310</v>
      </c>
      <c r="M419" s="538" t="s">
        <v>1819</v>
      </c>
      <c r="N419" s="157" t="s">
        <v>1820</v>
      </c>
    </row>
    <row r="420" spans="1:14" hidden="1" x14ac:dyDescent="0.3">
      <c r="A420" s="131">
        <v>19</v>
      </c>
      <c r="B420" s="523"/>
      <c r="C420" s="570"/>
      <c r="D420" s="570"/>
      <c r="E420" s="539"/>
      <c r="F420" s="570"/>
      <c r="G420" s="570"/>
      <c r="H420" s="570"/>
      <c r="I420" s="544"/>
      <c r="J420" s="539"/>
      <c r="K420" s="619"/>
      <c r="L420" s="539"/>
      <c r="M420" s="539"/>
      <c r="N420" s="157" t="s">
        <v>1821</v>
      </c>
    </row>
    <row r="421" spans="1:14" hidden="1" x14ac:dyDescent="0.3">
      <c r="A421" s="131">
        <v>19</v>
      </c>
      <c r="B421" s="523"/>
      <c r="C421" s="620" t="s">
        <v>1822</v>
      </c>
      <c r="D421" s="568" t="s">
        <v>702</v>
      </c>
      <c r="E421" s="538" t="s">
        <v>321</v>
      </c>
      <c r="F421" s="538" t="s">
        <v>338</v>
      </c>
      <c r="G421" s="568" t="s">
        <v>355</v>
      </c>
      <c r="H421" s="568" t="s">
        <v>1823</v>
      </c>
      <c r="I421" s="543" t="s">
        <v>1824</v>
      </c>
      <c r="J421" s="538" t="s">
        <v>640</v>
      </c>
      <c r="K421" s="622" t="s">
        <v>694</v>
      </c>
      <c r="L421" s="538" t="s">
        <v>310</v>
      </c>
      <c r="M421" s="538" t="s">
        <v>1825</v>
      </c>
      <c r="N421" s="156" t="s">
        <v>1826</v>
      </c>
    </row>
    <row r="422" spans="1:14" hidden="1" x14ac:dyDescent="0.3">
      <c r="A422" s="131">
        <v>19</v>
      </c>
      <c r="B422" s="523"/>
      <c r="C422" s="621"/>
      <c r="D422" s="570"/>
      <c r="E422" s="539"/>
      <c r="F422" s="539"/>
      <c r="G422" s="570"/>
      <c r="H422" s="570"/>
      <c r="I422" s="544"/>
      <c r="J422" s="539"/>
      <c r="K422" s="623"/>
      <c r="L422" s="539"/>
      <c r="M422" s="539"/>
      <c r="N422" s="156" t="s">
        <v>1827</v>
      </c>
    </row>
    <row r="423" spans="1:14" hidden="1" x14ac:dyDescent="0.3">
      <c r="A423" s="131">
        <v>19</v>
      </c>
      <c r="B423" s="523"/>
      <c r="C423" s="118" t="s">
        <v>1828</v>
      </c>
      <c r="D423" s="118" t="s">
        <v>702</v>
      </c>
      <c r="E423" s="156" t="s">
        <v>321</v>
      </c>
      <c r="F423" s="156" t="s">
        <v>338</v>
      </c>
      <c r="G423" s="118" t="s">
        <v>355</v>
      </c>
      <c r="H423" s="118" t="s">
        <v>1823</v>
      </c>
      <c r="I423" s="157" t="s">
        <v>1824</v>
      </c>
      <c r="J423" s="156" t="s">
        <v>640</v>
      </c>
      <c r="K423" s="253" t="s">
        <v>715</v>
      </c>
      <c r="L423" s="156" t="s">
        <v>310</v>
      </c>
      <c r="M423" s="156" t="s">
        <v>1819</v>
      </c>
      <c r="N423" s="156" t="s">
        <v>1826</v>
      </c>
    </row>
    <row r="424" spans="1:14" hidden="1" x14ac:dyDescent="0.3">
      <c r="A424" s="131">
        <v>19</v>
      </c>
      <c r="B424" s="523"/>
      <c r="C424" s="568" t="s">
        <v>1829</v>
      </c>
      <c r="D424" s="568" t="s">
        <v>702</v>
      </c>
      <c r="E424" s="538" t="s">
        <v>321</v>
      </c>
      <c r="F424" s="538" t="s">
        <v>711</v>
      </c>
      <c r="G424" s="538" t="s">
        <v>1777</v>
      </c>
      <c r="H424" s="568" t="s">
        <v>1830</v>
      </c>
      <c r="I424" s="157" t="s">
        <v>1831</v>
      </c>
      <c r="J424" s="538" t="s">
        <v>640</v>
      </c>
      <c r="K424" s="538" t="s">
        <v>694</v>
      </c>
      <c r="L424" s="538" t="s">
        <v>310</v>
      </c>
      <c r="M424" s="538" t="s">
        <v>1540</v>
      </c>
      <c r="N424" s="543" t="s">
        <v>1833</v>
      </c>
    </row>
    <row r="425" spans="1:14" hidden="1" x14ac:dyDescent="0.3">
      <c r="A425" s="131">
        <v>19</v>
      </c>
      <c r="B425" s="523"/>
      <c r="C425" s="570"/>
      <c r="D425" s="570"/>
      <c r="E425" s="539"/>
      <c r="F425" s="539"/>
      <c r="G425" s="539"/>
      <c r="H425" s="570"/>
      <c r="I425" s="157" t="s">
        <v>1832</v>
      </c>
      <c r="J425" s="539"/>
      <c r="K425" s="539"/>
      <c r="L425" s="539"/>
      <c r="M425" s="539"/>
      <c r="N425" s="544"/>
    </row>
    <row r="426" spans="1:14" hidden="1" x14ac:dyDescent="0.3">
      <c r="A426" s="131">
        <v>19</v>
      </c>
      <c r="B426" s="524"/>
      <c r="C426" s="118" t="s">
        <v>1829</v>
      </c>
      <c r="D426" s="156" t="s">
        <v>312</v>
      </c>
      <c r="E426" s="156" t="s">
        <v>321</v>
      </c>
      <c r="F426" s="156" t="s">
        <v>1834</v>
      </c>
      <c r="G426" s="156" t="s">
        <v>1835</v>
      </c>
      <c r="H426" s="118" t="s">
        <v>664</v>
      </c>
      <c r="I426" s="157" t="s">
        <v>1836</v>
      </c>
      <c r="J426" s="156"/>
      <c r="K426" s="257" t="s">
        <v>1104</v>
      </c>
      <c r="L426" s="156" t="s">
        <v>310</v>
      </c>
      <c r="M426" s="156" t="s">
        <v>1837</v>
      </c>
      <c r="N426" s="156" t="s">
        <v>1209</v>
      </c>
    </row>
    <row r="427" spans="1:14" hidden="1" x14ac:dyDescent="0.3">
      <c r="A427" s="131">
        <v>20</v>
      </c>
      <c r="B427" s="522" t="s">
        <v>1855</v>
      </c>
      <c r="C427" s="99" t="s">
        <v>1840</v>
      </c>
      <c r="D427" s="133" t="s">
        <v>307</v>
      </c>
      <c r="E427" s="133" t="s">
        <v>323</v>
      </c>
      <c r="F427" s="133" t="s">
        <v>308</v>
      </c>
      <c r="G427" s="207" t="s">
        <v>1509</v>
      </c>
      <c r="H427" s="133" t="s">
        <v>363</v>
      </c>
      <c r="I427" s="207" t="s">
        <v>1124</v>
      </c>
      <c r="J427" s="133" t="s">
        <v>666</v>
      </c>
      <c r="K427" s="4" t="s">
        <v>1842</v>
      </c>
      <c r="L427" s="133" t="s">
        <v>325</v>
      </c>
      <c r="M427" s="103">
        <v>250000</v>
      </c>
      <c r="N427" s="133" t="s">
        <v>122</v>
      </c>
    </row>
    <row r="428" spans="1:14" hidden="1" x14ac:dyDescent="0.3">
      <c r="A428" s="131">
        <v>20</v>
      </c>
      <c r="B428" s="523"/>
      <c r="C428" s="99" t="s">
        <v>1841</v>
      </c>
      <c r="D428" s="133" t="s">
        <v>307</v>
      </c>
      <c r="E428" s="133" t="s">
        <v>323</v>
      </c>
      <c r="F428" s="133" t="s">
        <v>308</v>
      </c>
      <c r="G428" s="207">
        <v>3306</v>
      </c>
      <c r="H428" s="133" t="s">
        <v>813</v>
      </c>
      <c r="I428" s="207" t="s">
        <v>1845</v>
      </c>
      <c r="J428" s="133" t="s">
        <v>666</v>
      </c>
      <c r="K428" s="4" t="s">
        <v>1842</v>
      </c>
      <c r="L428" s="61" t="s">
        <v>210</v>
      </c>
      <c r="M428" s="103">
        <v>250000</v>
      </c>
      <c r="N428" s="49" t="s">
        <v>122</v>
      </c>
    </row>
    <row r="429" spans="1:14" ht="27" hidden="1" x14ac:dyDescent="0.3">
      <c r="A429" s="131">
        <v>20</v>
      </c>
      <c r="B429" s="523"/>
      <c r="C429" s="99" t="s">
        <v>1799</v>
      </c>
      <c r="D429" s="4" t="s">
        <v>19</v>
      </c>
      <c r="E429" s="4" t="s">
        <v>25</v>
      </c>
      <c r="F429" s="4" t="s">
        <v>20</v>
      </c>
      <c r="G429" s="207" t="s">
        <v>1509</v>
      </c>
      <c r="H429" s="133" t="s">
        <v>332</v>
      </c>
      <c r="I429" s="207" t="s">
        <v>1124</v>
      </c>
      <c r="J429" s="133" t="s">
        <v>666</v>
      </c>
      <c r="K429" s="4" t="s">
        <v>1664</v>
      </c>
      <c r="L429" s="61" t="s">
        <v>210</v>
      </c>
      <c r="M429" s="103">
        <v>500000</v>
      </c>
      <c r="N429" s="49" t="s">
        <v>122</v>
      </c>
    </row>
    <row r="430" spans="1:14" hidden="1" x14ac:dyDescent="0.3">
      <c r="A430" s="131">
        <v>20</v>
      </c>
      <c r="B430" s="523"/>
      <c r="C430" s="99" t="s">
        <v>1840</v>
      </c>
      <c r="D430" s="133" t="s">
        <v>307</v>
      </c>
      <c r="E430" s="133" t="s">
        <v>323</v>
      </c>
      <c r="F430" s="133" t="s">
        <v>308</v>
      </c>
      <c r="G430" s="207" t="s">
        <v>1654</v>
      </c>
      <c r="H430" s="133" t="s">
        <v>23</v>
      </c>
      <c r="I430" s="207" t="s">
        <v>1844</v>
      </c>
      <c r="J430" s="133" t="s">
        <v>95</v>
      </c>
      <c r="K430" s="197" t="s">
        <v>1754</v>
      </c>
      <c r="L430" s="133" t="s">
        <v>325</v>
      </c>
      <c r="M430" s="103">
        <v>1000000</v>
      </c>
      <c r="N430" s="133" t="s">
        <v>248</v>
      </c>
    </row>
    <row r="431" spans="1:14" ht="27" hidden="1" x14ac:dyDescent="0.3">
      <c r="A431" s="131">
        <v>20</v>
      </c>
      <c r="B431" s="524"/>
      <c r="C431" s="99" t="s">
        <v>1799</v>
      </c>
      <c r="D431" s="4" t="s">
        <v>19</v>
      </c>
      <c r="E431" s="4" t="s">
        <v>25</v>
      </c>
      <c r="F431" s="4" t="s">
        <v>20</v>
      </c>
      <c r="G431" s="207" t="s">
        <v>1384</v>
      </c>
      <c r="H431" s="133" t="s">
        <v>103</v>
      </c>
      <c r="I431" s="207" t="s">
        <v>1843</v>
      </c>
      <c r="J431" s="133" t="s">
        <v>95</v>
      </c>
      <c r="K431" s="197" t="s">
        <v>1593</v>
      </c>
      <c r="L431" s="61" t="s">
        <v>210</v>
      </c>
      <c r="M431" s="103">
        <v>500000</v>
      </c>
      <c r="N431" s="133" t="s">
        <v>248</v>
      </c>
    </row>
    <row r="432" spans="1:14" ht="27" hidden="1" x14ac:dyDescent="0.3">
      <c r="A432" s="131">
        <v>20</v>
      </c>
      <c r="B432" s="522" t="s">
        <v>21</v>
      </c>
      <c r="C432" s="99" t="s">
        <v>1798</v>
      </c>
      <c r="D432" s="3" t="s">
        <v>21</v>
      </c>
      <c r="E432" s="4" t="s">
        <v>17</v>
      </c>
      <c r="F432" s="4" t="s">
        <v>1797</v>
      </c>
      <c r="G432" s="17" t="s">
        <v>1039</v>
      </c>
      <c r="H432" s="3" t="s">
        <v>28</v>
      </c>
      <c r="I432" s="9" t="s">
        <v>1800</v>
      </c>
      <c r="J432" s="14" t="s">
        <v>90</v>
      </c>
      <c r="K432" s="252" t="s">
        <v>643</v>
      </c>
      <c r="L432" s="6"/>
      <c r="M432" s="103">
        <v>500000</v>
      </c>
      <c r="N432" s="245" t="s">
        <v>1802</v>
      </c>
    </row>
    <row r="433" spans="1:14" ht="27" hidden="1" x14ac:dyDescent="0.3">
      <c r="A433" s="248">
        <v>20</v>
      </c>
      <c r="B433" s="524"/>
      <c r="C433" s="99" t="s">
        <v>1838</v>
      </c>
      <c r="D433" s="3" t="s">
        <v>21</v>
      </c>
      <c r="E433" s="4" t="s">
        <v>14</v>
      </c>
      <c r="F433" s="3" t="s">
        <v>1796</v>
      </c>
      <c r="G433" s="3" t="s">
        <v>853</v>
      </c>
      <c r="H433" s="3" t="s">
        <v>103</v>
      </c>
      <c r="I433" s="9" t="s">
        <v>1839</v>
      </c>
      <c r="J433" s="14" t="s">
        <v>90</v>
      </c>
      <c r="K433" s="4" t="s">
        <v>68</v>
      </c>
      <c r="L433" s="6"/>
      <c r="M433" s="103">
        <v>300000</v>
      </c>
      <c r="N433" s="245" t="s">
        <v>1195</v>
      </c>
    </row>
    <row r="434" spans="1:14" ht="27" hidden="1" x14ac:dyDescent="0.3">
      <c r="A434" s="131">
        <v>21</v>
      </c>
      <c r="B434" s="522" t="s">
        <v>20</v>
      </c>
      <c r="C434" s="130" t="s">
        <v>1863</v>
      </c>
      <c r="D434" s="216" t="s">
        <v>307</v>
      </c>
      <c r="E434" s="216" t="s">
        <v>323</v>
      </c>
      <c r="F434" s="216" t="s">
        <v>308</v>
      </c>
      <c r="G434" s="217">
        <v>3306</v>
      </c>
      <c r="H434" s="216" t="s">
        <v>813</v>
      </c>
      <c r="I434" s="217" t="s">
        <v>1864</v>
      </c>
      <c r="J434" s="216" t="s">
        <v>169</v>
      </c>
      <c r="K434" s="184" t="s">
        <v>1137</v>
      </c>
      <c r="L434" s="216" t="s">
        <v>325</v>
      </c>
      <c r="M434" s="103">
        <v>1000000</v>
      </c>
      <c r="N434" s="216" t="s">
        <v>122</v>
      </c>
    </row>
    <row r="435" spans="1:14" ht="27" hidden="1" x14ac:dyDescent="0.3">
      <c r="A435" s="131">
        <v>21</v>
      </c>
      <c r="B435" s="523"/>
      <c r="C435" s="130" t="s">
        <v>1865</v>
      </c>
      <c r="D435" s="216" t="s">
        <v>307</v>
      </c>
      <c r="E435" s="216" t="s">
        <v>323</v>
      </c>
      <c r="F435" s="216" t="s">
        <v>308</v>
      </c>
      <c r="G435" s="217" t="s">
        <v>1509</v>
      </c>
      <c r="H435" s="216" t="s">
        <v>265</v>
      </c>
      <c r="I435" s="217" t="s">
        <v>1861</v>
      </c>
      <c r="J435" s="216" t="s">
        <v>169</v>
      </c>
      <c r="K435" s="4" t="s">
        <v>1664</v>
      </c>
      <c r="L435" s="216" t="s">
        <v>325</v>
      </c>
      <c r="M435" s="103">
        <v>500000</v>
      </c>
      <c r="N435" s="216" t="s">
        <v>122</v>
      </c>
    </row>
    <row r="436" spans="1:14" hidden="1" x14ac:dyDescent="0.3">
      <c r="A436" s="131">
        <v>21</v>
      </c>
      <c r="B436" s="523"/>
      <c r="C436" s="130">
        <v>45434</v>
      </c>
      <c r="D436" s="216" t="s">
        <v>307</v>
      </c>
      <c r="E436" s="216" t="s">
        <v>323</v>
      </c>
      <c r="F436" s="216" t="s">
        <v>308</v>
      </c>
      <c r="G436" s="217" t="s">
        <v>1509</v>
      </c>
      <c r="H436" s="216" t="s">
        <v>363</v>
      </c>
      <c r="I436" s="217" t="s">
        <v>1862</v>
      </c>
      <c r="J436" s="216" t="s">
        <v>169</v>
      </c>
      <c r="K436" s="4" t="s">
        <v>1842</v>
      </c>
      <c r="L436" s="216" t="s">
        <v>325</v>
      </c>
      <c r="M436" s="103">
        <v>250000</v>
      </c>
      <c r="N436" s="216" t="s">
        <v>122</v>
      </c>
    </row>
    <row r="437" spans="1:14" ht="27" hidden="1" x14ac:dyDescent="0.3">
      <c r="A437" s="131">
        <v>21</v>
      </c>
      <c r="B437" s="523"/>
      <c r="C437" s="130" t="s">
        <v>1860</v>
      </c>
      <c r="D437" s="216" t="s">
        <v>307</v>
      </c>
      <c r="E437" s="216" t="s">
        <v>323</v>
      </c>
      <c r="F437" s="216" t="s">
        <v>308</v>
      </c>
      <c r="G437" s="217">
        <v>3306</v>
      </c>
      <c r="H437" s="216" t="s">
        <v>813</v>
      </c>
      <c r="I437" s="217" t="s">
        <v>611</v>
      </c>
      <c r="J437" s="216" t="s">
        <v>169</v>
      </c>
      <c r="K437" s="4" t="s">
        <v>1664</v>
      </c>
      <c r="L437" s="61" t="s">
        <v>210</v>
      </c>
      <c r="M437" s="103">
        <v>500000</v>
      </c>
      <c r="N437" s="49" t="s">
        <v>122</v>
      </c>
    </row>
    <row r="438" spans="1:14" ht="27" hidden="1" x14ac:dyDescent="0.3">
      <c r="A438" s="131">
        <v>21</v>
      </c>
      <c r="B438" s="524"/>
      <c r="C438" s="130" t="s">
        <v>1858</v>
      </c>
      <c r="D438" s="4" t="s">
        <v>19</v>
      </c>
      <c r="E438" s="4" t="s">
        <v>25</v>
      </c>
      <c r="F438" s="4" t="s">
        <v>20</v>
      </c>
      <c r="G438" s="217" t="s">
        <v>1856</v>
      </c>
      <c r="H438" s="216" t="s">
        <v>1857</v>
      </c>
      <c r="I438" s="217" t="s">
        <v>1843</v>
      </c>
      <c r="J438" s="216" t="s">
        <v>95</v>
      </c>
      <c r="K438" s="197" t="s">
        <v>1754</v>
      </c>
      <c r="L438" s="61" t="s">
        <v>210</v>
      </c>
      <c r="M438" s="103">
        <v>1000000</v>
      </c>
      <c r="N438" s="216" t="s">
        <v>248</v>
      </c>
    </row>
    <row r="439" spans="1:14" ht="27" hidden="1" x14ac:dyDescent="0.3">
      <c r="A439" s="131">
        <v>21</v>
      </c>
      <c r="B439" s="522" t="s">
        <v>97</v>
      </c>
      <c r="C439" s="130">
        <v>45433</v>
      </c>
      <c r="D439" s="3" t="s">
        <v>21</v>
      </c>
      <c r="E439" s="4" t="s">
        <v>17</v>
      </c>
      <c r="F439" s="3" t="s">
        <v>78</v>
      </c>
      <c r="G439" s="3" t="s">
        <v>1847</v>
      </c>
      <c r="H439" s="3" t="s">
        <v>23</v>
      </c>
      <c r="I439" s="5" t="s">
        <v>1390</v>
      </c>
      <c r="J439" s="14" t="s">
        <v>90</v>
      </c>
      <c r="K439" s="4" t="s">
        <v>68</v>
      </c>
      <c r="L439" s="91"/>
      <c r="M439" s="103">
        <v>300000</v>
      </c>
      <c r="N439" s="245" t="s">
        <v>1859</v>
      </c>
    </row>
    <row r="440" spans="1:14" ht="27" hidden="1" x14ac:dyDescent="0.3">
      <c r="A440" s="131">
        <v>21</v>
      </c>
      <c r="B440" s="523"/>
      <c r="C440" s="130">
        <v>45434</v>
      </c>
      <c r="D440" s="3" t="s">
        <v>139</v>
      </c>
      <c r="E440" s="4" t="s">
        <v>14</v>
      </c>
      <c r="F440" s="4" t="s">
        <v>1853</v>
      </c>
      <c r="G440" s="3" t="s">
        <v>1854</v>
      </c>
      <c r="H440" s="3" t="s">
        <v>23</v>
      </c>
      <c r="I440" s="5" t="s">
        <v>1850</v>
      </c>
      <c r="J440" s="14" t="s">
        <v>1852</v>
      </c>
      <c r="K440" s="184" t="s">
        <v>112</v>
      </c>
      <c r="L440" s="91"/>
      <c r="M440" s="103">
        <v>250000</v>
      </c>
      <c r="N440" s="245" t="s">
        <v>1195</v>
      </c>
    </row>
    <row r="441" spans="1:14" hidden="1" x14ac:dyDescent="0.3">
      <c r="A441" s="131">
        <v>21</v>
      </c>
      <c r="B441" s="523"/>
      <c r="C441" s="130">
        <v>45435</v>
      </c>
      <c r="D441" s="3" t="s">
        <v>21</v>
      </c>
      <c r="E441" s="4" t="s">
        <v>14</v>
      </c>
      <c r="F441" s="4" t="s">
        <v>26</v>
      </c>
      <c r="G441" s="4">
        <v>7060</v>
      </c>
      <c r="H441" s="3" t="s">
        <v>1849</v>
      </c>
      <c r="I441" s="5" t="s">
        <v>1851</v>
      </c>
      <c r="J441" s="14"/>
      <c r="K441" s="4" t="s">
        <v>68</v>
      </c>
      <c r="L441" s="91"/>
      <c r="M441" s="103">
        <v>300000</v>
      </c>
      <c r="N441" s="245" t="s">
        <v>1802</v>
      </c>
    </row>
    <row r="442" spans="1:14" hidden="1" x14ac:dyDescent="0.3">
      <c r="A442" s="131">
        <v>21</v>
      </c>
      <c r="B442" s="523"/>
      <c r="C442" s="130">
        <v>45437</v>
      </c>
      <c r="D442" s="35" t="s">
        <v>139</v>
      </c>
      <c r="E442" s="10" t="s">
        <v>14</v>
      </c>
      <c r="F442" s="10" t="s">
        <v>108</v>
      </c>
      <c r="G442" s="35" t="s">
        <v>271</v>
      </c>
      <c r="H442" s="35" t="s">
        <v>1396</v>
      </c>
      <c r="I442" s="5" t="s">
        <v>1581</v>
      </c>
      <c r="J442" s="33" t="s">
        <v>90</v>
      </c>
      <c r="K442" s="254" t="s">
        <v>643</v>
      </c>
      <c r="L442" s="246"/>
      <c r="M442" s="247">
        <v>500000</v>
      </c>
      <c r="N442" s="249" t="s">
        <v>1195</v>
      </c>
    </row>
    <row r="443" spans="1:14" s="27" customFormat="1" hidden="1" x14ac:dyDescent="0.3">
      <c r="A443" s="131">
        <v>21</v>
      </c>
      <c r="B443" s="524"/>
      <c r="C443" s="99">
        <v>45437</v>
      </c>
      <c r="D443" s="3" t="s">
        <v>21</v>
      </c>
      <c r="E443" s="4" t="s">
        <v>14</v>
      </c>
      <c r="F443" s="4" t="s">
        <v>108</v>
      </c>
      <c r="G443" s="3" t="s">
        <v>109</v>
      </c>
      <c r="H443" s="3" t="s">
        <v>378</v>
      </c>
      <c r="I443" s="9" t="s">
        <v>1848</v>
      </c>
      <c r="J443" s="14"/>
      <c r="K443" s="9" t="s">
        <v>489</v>
      </c>
      <c r="L443" s="6"/>
      <c r="M443" s="103">
        <v>500000</v>
      </c>
      <c r="N443" s="245" t="s">
        <v>1399</v>
      </c>
    </row>
    <row r="444" spans="1:14" hidden="1" x14ac:dyDescent="0.3">
      <c r="A444" s="131">
        <v>22</v>
      </c>
      <c r="B444" s="522" t="s">
        <v>124</v>
      </c>
      <c r="C444" s="99">
        <v>45439</v>
      </c>
      <c r="D444" s="133" t="s">
        <v>307</v>
      </c>
      <c r="E444" s="133" t="s">
        <v>323</v>
      </c>
      <c r="F444" s="133" t="s">
        <v>308</v>
      </c>
      <c r="G444" s="207" t="s">
        <v>1871</v>
      </c>
      <c r="H444" s="133" t="s">
        <v>280</v>
      </c>
      <c r="I444" s="207" t="s">
        <v>1869</v>
      </c>
      <c r="J444" s="133" t="s">
        <v>169</v>
      </c>
      <c r="K444" s="4" t="s">
        <v>119</v>
      </c>
      <c r="L444" s="61" t="s">
        <v>210</v>
      </c>
      <c r="M444" s="103">
        <v>500000</v>
      </c>
      <c r="N444" s="133" t="s">
        <v>122</v>
      </c>
    </row>
    <row r="445" spans="1:14" ht="27" hidden="1" x14ac:dyDescent="0.3">
      <c r="A445" s="131">
        <v>22</v>
      </c>
      <c r="B445" s="523"/>
      <c r="C445" s="16" t="s">
        <v>1875</v>
      </c>
      <c r="D445" s="133" t="s">
        <v>307</v>
      </c>
      <c r="E445" s="133" t="s">
        <v>323</v>
      </c>
      <c r="F445" s="133" t="s">
        <v>308</v>
      </c>
      <c r="G445" s="255" t="s">
        <v>1871</v>
      </c>
      <c r="H445" s="256" t="s">
        <v>265</v>
      </c>
      <c r="I445" s="207" t="s">
        <v>1251</v>
      </c>
      <c r="J445" s="133" t="s">
        <v>169</v>
      </c>
      <c r="K445" s="4" t="s">
        <v>1664</v>
      </c>
      <c r="L445" s="133" t="s">
        <v>325</v>
      </c>
      <c r="M445" s="103">
        <v>500000</v>
      </c>
      <c r="N445" s="133" t="s">
        <v>122</v>
      </c>
    </row>
    <row r="446" spans="1:14" hidden="1" x14ac:dyDescent="0.3">
      <c r="A446" s="131">
        <v>22</v>
      </c>
      <c r="B446" s="523"/>
      <c r="C446" s="99">
        <v>45441</v>
      </c>
      <c r="D446" s="133" t="s">
        <v>307</v>
      </c>
      <c r="E446" s="133" t="s">
        <v>323</v>
      </c>
      <c r="F446" s="133" t="s">
        <v>308</v>
      </c>
      <c r="G446" s="255" t="s">
        <v>1871</v>
      </c>
      <c r="H446" s="256" t="s">
        <v>265</v>
      </c>
      <c r="I446" s="207" t="s">
        <v>1876</v>
      </c>
      <c r="J446" s="133" t="s">
        <v>169</v>
      </c>
      <c r="K446" s="4" t="s">
        <v>41</v>
      </c>
      <c r="L446" s="133" t="s">
        <v>325</v>
      </c>
      <c r="M446" s="103">
        <v>250000</v>
      </c>
      <c r="N446" s="133" t="s">
        <v>122</v>
      </c>
    </row>
    <row r="447" spans="1:14" ht="27" hidden="1" x14ac:dyDescent="0.3">
      <c r="A447" s="131">
        <v>22</v>
      </c>
      <c r="B447" s="523"/>
      <c r="C447" s="99" t="s">
        <v>1877</v>
      </c>
      <c r="D447" s="133" t="s">
        <v>307</v>
      </c>
      <c r="E447" s="133" t="s">
        <v>323</v>
      </c>
      <c r="F447" s="133" t="s">
        <v>308</v>
      </c>
      <c r="G447" s="207">
        <v>3306</v>
      </c>
      <c r="H447" s="133" t="s">
        <v>1872</v>
      </c>
      <c r="I447" s="207" t="s">
        <v>1874</v>
      </c>
      <c r="J447" s="133" t="s">
        <v>169</v>
      </c>
      <c r="K447" s="4" t="s">
        <v>1878</v>
      </c>
      <c r="L447" s="133" t="s">
        <v>325</v>
      </c>
      <c r="M447" s="103">
        <v>750000</v>
      </c>
      <c r="N447" s="133" t="s">
        <v>122</v>
      </c>
    </row>
    <row r="448" spans="1:14" ht="27" hidden="1" x14ac:dyDescent="0.3">
      <c r="A448" s="131">
        <v>22</v>
      </c>
      <c r="B448" s="524"/>
      <c r="C448" s="99" t="s">
        <v>1870</v>
      </c>
      <c r="D448" s="133" t="s">
        <v>307</v>
      </c>
      <c r="E448" s="133" t="s">
        <v>323</v>
      </c>
      <c r="F448" s="133" t="s">
        <v>308</v>
      </c>
      <c r="G448" s="207" t="s">
        <v>1871</v>
      </c>
      <c r="H448" s="133" t="s">
        <v>463</v>
      </c>
      <c r="I448" s="207" t="s">
        <v>1868</v>
      </c>
      <c r="J448" s="133" t="s">
        <v>470</v>
      </c>
      <c r="K448" s="197" t="s">
        <v>1873</v>
      </c>
      <c r="L448" s="133" t="s">
        <v>325</v>
      </c>
      <c r="M448" s="103">
        <v>1000000</v>
      </c>
      <c r="N448" s="133" t="s">
        <v>248</v>
      </c>
    </row>
    <row r="449" spans="1:14" hidden="1" x14ac:dyDescent="0.3">
      <c r="A449" s="131">
        <v>22</v>
      </c>
      <c r="B449" s="522" t="s">
        <v>97</v>
      </c>
      <c r="C449" s="99">
        <v>45439</v>
      </c>
      <c r="D449" s="3" t="s">
        <v>21</v>
      </c>
      <c r="E449" s="4" t="s">
        <v>14</v>
      </c>
      <c r="F449" s="4" t="s">
        <v>212</v>
      </c>
      <c r="G449" s="4" t="s">
        <v>1030</v>
      </c>
      <c r="H449" s="3" t="s">
        <v>265</v>
      </c>
      <c r="I449" s="9" t="s">
        <v>1867</v>
      </c>
      <c r="J449" s="14"/>
      <c r="K449" s="290" t="s">
        <v>643</v>
      </c>
      <c r="L449" s="6" t="s">
        <v>15</v>
      </c>
      <c r="M449" s="103">
        <v>500000</v>
      </c>
      <c r="N449" s="245" t="s">
        <v>1880</v>
      </c>
    </row>
    <row r="450" spans="1:14" ht="27" hidden="1" x14ac:dyDescent="0.3">
      <c r="A450" s="131">
        <v>22</v>
      </c>
      <c r="B450" s="523"/>
      <c r="C450" s="16">
        <v>45440</v>
      </c>
      <c r="D450" s="3" t="s">
        <v>21</v>
      </c>
      <c r="E450" s="4" t="s">
        <v>17</v>
      </c>
      <c r="F450" s="4" t="s">
        <v>1853</v>
      </c>
      <c r="G450" s="3" t="s">
        <v>1854</v>
      </c>
      <c r="H450" s="3" t="s">
        <v>23</v>
      </c>
      <c r="I450" s="9" t="s">
        <v>1850</v>
      </c>
      <c r="J450" s="14" t="s">
        <v>1852</v>
      </c>
      <c r="K450" s="4" t="s">
        <v>119</v>
      </c>
      <c r="L450" s="6" t="s">
        <v>15</v>
      </c>
      <c r="M450" s="103">
        <v>500000</v>
      </c>
      <c r="N450" s="245" t="s">
        <v>1195</v>
      </c>
    </row>
    <row r="451" spans="1:14" hidden="1" x14ac:dyDescent="0.3">
      <c r="A451" s="131">
        <v>22</v>
      </c>
      <c r="B451" s="524"/>
      <c r="C451" s="16">
        <v>45442</v>
      </c>
      <c r="D451" s="3" t="s">
        <v>21</v>
      </c>
      <c r="E451" s="4" t="s">
        <v>14</v>
      </c>
      <c r="F451" s="3" t="s">
        <v>1796</v>
      </c>
      <c r="G451" s="3" t="s">
        <v>853</v>
      </c>
      <c r="H451" s="3" t="s">
        <v>103</v>
      </c>
      <c r="I451" s="9" t="s">
        <v>1879</v>
      </c>
      <c r="J451" s="14" t="s">
        <v>90</v>
      </c>
      <c r="K451" s="290" t="s">
        <v>688</v>
      </c>
      <c r="L451" s="6" t="s">
        <v>15</v>
      </c>
      <c r="M451" s="103">
        <v>250000</v>
      </c>
      <c r="N451" s="245" t="s">
        <v>1881</v>
      </c>
    </row>
    <row r="452" spans="1:14" hidden="1" x14ac:dyDescent="0.3">
      <c r="A452" s="131">
        <v>23</v>
      </c>
      <c r="B452" s="522" t="s">
        <v>2088</v>
      </c>
      <c r="C452" s="260" t="s">
        <v>1915</v>
      </c>
      <c r="D452" s="525" t="s">
        <v>307</v>
      </c>
      <c r="E452" s="525" t="s">
        <v>323</v>
      </c>
      <c r="F452" s="525" t="s">
        <v>308</v>
      </c>
      <c r="G452" s="525">
        <v>3306</v>
      </c>
      <c r="H452" s="525" t="s">
        <v>1156</v>
      </c>
      <c r="I452" s="525" t="s">
        <v>1916</v>
      </c>
      <c r="J452" s="525" t="s">
        <v>1113</v>
      </c>
      <c r="K452" s="525" t="s">
        <v>694</v>
      </c>
      <c r="L452" s="525" t="s">
        <v>325</v>
      </c>
      <c r="M452" s="525" t="s">
        <v>1917</v>
      </c>
      <c r="N452" s="525" t="s">
        <v>667</v>
      </c>
    </row>
    <row r="453" spans="1:14" hidden="1" x14ac:dyDescent="0.3">
      <c r="A453" s="131">
        <v>23</v>
      </c>
      <c r="B453" s="523"/>
      <c r="C453" s="260" t="s">
        <v>1918</v>
      </c>
      <c r="D453" s="526"/>
      <c r="E453" s="526"/>
      <c r="F453" s="526"/>
      <c r="G453" s="526"/>
      <c r="H453" s="526"/>
      <c r="I453" s="526"/>
      <c r="J453" s="526"/>
      <c r="K453" s="526"/>
      <c r="L453" s="526"/>
      <c r="M453" s="526"/>
      <c r="N453" s="526"/>
    </row>
    <row r="454" spans="1:14" hidden="1" x14ac:dyDescent="0.3">
      <c r="A454" s="131">
        <v>23</v>
      </c>
      <c r="B454" s="523"/>
      <c r="C454" s="260" t="s">
        <v>1919</v>
      </c>
      <c r="D454" s="525" t="s">
        <v>307</v>
      </c>
      <c r="E454" s="525" t="s">
        <v>323</v>
      </c>
      <c r="F454" s="525" t="s">
        <v>308</v>
      </c>
      <c r="G454" s="527" t="s">
        <v>1423</v>
      </c>
      <c r="H454" s="525" t="s">
        <v>1920</v>
      </c>
      <c r="I454" s="527" t="s">
        <v>1157</v>
      </c>
      <c r="J454" s="525" t="s">
        <v>666</v>
      </c>
      <c r="K454" s="624" t="s">
        <v>1772</v>
      </c>
      <c r="L454" s="525" t="s">
        <v>325</v>
      </c>
      <c r="M454" s="525" t="s">
        <v>1540</v>
      </c>
      <c r="N454" s="525" t="s">
        <v>667</v>
      </c>
    </row>
    <row r="455" spans="1:14" hidden="1" x14ac:dyDescent="0.3">
      <c r="A455" s="131">
        <v>23</v>
      </c>
      <c r="B455" s="523"/>
      <c r="C455" s="260" t="s">
        <v>1918</v>
      </c>
      <c r="D455" s="526"/>
      <c r="E455" s="526"/>
      <c r="F455" s="526"/>
      <c r="G455" s="528"/>
      <c r="H455" s="526"/>
      <c r="I455" s="528"/>
      <c r="J455" s="526"/>
      <c r="K455" s="625"/>
      <c r="L455" s="526"/>
      <c r="M455" s="526"/>
      <c r="N455" s="526"/>
    </row>
    <row r="456" spans="1:14" hidden="1" x14ac:dyDescent="0.3">
      <c r="A456" s="131">
        <v>23</v>
      </c>
      <c r="B456" s="523"/>
      <c r="C456" s="260" t="s">
        <v>1921</v>
      </c>
      <c r="D456" s="258" t="s">
        <v>307</v>
      </c>
      <c r="E456" s="258" t="s">
        <v>323</v>
      </c>
      <c r="F456" s="258" t="s">
        <v>308</v>
      </c>
      <c r="G456" s="259" t="s">
        <v>1922</v>
      </c>
      <c r="H456" s="258" t="s">
        <v>1923</v>
      </c>
      <c r="I456" s="259" t="s">
        <v>1924</v>
      </c>
      <c r="J456" s="258" t="s">
        <v>351</v>
      </c>
      <c r="K456" s="284" t="s">
        <v>1925</v>
      </c>
      <c r="L456" s="258" t="s">
        <v>325</v>
      </c>
      <c r="M456" s="258" t="s">
        <v>1917</v>
      </c>
      <c r="N456" s="258" t="s">
        <v>427</v>
      </c>
    </row>
    <row r="457" spans="1:14" hidden="1" x14ac:dyDescent="0.3">
      <c r="A457" s="131">
        <v>23</v>
      </c>
      <c r="B457" s="523"/>
      <c r="C457" s="260" t="s">
        <v>1926</v>
      </c>
      <c r="D457" s="525" t="s">
        <v>307</v>
      </c>
      <c r="E457" s="525" t="s">
        <v>323</v>
      </c>
      <c r="F457" s="525" t="s">
        <v>308</v>
      </c>
      <c r="G457" s="527">
        <v>4267</v>
      </c>
      <c r="H457" s="525" t="s">
        <v>642</v>
      </c>
      <c r="I457" s="527" t="s">
        <v>1157</v>
      </c>
      <c r="J457" s="525" t="s">
        <v>666</v>
      </c>
      <c r="K457" s="624" t="s">
        <v>1772</v>
      </c>
      <c r="L457" s="525" t="s">
        <v>325</v>
      </c>
      <c r="M457" s="525" t="s">
        <v>1540</v>
      </c>
      <c r="N457" s="525" t="s">
        <v>667</v>
      </c>
    </row>
    <row r="458" spans="1:14" hidden="1" x14ac:dyDescent="0.3">
      <c r="A458" s="131">
        <v>23</v>
      </c>
      <c r="B458" s="523"/>
      <c r="C458" s="260" t="s">
        <v>1927</v>
      </c>
      <c r="D458" s="526"/>
      <c r="E458" s="526"/>
      <c r="F458" s="526"/>
      <c r="G458" s="528"/>
      <c r="H458" s="526"/>
      <c r="I458" s="528"/>
      <c r="J458" s="526"/>
      <c r="K458" s="625"/>
      <c r="L458" s="526"/>
      <c r="M458" s="526"/>
      <c r="N458" s="526"/>
    </row>
    <row r="459" spans="1:14" hidden="1" x14ac:dyDescent="0.3">
      <c r="A459" s="131">
        <v>23</v>
      </c>
      <c r="B459" s="523"/>
      <c r="C459" s="260" t="s">
        <v>1926</v>
      </c>
      <c r="D459" s="525" t="s">
        <v>307</v>
      </c>
      <c r="E459" s="525" t="s">
        <v>323</v>
      </c>
      <c r="F459" s="525" t="s">
        <v>308</v>
      </c>
      <c r="G459" s="527" t="s">
        <v>1928</v>
      </c>
      <c r="H459" s="525" t="s">
        <v>664</v>
      </c>
      <c r="I459" s="527" t="s">
        <v>1929</v>
      </c>
      <c r="J459" s="525" t="s">
        <v>351</v>
      </c>
      <c r="K459" s="626" t="s">
        <v>1925</v>
      </c>
      <c r="L459" s="525" t="s">
        <v>325</v>
      </c>
      <c r="M459" s="525" t="s">
        <v>1540</v>
      </c>
      <c r="N459" s="525" t="s">
        <v>427</v>
      </c>
    </row>
    <row r="460" spans="1:14" hidden="1" x14ac:dyDescent="0.3">
      <c r="A460" s="131">
        <v>23</v>
      </c>
      <c r="B460" s="524"/>
      <c r="C460" s="261" t="s">
        <v>1927</v>
      </c>
      <c r="D460" s="526"/>
      <c r="E460" s="526"/>
      <c r="F460" s="526"/>
      <c r="G460" s="528"/>
      <c r="H460" s="526"/>
      <c r="I460" s="528"/>
      <c r="J460" s="526"/>
      <c r="K460" s="627"/>
      <c r="L460" s="526"/>
      <c r="M460" s="526"/>
      <c r="N460" s="526"/>
    </row>
    <row r="461" spans="1:14" hidden="1" x14ac:dyDescent="0.3">
      <c r="A461" s="131">
        <v>23</v>
      </c>
      <c r="B461" s="522" t="s">
        <v>2089</v>
      </c>
      <c r="C461" s="260" t="s">
        <v>1930</v>
      </c>
      <c r="D461" s="258" t="s">
        <v>312</v>
      </c>
      <c r="E461" s="258" t="s">
        <v>677</v>
      </c>
      <c r="F461" s="258" t="s">
        <v>372</v>
      </c>
      <c r="G461" s="121">
        <v>7060</v>
      </c>
      <c r="H461" s="121" t="s">
        <v>1931</v>
      </c>
      <c r="I461" s="259" t="s">
        <v>1932</v>
      </c>
      <c r="J461" s="258" t="s">
        <v>640</v>
      </c>
      <c r="K461" s="259" t="s">
        <v>1933</v>
      </c>
      <c r="L461" s="258" t="s">
        <v>310</v>
      </c>
      <c r="M461" s="258" t="s">
        <v>1837</v>
      </c>
      <c r="N461" s="259" t="s">
        <v>1934</v>
      </c>
    </row>
    <row r="462" spans="1:14" hidden="1" x14ac:dyDescent="0.3">
      <c r="A462" s="131">
        <v>23</v>
      </c>
      <c r="B462" s="523"/>
      <c r="C462" s="525" t="s">
        <v>1930</v>
      </c>
      <c r="D462" s="525" t="s">
        <v>312</v>
      </c>
      <c r="E462" s="525" t="s">
        <v>677</v>
      </c>
      <c r="F462" s="525" t="s">
        <v>1935</v>
      </c>
      <c r="G462" s="525" t="s">
        <v>1936</v>
      </c>
      <c r="H462" s="529" t="s">
        <v>349</v>
      </c>
      <c r="I462" s="259" t="s">
        <v>1937</v>
      </c>
      <c r="J462" s="525"/>
      <c r="K462" s="527" t="s">
        <v>1933</v>
      </c>
      <c r="L462" s="525" t="s">
        <v>310</v>
      </c>
      <c r="M462" s="525" t="s">
        <v>1837</v>
      </c>
      <c r="N462" s="527" t="s">
        <v>1934</v>
      </c>
    </row>
    <row r="463" spans="1:14" hidden="1" x14ac:dyDescent="0.3">
      <c r="A463" s="131">
        <v>23</v>
      </c>
      <c r="B463" s="523"/>
      <c r="C463" s="526"/>
      <c r="D463" s="526"/>
      <c r="E463" s="526"/>
      <c r="F463" s="526"/>
      <c r="G463" s="526"/>
      <c r="H463" s="530"/>
      <c r="I463" s="259" t="s">
        <v>1938</v>
      </c>
      <c r="J463" s="526"/>
      <c r="K463" s="528"/>
      <c r="L463" s="526"/>
      <c r="M463" s="526"/>
      <c r="N463" s="528"/>
    </row>
    <row r="464" spans="1:14" ht="24" hidden="1" x14ac:dyDescent="0.3">
      <c r="A464" s="131">
        <v>23</v>
      </c>
      <c r="B464" s="523"/>
      <c r="C464" s="262" t="s">
        <v>1921</v>
      </c>
      <c r="D464" s="121" t="s">
        <v>312</v>
      </c>
      <c r="E464" s="258" t="s">
        <v>321</v>
      </c>
      <c r="F464" s="121" t="s">
        <v>692</v>
      </c>
      <c r="G464" s="121" t="s">
        <v>1939</v>
      </c>
      <c r="H464" s="121" t="s">
        <v>664</v>
      </c>
      <c r="I464" s="259" t="s">
        <v>1940</v>
      </c>
      <c r="J464" s="258"/>
      <c r="K464" s="258" t="s">
        <v>1941</v>
      </c>
      <c r="L464" s="258" t="s">
        <v>310</v>
      </c>
      <c r="M464" s="258" t="s">
        <v>1942</v>
      </c>
      <c r="N464" s="259" t="s">
        <v>1943</v>
      </c>
    </row>
    <row r="465" spans="1:14" hidden="1" x14ac:dyDescent="0.3">
      <c r="A465" s="131">
        <v>23</v>
      </c>
      <c r="B465" s="524"/>
      <c r="C465" s="262" t="s">
        <v>1944</v>
      </c>
      <c r="D465" s="121" t="s">
        <v>312</v>
      </c>
      <c r="E465" s="258" t="s">
        <v>321</v>
      </c>
      <c r="F465" s="121" t="s">
        <v>338</v>
      </c>
      <c r="G465" s="121" t="s">
        <v>355</v>
      </c>
      <c r="H465" s="121" t="s">
        <v>1945</v>
      </c>
      <c r="I465" s="259" t="s">
        <v>1946</v>
      </c>
      <c r="J465" s="258" t="s">
        <v>640</v>
      </c>
      <c r="K465" s="288" t="s">
        <v>700</v>
      </c>
      <c r="L465" s="258" t="s">
        <v>310</v>
      </c>
      <c r="M465" s="258" t="s">
        <v>1819</v>
      </c>
      <c r="N465" s="259" t="s">
        <v>1781</v>
      </c>
    </row>
    <row r="466" spans="1:14" ht="27" hidden="1" x14ac:dyDescent="0.3">
      <c r="A466" s="131">
        <v>24</v>
      </c>
      <c r="B466" s="522" t="s">
        <v>2090</v>
      </c>
      <c r="C466" s="99" t="s">
        <v>1949</v>
      </c>
      <c r="D466" s="216" t="s">
        <v>307</v>
      </c>
      <c r="E466" s="216" t="s">
        <v>323</v>
      </c>
      <c r="F466" s="216" t="s">
        <v>308</v>
      </c>
      <c r="G466" s="217" t="s">
        <v>1523</v>
      </c>
      <c r="H466" s="216" t="s">
        <v>484</v>
      </c>
      <c r="I466" s="217" t="s">
        <v>1953</v>
      </c>
      <c r="J466" s="216" t="s">
        <v>169</v>
      </c>
      <c r="K466" s="286" t="s">
        <v>1664</v>
      </c>
      <c r="L466" s="216" t="s">
        <v>325</v>
      </c>
      <c r="M466" s="103">
        <v>500000</v>
      </c>
      <c r="N466" s="216" t="s">
        <v>122</v>
      </c>
    </row>
    <row r="467" spans="1:14" ht="27" hidden="1" x14ac:dyDescent="0.3">
      <c r="A467" s="131">
        <v>24</v>
      </c>
      <c r="B467" s="523"/>
      <c r="C467" s="99" t="s">
        <v>1950</v>
      </c>
      <c r="D467" s="216" t="s">
        <v>307</v>
      </c>
      <c r="E467" s="216" t="s">
        <v>323</v>
      </c>
      <c r="F467" s="216" t="s">
        <v>308</v>
      </c>
      <c r="G467" s="217">
        <v>4267</v>
      </c>
      <c r="H467" s="216" t="s">
        <v>18</v>
      </c>
      <c r="I467" s="217" t="s">
        <v>1953</v>
      </c>
      <c r="J467" s="216" t="s">
        <v>169</v>
      </c>
      <c r="K467" s="286" t="s">
        <v>1664</v>
      </c>
      <c r="L467" s="216" t="s">
        <v>325</v>
      </c>
      <c r="M467" s="103">
        <v>500000</v>
      </c>
      <c r="N467" s="216" t="s">
        <v>122</v>
      </c>
    </row>
    <row r="468" spans="1:14" hidden="1" x14ac:dyDescent="0.3">
      <c r="A468" s="131">
        <v>24</v>
      </c>
      <c r="B468" s="523"/>
      <c r="C468" s="99" t="s">
        <v>1951</v>
      </c>
      <c r="D468" s="216" t="s">
        <v>307</v>
      </c>
      <c r="E468" s="216" t="s">
        <v>323</v>
      </c>
      <c r="F468" s="216" t="s">
        <v>308</v>
      </c>
      <c r="G468" s="217">
        <v>3306</v>
      </c>
      <c r="H468" s="216" t="s">
        <v>1021</v>
      </c>
      <c r="I468" s="217" t="s">
        <v>1952</v>
      </c>
      <c r="J468" s="216" t="s">
        <v>169</v>
      </c>
      <c r="K468" s="286" t="s">
        <v>1842</v>
      </c>
      <c r="L468" s="216"/>
      <c r="M468" s="103">
        <v>250000</v>
      </c>
      <c r="N468" s="216" t="s">
        <v>122</v>
      </c>
    </row>
    <row r="469" spans="1:14" ht="27" hidden="1" x14ac:dyDescent="0.3">
      <c r="A469" s="131">
        <v>24</v>
      </c>
      <c r="B469" s="524"/>
      <c r="C469" s="99" t="s">
        <v>1954</v>
      </c>
      <c r="D469" s="216" t="s">
        <v>307</v>
      </c>
      <c r="E469" s="216" t="s">
        <v>323</v>
      </c>
      <c r="F469" s="216" t="s">
        <v>308</v>
      </c>
      <c r="G469" s="217" t="s">
        <v>1615</v>
      </c>
      <c r="H469" s="216" t="s">
        <v>265</v>
      </c>
      <c r="I469" s="217" t="s">
        <v>1883</v>
      </c>
      <c r="J469" s="216" t="s">
        <v>95</v>
      </c>
      <c r="K469" s="285" t="s">
        <v>1955</v>
      </c>
      <c r="L469" s="216" t="s">
        <v>325</v>
      </c>
      <c r="M469" s="103">
        <v>1500000</v>
      </c>
      <c r="N469" s="216" t="s">
        <v>1029</v>
      </c>
    </row>
    <row r="470" spans="1:14" ht="27" hidden="1" x14ac:dyDescent="0.3">
      <c r="A470" s="131">
        <v>24</v>
      </c>
      <c r="B470" s="522" t="s">
        <v>2091</v>
      </c>
      <c r="C470" s="99">
        <v>45454</v>
      </c>
      <c r="D470" s="4" t="s">
        <v>21</v>
      </c>
      <c r="E470" s="4" t="s">
        <v>17</v>
      </c>
      <c r="F470" s="3" t="s">
        <v>78</v>
      </c>
      <c r="G470" s="3" t="s">
        <v>1563</v>
      </c>
      <c r="H470" s="3" t="s">
        <v>143</v>
      </c>
      <c r="I470" s="5" t="s">
        <v>1948</v>
      </c>
      <c r="J470" s="14" t="s">
        <v>203</v>
      </c>
      <c r="K470" s="289" t="s">
        <v>489</v>
      </c>
      <c r="L470" s="91" t="s">
        <v>15</v>
      </c>
      <c r="M470" s="103">
        <v>500000</v>
      </c>
      <c r="N470" s="245" t="s">
        <v>1885</v>
      </c>
    </row>
    <row r="471" spans="1:14" hidden="1" x14ac:dyDescent="0.3">
      <c r="A471" s="131">
        <v>24</v>
      </c>
      <c r="B471" s="523"/>
      <c r="C471" s="99">
        <v>45455</v>
      </c>
      <c r="D471" s="3" t="s">
        <v>21</v>
      </c>
      <c r="E471" s="4" t="s">
        <v>14</v>
      </c>
      <c r="F471" s="3" t="s">
        <v>1902</v>
      </c>
      <c r="G471" s="3" t="s">
        <v>1328</v>
      </c>
      <c r="H471" s="3" t="s">
        <v>1396</v>
      </c>
      <c r="I471" s="9" t="s">
        <v>1528</v>
      </c>
      <c r="J471" s="14" t="s">
        <v>1901</v>
      </c>
      <c r="K471" s="4" t="s">
        <v>154</v>
      </c>
      <c r="L471" s="91" t="s">
        <v>15</v>
      </c>
      <c r="M471" s="103">
        <v>250000</v>
      </c>
      <c r="N471" s="245" t="s">
        <v>1886</v>
      </c>
    </row>
    <row r="472" spans="1:14" hidden="1" x14ac:dyDescent="0.3">
      <c r="A472" s="131">
        <v>24</v>
      </c>
      <c r="B472" s="523"/>
      <c r="C472" s="99">
        <v>45456</v>
      </c>
      <c r="D472" s="3" t="s">
        <v>21</v>
      </c>
      <c r="E472" s="4" t="s">
        <v>14</v>
      </c>
      <c r="F472" s="3" t="s">
        <v>1588</v>
      </c>
      <c r="G472" s="3" t="s">
        <v>1907</v>
      </c>
      <c r="H472" s="3" t="s">
        <v>1908</v>
      </c>
      <c r="I472" s="5" t="s">
        <v>1913</v>
      </c>
      <c r="J472" s="14" t="s">
        <v>1909</v>
      </c>
      <c r="K472" s="305" t="s">
        <v>1910</v>
      </c>
      <c r="L472" s="91" t="s">
        <v>15</v>
      </c>
      <c r="M472" s="103">
        <v>250000</v>
      </c>
      <c r="N472" s="245" t="s">
        <v>1887</v>
      </c>
    </row>
    <row r="473" spans="1:14" ht="27" hidden="1" x14ac:dyDescent="0.3">
      <c r="A473" s="131">
        <v>24</v>
      </c>
      <c r="B473" s="523"/>
      <c r="C473" s="16">
        <v>45457</v>
      </c>
      <c r="D473" s="3" t="s">
        <v>21</v>
      </c>
      <c r="E473" s="4" t="s">
        <v>14</v>
      </c>
      <c r="F473" s="3" t="s">
        <v>1796</v>
      </c>
      <c r="G473" s="3" t="s">
        <v>853</v>
      </c>
      <c r="H473" s="3" t="s">
        <v>103</v>
      </c>
      <c r="I473" s="5" t="s">
        <v>1947</v>
      </c>
      <c r="J473" s="14" t="s">
        <v>1909</v>
      </c>
      <c r="K473" s="290" t="s">
        <v>1910</v>
      </c>
      <c r="L473" s="91" t="s">
        <v>15</v>
      </c>
      <c r="M473" s="103">
        <v>250000</v>
      </c>
      <c r="N473" s="245" t="s">
        <v>1887</v>
      </c>
    </row>
    <row r="474" spans="1:14" ht="27" hidden="1" x14ac:dyDescent="0.3">
      <c r="A474" s="131">
        <v>24</v>
      </c>
      <c r="B474" s="524"/>
      <c r="C474" s="16">
        <v>45458</v>
      </c>
      <c r="D474" s="3" t="s">
        <v>21</v>
      </c>
      <c r="E474" s="4" t="s">
        <v>14</v>
      </c>
      <c r="F474" s="3" t="s">
        <v>108</v>
      </c>
      <c r="G474" s="3" t="s">
        <v>1903</v>
      </c>
      <c r="H474" s="3" t="s">
        <v>1904</v>
      </c>
      <c r="I474" s="9" t="s">
        <v>1905</v>
      </c>
      <c r="J474" s="14" t="s">
        <v>90</v>
      </c>
      <c r="K474" s="290" t="s">
        <v>1906</v>
      </c>
      <c r="L474" s="91" t="s">
        <v>15</v>
      </c>
      <c r="M474" s="103">
        <v>250000</v>
      </c>
      <c r="N474" s="245" t="s">
        <v>1887</v>
      </c>
    </row>
    <row r="475" spans="1:14" hidden="1" x14ac:dyDescent="0.3">
      <c r="A475" s="131">
        <v>25</v>
      </c>
      <c r="B475" s="522" t="s">
        <v>2092</v>
      </c>
      <c r="C475" s="99" t="s">
        <v>1967</v>
      </c>
      <c r="D475" s="133" t="s">
        <v>307</v>
      </c>
      <c r="E475" s="216" t="s">
        <v>323</v>
      </c>
      <c r="F475" s="216" t="s">
        <v>308</v>
      </c>
      <c r="G475" s="217" t="s">
        <v>1523</v>
      </c>
      <c r="H475" s="216" t="s">
        <v>484</v>
      </c>
      <c r="I475" s="217" t="s">
        <v>1965</v>
      </c>
      <c r="J475" s="216" t="s">
        <v>169</v>
      </c>
      <c r="K475" s="286" t="s">
        <v>1966</v>
      </c>
      <c r="L475" s="216" t="s">
        <v>325</v>
      </c>
      <c r="M475" s="103">
        <v>250000</v>
      </c>
      <c r="N475" s="216" t="s">
        <v>122</v>
      </c>
    </row>
    <row r="476" spans="1:14" ht="27" hidden="1" x14ac:dyDescent="0.3">
      <c r="A476" s="131">
        <v>25</v>
      </c>
      <c r="B476" s="523"/>
      <c r="C476" s="99" t="s">
        <v>1963</v>
      </c>
      <c r="D476" s="133" t="s">
        <v>307</v>
      </c>
      <c r="E476" s="216" t="s">
        <v>323</v>
      </c>
      <c r="F476" s="216" t="s">
        <v>308</v>
      </c>
      <c r="G476" s="217">
        <v>3306</v>
      </c>
      <c r="H476" s="216" t="s">
        <v>1021</v>
      </c>
      <c r="I476" s="217" t="s">
        <v>1968</v>
      </c>
      <c r="J476" s="216" t="s">
        <v>169</v>
      </c>
      <c r="K476" s="286" t="s">
        <v>1664</v>
      </c>
      <c r="L476" s="216" t="s">
        <v>325</v>
      </c>
      <c r="M476" s="103">
        <v>500000</v>
      </c>
      <c r="N476" s="216" t="s">
        <v>122</v>
      </c>
    </row>
    <row r="477" spans="1:14" ht="27" hidden="1" x14ac:dyDescent="0.3">
      <c r="A477" s="131">
        <v>25</v>
      </c>
      <c r="B477" s="523"/>
      <c r="C477" s="99" t="s">
        <v>1974</v>
      </c>
      <c r="D477" s="133" t="s">
        <v>307</v>
      </c>
      <c r="E477" s="216" t="s">
        <v>323</v>
      </c>
      <c r="F477" s="216" t="s">
        <v>308</v>
      </c>
      <c r="G477" s="217" t="s">
        <v>1329</v>
      </c>
      <c r="H477" s="216" t="s">
        <v>83</v>
      </c>
      <c r="I477" s="217" t="s">
        <v>1972</v>
      </c>
      <c r="J477" s="216" t="s">
        <v>169</v>
      </c>
      <c r="K477" s="286" t="s">
        <v>1664</v>
      </c>
      <c r="L477" s="216"/>
      <c r="M477" s="103">
        <v>500000</v>
      </c>
      <c r="N477" s="216" t="s">
        <v>122</v>
      </c>
    </row>
    <row r="478" spans="1:14" ht="27" hidden="1" x14ac:dyDescent="0.3">
      <c r="A478" s="131">
        <v>25</v>
      </c>
      <c r="B478" s="524"/>
      <c r="C478" s="99" t="s">
        <v>1963</v>
      </c>
      <c r="D478" s="133" t="s">
        <v>307</v>
      </c>
      <c r="E478" s="216" t="s">
        <v>323</v>
      </c>
      <c r="F478" s="216" t="s">
        <v>308</v>
      </c>
      <c r="G478" s="217" t="s">
        <v>1534</v>
      </c>
      <c r="H478" s="216" t="s">
        <v>40</v>
      </c>
      <c r="I478" s="217" t="s">
        <v>1964</v>
      </c>
      <c r="J478" s="216" t="s">
        <v>95</v>
      </c>
      <c r="K478" s="285" t="s">
        <v>1754</v>
      </c>
      <c r="L478" s="216" t="s">
        <v>325</v>
      </c>
      <c r="M478" s="103">
        <v>1000000</v>
      </c>
      <c r="N478" s="216" t="s">
        <v>248</v>
      </c>
    </row>
    <row r="479" spans="1:14" ht="27" hidden="1" x14ac:dyDescent="0.3">
      <c r="A479" s="131">
        <v>25</v>
      </c>
      <c r="B479" s="522" t="s">
        <v>2093</v>
      </c>
      <c r="C479" s="99">
        <v>45460</v>
      </c>
      <c r="D479" s="4" t="s">
        <v>21</v>
      </c>
      <c r="E479" s="4" t="s">
        <v>17</v>
      </c>
      <c r="F479" s="3" t="s">
        <v>78</v>
      </c>
      <c r="G479" s="3" t="s">
        <v>1563</v>
      </c>
      <c r="H479" s="3" t="s">
        <v>143</v>
      </c>
      <c r="I479" s="5" t="s">
        <v>1948</v>
      </c>
      <c r="J479" s="14" t="s">
        <v>203</v>
      </c>
      <c r="K479" s="289" t="s">
        <v>489</v>
      </c>
      <c r="L479" s="91" t="s">
        <v>69</v>
      </c>
      <c r="M479" s="103">
        <v>500000</v>
      </c>
      <c r="N479" s="245" t="s">
        <v>1973</v>
      </c>
    </row>
    <row r="480" spans="1:14" ht="27" hidden="1" x14ac:dyDescent="0.3">
      <c r="A480" s="131">
        <v>25</v>
      </c>
      <c r="B480" s="523"/>
      <c r="C480" s="99">
        <v>45461</v>
      </c>
      <c r="D480" s="3" t="s">
        <v>21</v>
      </c>
      <c r="E480" s="4" t="s">
        <v>17</v>
      </c>
      <c r="F480" s="3" t="s">
        <v>78</v>
      </c>
      <c r="G480" s="3" t="s">
        <v>1957</v>
      </c>
      <c r="H480" s="3" t="s">
        <v>40</v>
      </c>
      <c r="I480" s="5" t="s">
        <v>1970</v>
      </c>
      <c r="J480" s="14" t="s">
        <v>90</v>
      </c>
      <c r="K480" s="289" t="s">
        <v>687</v>
      </c>
      <c r="L480" s="91" t="s">
        <v>69</v>
      </c>
      <c r="M480" s="103">
        <v>500000</v>
      </c>
      <c r="N480" s="245" t="s">
        <v>1971</v>
      </c>
    </row>
    <row r="481" spans="1:14" ht="27" hidden="1" x14ac:dyDescent="0.3">
      <c r="A481" s="248">
        <v>25</v>
      </c>
      <c r="B481" s="524"/>
      <c r="C481" s="264">
        <v>45463</v>
      </c>
      <c r="D481" s="264" t="s">
        <v>21</v>
      </c>
      <c r="E481" s="264" t="s">
        <v>17</v>
      </c>
      <c r="F481" s="264" t="s">
        <v>955</v>
      </c>
      <c r="G481" s="264" t="s">
        <v>1960</v>
      </c>
      <c r="H481" s="265" t="s">
        <v>206</v>
      </c>
      <c r="I481" s="265" t="s">
        <v>1961</v>
      </c>
      <c r="J481" s="280"/>
      <c r="K481" s="264" t="s">
        <v>256</v>
      </c>
      <c r="L481" s="281" t="s">
        <v>69</v>
      </c>
      <c r="M481" s="282">
        <v>300000</v>
      </c>
      <c r="N481" s="283" t="s">
        <v>1885</v>
      </c>
    </row>
    <row r="482" spans="1:14" ht="27" hidden="1" x14ac:dyDescent="0.3">
      <c r="A482" s="131">
        <v>26</v>
      </c>
      <c r="B482" s="522" t="s">
        <v>2030</v>
      </c>
      <c r="C482" s="99" t="s">
        <v>1983</v>
      </c>
      <c r="D482" s="133" t="s">
        <v>307</v>
      </c>
      <c r="E482" s="133" t="s">
        <v>323</v>
      </c>
      <c r="F482" s="133" t="s">
        <v>308</v>
      </c>
      <c r="G482" s="207" t="s">
        <v>1981</v>
      </c>
      <c r="H482" s="133" t="s">
        <v>1982</v>
      </c>
      <c r="I482" s="207" t="s">
        <v>1984</v>
      </c>
      <c r="J482" s="133" t="s">
        <v>169</v>
      </c>
      <c r="K482" s="286" t="s">
        <v>1664</v>
      </c>
      <c r="L482" s="133" t="s">
        <v>210</v>
      </c>
      <c r="M482" s="103">
        <v>500000</v>
      </c>
      <c r="N482" s="133" t="s">
        <v>122</v>
      </c>
    </row>
    <row r="483" spans="1:14" hidden="1" x14ac:dyDescent="0.3">
      <c r="A483" s="131">
        <v>26</v>
      </c>
      <c r="B483" s="523"/>
      <c r="C483" s="99">
        <v>45469</v>
      </c>
      <c r="D483" s="133" t="s">
        <v>307</v>
      </c>
      <c r="E483" s="133" t="s">
        <v>323</v>
      </c>
      <c r="F483" s="133" t="s">
        <v>308</v>
      </c>
      <c r="G483" s="207">
        <v>4267</v>
      </c>
      <c r="H483" s="133" t="s">
        <v>126</v>
      </c>
      <c r="I483" s="207" t="s">
        <v>1987</v>
      </c>
      <c r="J483" s="133" t="s">
        <v>169</v>
      </c>
      <c r="K483" s="286" t="s">
        <v>1966</v>
      </c>
      <c r="L483" s="133"/>
      <c r="M483" s="103">
        <v>250000</v>
      </c>
      <c r="N483" s="133" t="s">
        <v>122</v>
      </c>
    </row>
    <row r="484" spans="1:14" ht="27" hidden="1" x14ac:dyDescent="0.3">
      <c r="A484" s="131">
        <v>26</v>
      </c>
      <c r="B484" s="523"/>
      <c r="C484" s="99" t="s">
        <v>1977</v>
      </c>
      <c r="D484" s="133" t="s">
        <v>307</v>
      </c>
      <c r="E484" s="133" t="s">
        <v>323</v>
      </c>
      <c r="F484" s="133" t="s">
        <v>308</v>
      </c>
      <c r="G484" s="207" t="s">
        <v>1978</v>
      </c>
      <c r="H484" s="133" t="s">
        <v>1979</v>
      </c>
      <c r="I484" s="207" t="s">
        <v>1972</v>
      </c>
      <c r="J484" s="133" t="s">
        <v>169</v>
      </c>
      <c r="K484" s="286" t="s">
        <v>1664</v>
      </c>
      <c r="L484" s="133" t="s">
        <v>325</v>
      </c>
      <c r="M484" s="103">
        <v>500000</v>
      </c>
      <c r="N484" s="133" t="s">
        <v>122</v>
      </c>
    </row>
    <row r="485" spans="1:14" ht="27" hidden="1" x14ac:dyDescent="0.3">
      <c r="A485" s="131">
        <v>26</v>
      </c>
      <c r="B485" s="523"/>
      <c r="C485" s="99" t="s">
        <v>1986</v>
      </c>
      <c r="D485" s="133" t="s">
        <v>307</v>
      </c>
      <c r="E485" s="133" t="s">
        <v>323</v>
      </c>
      <c r="F485" s="133" t="s">
        <v>308</v>
      </c>
      <c r="G485" s="207" t="s">
        <v>1385</v>
      </c>
      <c r="H485" s="133" t="s">
        <v>484</v>
      </c>
      <c r="I485" s="207" t="s">
        <v>835</v>
      </c>
      <c r="J485" s="133" t="s">
        <v>95</v>
      </c>
      <c r="K485" s="285" t="s">
        <v>1884</v>
      </c>
      <c r="L485" s="133"/>
      <c r="M485" s="103">
        <v>500000</v>
      </c>
      <c r="N485" s="133" t="s">
        <v>248</v>
      </c>
    </row>
    <row r="486" spans="1:14" hidden="1" x14ac:dyDescent="0.3">
      <c r="A486" s="131">
        <v>26</v>
      </c>
      <c r="B486" s="524"/>
      <c r="C486" s="99">
        <v>45472</v>
      </c>
      <c r="D486" s="133" t="s">
        <v>307</v>
      </c>
      <c r="E486" s="133" t="s">
        <v>323</v>
      </c>
      <c r="F486" s="133" t="s">
        <v>308</v>
      </c>
      <c r="G486" s="207">
        <v>3306</v>
      </c>
      <c r="H486" s="133" t="s">
        <v>1021</v>
      </c>
      <c r="I486" s="207" t="s">
        <v>1985</v>
      </c>
      <c r="J486" s="133" t="s">
        <v>95</v>
      </c>
      <c r="K486" s="285" t="s">
        <v>1754</v>
      </c>
      <c r="L486" s="133" t="s">
        <v>325</v>
      </c>
      <c r="M486" s="103">
        <v>1000000</v>
      </c>
      <c r="N486" s="133" t="s">
        <v>248</v>
      </c>
    </row>
    <row r="487" spans="1:14" ht="27" hidden="1" x14ac:dyDescent="0.3">
      <c r="A487" s="131">
        <v>26</v>
      </c>
      <c r="B487" s="522" t="s">
        <v>2094</v>
      </c>
      <c r="C487" s="99">
        <v>45467</v>
      </c>
      <c r="D487" s="4" t="s">
        <v>21</v>
      </c>
      <c r="E487" s="4" t="s">
        <v>17</v>
      </c>
      <c r="F487" s="3" t="s">
        <v>1389</v>
      </c>
      <c r="G487" s="263" t="s">
        <v>1976</v>
      </c>
      <c r="H487" s="9" t="s">
        <v>23</v>
      </c>
      <c r="I487" s="9" t="s">
        <v>1975</v>
      </c>
      <c r="J487" s="14"/>
      <c r="K487" s="4" t="s">
        <v>68</v>
      </c>
      <c r="L487" s="6" t="s">
        <v>69</v>
      </c>
      <c r="M487" s="103">
        <v>300000</v>
      </c>
      <c r="N487" s="8" t="s">
        <v>1885</v>
      </c>
    </row>
    <row r="488" spans="1:14" hidden="1" x14ac:dyDescent="0.3">
      <c r="A488" s="131">
        <v>26</v>
      </c>
      <c r="B488" s="523"/>
      <c r="C488" s="99">
        <v>45468</v>
      </c>
      <c r="D488" s="4" t="s">
        <v>21</v>
      </c>
      <c r="E488" s="4" t="s">
        <v>14</v>
      </c>
      <c r="F488" s="3" t="s">
        <v>157</v>
      </c>
      <c r="G488" s="3" t="s">
        <v>1328</v>
      </c>
      <c r="H488" s="3" t="s">
        <v>37</v>
      </c>
      <c r="I488" s="9" t="s">
        <v>1992</v>
      </c>
      <c r="J488" s="14" t="s">
        <v>90</v>
      </c>
      <c r="K488" s="4" t="s">
        <v>68</v>
      </c>
      <c r="L488" s="6" t="s">
        <v>69</v>
      </c>
      <c r="M488" s="103">
        <v>300000</v>
      </c>
      <c r="N488" s="8" t="s">
        <v>1993</v>
      </c>
    </row>
    <row r="489" spans="1:14" ht="27" hidden="1" x14ac:dyDescent="0.3">
      <c r="A489" s="131">
        <v>26</v>
      </c>
      <c r="B489" s="523"/>
      <c r="C489" s="99">
        <v>45469</v>
      </c>
      <c r="D489" s="3" t="s">
        <v>21</v>
      </c>
      <c r="E489" s="4" t="s">
        <v>14</v>
      </c>
      <c r="F489" s="3" t="s">
        <v>212</v>
      </c>
      <c r="G489" s="3" t="s">
        <v>1030</v>
      </c>
      <c r="H489" s="3" t="s">
        <v>265</v>
      </c>
      <c r="I489" s="9" t="s">
        <v>1988</v>
      </c>
      <c r="J489" s="14" t="s">
        <v>90</v>
      </c>
      <c r="K489" s="291" t="s">
        <v>688</v>
      </c>
      <c r="L489" s="6" t="s">
        <v>69</v>
      </c>
      <c r="M489" s="103">
        <v>250000</v>
      </c>
      <c r="N489" s="8" t="s">
        <v>1990</v>
      </c>
    </row>
    <row r="490" spans="1:14" hidden="1" x14ac:dyDescent="0.3">
      <c r="A490" s="131">
        <v>26</v>
      </c>
      <c r="B490" s="523"/>
      <c r="C490" s="99">
        <v>45471</v>
      </c>
      <c r="D490" s="4" t="s">
        <v>21</v>
      </c>
      <c r="E490" s="4" t="s">
        <v>14</v>
      </c>
      <c r="F490" s="3" t="s">
        <v>157</v>
      </c>
      <c r="G490" s="3" t="s">
        <v>1328</v>
      </c>
      <c r="H490" s="3" t="s">
        <v>37</v>
      </c>
      <c r="I490" s="9" t="s">
        <v>1528</v>
      </c>
      <c r="J490" s="14" t="s">
        <v>90</v>
      </c>
      <c r="K490" s="4" t="s">
        <v>823</v>
      </c>
      <c r="L490" s="6" t="s">
        <v>69</v>
      </c>
      <c r="M490" s="103">
        <v>250000</v>
      </c>
      <c r="N490" s="8" t="s">
        <v>129</v>
      </c>
    </row>
    <row r="491" spans="1:14" ht="27" hidden="1" x14ac:dyDescent="0.3">
      <c r="A491" s="131">
        <v>26</v>
      </c>
      <c r="B491" s="524"/>
      <c r="C491" s="99">
        <v>45472</v>
      </c>
      <c r="D491" s="4" t="s">
        <v>21</v>
      </c>
      <c r="E491" s="4" t="s">
        <v>14</v>
      </c>
      <c r="F491" s="4" t="s">
        <v>108</v>
      </c>
      <c r="G491" s="4" t="s">
        <v>271</v>
      </c>
      <c r="H491" s="9" t="s">
        <v>206</v>
      </c>
      <c r="I491" s="9" t="s">
        <v>1991</v>
      </c>
      <c r="J491" s="14" t="s">
        <v>783</v>
      </c>
      <c r="K491" s="308" t="s">
        <v>154</v>
      </c>
      <c r="L491" s="6" t="s">
        <v>1914</v>
      </c>
      <c r="M491" s="103">
        <v>250000</v>
      </c>
      <c r="N491" s="245" t="s">
        <v>1989</v>
      </c>
    </row>
    <row r="492" spans="1:14" ht="27" hidden="1" x14ac:dyDescent="0.3">
      <c r="A492" s="131">
        <v>27</v>
      </c>
      <c r="B492" s="522" t="s">
        <v>2123</v>
      </c>
      <c r="C492" s="99" t="s">
        <v>2096</v>
      </c>
      <c r="D492" s="133" t="s">
        <v>307</v>
      </c>
      <c r="E492" s="133" t="s">
        <v>323</v>
      </c>
      <c r="F492" s="133" t="s">
        <v>308</v>
      </c>
      <c r="G492" s="207" t="s">
        <v>1978</v>
      </c>
      <c r="H492" s="133" t="s">
        <v>1904</v>
      </c>
      <c r="I492" s="207" t="s">
        <v>1972</v>
      </c>
      <c r="J492" s="133" t="s">
        <v>169</v>
      </c>
      <c r="K492" s="193" t="s">
        <v>1664</v>
      </c>
      <c r="L492" s="133" t="s">
        <v>210</v>
      </c>
      <c r="M492" s="103">
        <v>500000</v>
      </c>
      <c r="N492" s="133" t="s">
        <v>122</v>
      </c>
    </row>
    <row r="493" spans="1:14" hidden="1" x14ac:dyDescent="0.3">
      <c r="A493" s="131">
        <v>27</v>
      </c>
      <c r="B493" s="523"/>
      <c r="C493" s="99">
        <v>45476</v>
      </c>
      <c r="D493" s="133" t="s">
        <v>307</v>
      </c>
      <c r="E493" s="133" t="s">
        <v>323</v>
      </c>
      <c r="F493" s="133" t="s">
        <v>308</v>
      </c>
      <c r="G493" s="207">
        <v>4267</v>
      </c>
      <c r="H493" s="133" t="s">
        <v>126</v>
      </c>
      <c r="I493" s="207" t="s">
        <v>2099</v>
      </c>
      <c r="J493" s="133" t="s">
        <v>169</v>
      </c>
      <c r="K493" s="193" t="s">
        <v>1842</v>
      </c>
      <c r="L493" s="133"/>
      <c r="M493" s="103">
        <v>250000</v>
      </c>
      <c r="N493" s="133" t="s">
        <v>122</v>
      </c>
    </row>
    <row r="494" spans="1:14" ht="27" hidden="1" x14ac:dyDescent="0.3">
      <c r="A494" s="131">
        <v>27</v>
      </c>
      <c r="B494" s="523"/>
      <c r="C494" s="99" t="s">
        <v>2097</v>
      </c>
      <c r="D494" s="133" t="s">
        <v>307</v>
      </c>
      <c r="E494" s="133" t="s">
        <v>323</v>
      </c>
      <c r="F494" s="133" t="s">
        <v>308</v>
      </c>
      <c r="G494" s="207" t="s">
        <v>2095</v>
      </c>
      <c r="H494" s="133" t="s">
        <v>40</v>
      </c>
      <c r="I494" s="207" t="s">
        <v>1972</v>
      </c>
      <c r="J494" s="133" t="s">
        <v>169</v>
      </c>
      <c r="K494" s="193" t="s">
        <v>1664</v>
      </c>
      <c r="L494" s="133" t="s">
        <v>325</v>
      </c>
      <c r="M494" s="103">
        <v>500000</v>
      </c>
      <c r="N494" s="133" t="s">
        <v>122</v>
      </c>
    </row>
    <row r="495" spans="1:14" ht="27" hidden="1" x14ac:dyDescent="0.3">
      <c r="A495" s="131">
        <v>27</v>
      </c>
      <c r="B495" s="523"/>
      <c r="C495" s="99" t="s">
        <v>2096</v>
      </c>
      <c r="D495" s="133" t="s">
        <v>307</v>
      </c>
      <c r="E495" s="133" t="s">
        <v>323</v>
      </c>
      <c r="F495" s="133" t="s">
        <v>308</v>
      </c>
      <c r="G495" s="207" t="s">
        <v>1329</v>
      </c>
      <c r="H495" s="133" t="s">
        <v>83</v>
      </c>
      <c r="I495" s="207" t="s">
        <v>1972</v>
      </c>
      <c r="J495" s="133" t="s">
        <v>169</v>
      </c>
      <c r="K495" s="4" t="s">
        <v>442</v>
      </c>
      <c r="L495" s="133" t="s">
        <v>210</v>
      </c>
      <c r="M495" s="103">
        <v>1000000</v>
      </c>
      <c r="N495" s="133" t="s">
        <v>122</v>
      </c>
    </row>
    <row r="496" spans="1:14" ht="27" hidden="1" x14ac:dyDescent="0.3">
      <c r="A496" s="131">
        <v>27</v>
      </c>
      <c r="B496" s="523"/>
      <c r="C496" s="99" t="s">
        <v>2097</v>
      </c>
      <c r="D496" s="133" t="s">
        <v>307</v>
      </c>
      <c r="E496" s="133" t="s">
        <v>323</v>
      </c>
      <c r="F496" s="133" t="s">
        <v>308</v>
      </c>
      <c r="G496" s="207">
        <v>3306</v>
      </c>
      <c r="H496" s="133" t="s">
        <v>813</v>
      </c>
      <c r="I496" s="207" t="s">
        <v>2101</v>
      </c>
      <c r="J496" s="133" t="s">
        <v>95</v>
      </c>
      <c r="K496" s="197" t="s">
        <v>1754</v>
      </c>
      <c r="L496" s="133"/>
      <c r="M496" s="103">
        <v>1000000</v>
      </c>
      <c r="N496" s="133" t="s">
        <v>248</v>
      </c>
    </row>
    <row r="497" spans="1:14" hidden="1" x14ac:dyDescent="0.3">
      <c r="A497" s="131">
        <v>27</v>
      </c>
      <c r="B497" s="524"/>
      <c r="C497" s="99">
        <v>45479</v>
      </c>
      <c r="D497" s="133" t="s">
        <v>307</v>
      </c>
      <c r="E497" s="133" t="s">
        <v>323</v>
      </c>
      <c r="F497" s="133" t="s">
        <v>308</v>
      </c>
      <c r="G497" s="207">
        <v>4267</v>
      </c>
      <c r="H497" s="133" t="s">
        <v>126</v>
      </c>
      <c r="I497" s="207" t="s">
        <v>1883</v>
      </c>
      <c r="J497" s="133" t="s">
        <v>95</v>
      </c>
      <c r="K497" s="197" t="s">
        <v>1593</v>
      </c>
      <c r="L497" s="133" t="s">
        <v>325</v>
      </c>
      <c r="M497" s="103">
        <v>500000</v>
      </c>
      <c r="N497" s="133" t="s">
        <v>248</v>
      </c>
    </row>
    <row r="498" spans="1:14" ht="27.75" hidden="1" customHeight="1" x14ac:dyDescent="0.3">
      <c r="A498" s="131">
        <v>27</v>
      </c>
      <c r="B498" s="522" t="s">
        <v>21</v>
      </c>
      <c r="C498" s="99">
        <v>45477</v>
      </c>
      <c r="D498" s="4" t="s">
        <v>312</v>
      </c>
      <c r="E498" s="4" t="s">
        <v>321</v>
      </c>
      <c r="F498" s="3" t="s">
        <v>411</v>
      </c>
      <c r="G498" s="263" t="s">
        <v>1417</v>
      </c>
      <c r="H498" s="9" t="s">
        <v>1396</v>
      </c>
      <c r="I498" s="9" t="s">
        <v>1431</v>
      </c>
      <c r="J498" s="14" t="s">
        <v>640</v>
      </c>
      <c r="K498" s="307" t="s">
        <v>2305</v>
      </c>
      <c r="L498" s="6" t="s">
        <v>310</v>
      </c>
      <c r="M498" s="103">
        <v>250000</v>
      </c>
      <c r="N498" s="8" t="s">
        <v>129</v>
      </c>
    </row>
    <row r="499" spans="1:14" ht="27" hidden="1" x14ac:dyDescent="0.3">
      <c r="A499" s="131">
        <v>27</v>
      </c>
      <c r="B499" s="523"/>
      <c r="C499" s="99">
        <v>45478</v>
      </c>
      <c r="D499" s="4" t="s">
        <v>21</v>
      </c>
      <c r="E499" s="4" t="s">
        <v>17</v>
      </c>
      <c r="F499" s="104" t="s">
        <v>900</v>
      </c>
      <c r="G499" s="3" t="s">
        <v>2087</v>
      </c>
      <c r="H499" s="3" t="s">
        <v>103</v>
      </c>
      <c r="I499" s="287" t="s">
        <v>2100</v>
      </c>
      <c r="J499" s="14"/>
      <c r="K499" s="4" t="s">
        <v>60</v>
      </c>
      <c r="L499" s="6" t="s">
        <v>310</v>
      </c>
      <c r="M499" s="103">
        <v>300000</v>
      </c>
      <c r="N499" s="8" t="s">
        <v>2098</v>
      </c>
    </row>
    <row r="500" spans="1:14" hidden="1" x14ac:dyDescent="0.3">
      <c r="A500" s="131">
        <v>27</v>
      </c>
      <c r="B500" s="524"/>
      <c r="C500" s="99">
        <v>45478</v>
      </c>
      <c r="D500" s="4" t="s">
        <v>312</v>
      </c>
      <c r="E500" s="4" t="s">
        <v>321</v>
      </c>
      <c r="F500" s="3" t="s">
        <v>411</v>
      </c>
      <c r="G500" s="3" t="s">
        <v>1417</v>
      </c>
      <c r="H500" s="3" t="s">
        <v>37</v>
      </c>
      <c r="I500" s="9" t="s">
        <v>1431</v>
      </c>
      <c r="J500" s="14" t="s">
        <v>640</v>
      </c>
      <c r="K500" s="4" t="s">
        <v>673</v>
      </c>
      <c r="L500" s="6" t="s">
        <v>310</v>
      </c>
      <c r="M500" s="103">
        <v>250000</v>
      </c>
      <c r="N500" s="8" t="s">
        <v>129</v>
      </c>
    </row>
    <row r="501" spans="1:14" ht="27" hidden="1" x14ac:dyDescent="0.3">
      <c r="A501" s="131">
        <v>28</v>
      </c>
      <c r="B501" s="522" t="s">
        <v>20</v>
      </c>
      <c r="C501" s="99" t="s">
        <v>2115</v>
      </c>
      <c r="D501" s="133" t="s">
        <v>307</v>
      </c>
      <c r="E501" s="133" t="s">
        <v>323</v>
      </c>
      <c r="F501" s="133" t="s">
        <v>308</v>
      </c>
      <c r="G501" s="207" t="s">
        <v>2095</v>
      </c>
      <c r="H501" s="133" t="s">
        <v>23</v>
      </c>
      <c r="I501" s="207" t="s">
        <v>1972</v>
      </c>
      <c r="J501" s="133" t="s">
        <v>169</v>
      </c>
      <c r="K501" s="193" t="s">
        <v>1878</v>
      </c>
      <c r="L501" s="133" t="s">
        <v>210</v>
      </c>
      <c r="M501" s="103">
        <v>750000</v>
      </c>
      <c r="N501" s="133" t="s">
        <v>122</v>
      </c>
    </row>
    <row r="502" spans="1:14" ht="27" hidden="1" x14ac:dyDescent="0.3">
      <c r="A502" s="131">
        <v>28</v>
      </c>
      <c r="B502" s="523"/>
      <c r="C502" s="99" t="s">
        <v>2116</v>
      </c>
      <c r="D502" s="133" t="s">
        <v>307</v>
      </c>
      <c r="E502" s="133" t="s">
        <v>323</v>
      </c>
      <c r="F502" s="133" t="s">
        <v>308</v>
      </c>
      <c r="G502" s="207" t="s">
        <v>1978</v>
      </c>
      <c r="H502" s="133" t="s">
        <v>1904</v>
      </c>
      <c r="I502" s="207" t="s">
        <v>1972</v>
      </c>
      <c r="J502" s="133" t="s">
        <v>169</v>
      </c>
      <c r="K502" s="193" t="s">
        <v>1969</v>
      </c>
      <c r="L502" s="133" t="s">
        <v>210</v>
      </c>
      <c r="M502" s="103">
        <v>500000</v>
      </c>
      <c r="N502" s="133" t="s">
        <v>122</v>
      </c>
    </row>
    <row r="503" spans="1:14" hidden="1" x14ac:dyDescent="0.3">
      <c r="A503" s="131">
        <v>28</v>
      </c>
      <c r="B503" s="523"/>
      <c r="C503" s="99">
        <v>45481</v>
      </c>
      <c r="D503" s="133" t="s">
        <v>307</v>
      </c>
      <c r="E503" s="133" t="s">
        <v>323</v>
      </c>
      <c r="F503" s="133" t="s">
        <v>308</v>
      </c>
      <c r="G503" s="207">
        <v>3306</v>
      </c>
      <c r="H503" s="133" t="s">
        <v>813</v>
      </c>
      <c r="I503" s="207" t="s">
        <v>2119</v>
      </c>
      <c r="J503" s="133" t="s">
        <v>169</v>
      </c>
      <c r="K503" s="4" t="s">
        <v>2118</v>
      </c>
      <c r="L503" s="133"/>
      <c r="M503" s="103">
        <v>500000</v>
      </c>
      <c r="N503" s="133" t="s">
        <v>248</v>
      </c>
    </row>
    <row r="504" spans="1:14" ht="27" hidden="1" x14ac:dyDescent="0.3">
      <c r="A504" s="131">
        <v>28</v>
      </c>
      <c r="B504" s="524"/>
      <c r="C504" s="99" t="s">
        <v>2116</v>
      </c>
      <c r="D504" s="133" t="s">
        <v>307</v>
      </c>
      <c r="E504" s="133" t="s">
        <v>323</v>
      </c>
      <c r="F504" s="133" t="s">
        <v>308</v>
      </c>
      <c r="G504" s="207">
        <v>3306</v>
      </c>
      <c r="H504" s="133" t="s">
        <v>813</v>
      </c>
      <c r="I504" s="207" t="s">
        <v>2120</v>
      </c>
      <c r="J504" s="133" t="s">
        <v>95</v>
      </c>
      <c r="K504" s="197" t="s">
        <v>2117</v>
      </c>
      <c r="L504" s="133"/>
      <c r="M504" s="103">
        <v>1500000</v>
      </c>
      <c r="N504" s="133" t="s">
        <v>248</v>
      </c>
    </row>
    <row r="505" spans="1:14" ht="27" hidden="1" x14ac:dyDescent="0.3">
      <c r="A505" s="131">
        <v>28</v>
      </c>
      <c r="B505" s="522" t="s">
        <v>21</v>
      </c>
      <c r="C505" s="16">
        <v>45482</v>
      </c>
      <c r="D505" s="4" t="s">
        <v>21</v>
      </c>
      <c r="E505" s="4" t="s">
        <v>14</v>
      </c>
      <c r="F505" s="4" t="s">
        <v>383</v>
      </c>
      <c r="G505" s="3" t="s">
        <v>2107</v>
      </c>
      <c r="H505" s="3" t="s">
        <v>265</v>
      </c>
      <c r="I505" s="9" t="s">
        <v>2111</v>
      </c>
      <c r="J505" s="14"/>
      <c r="K505" s="286" t="s">
        <v>2303</v>
      </c>
      <c r="L505" s="6" t="s">
        <v>2110</v>
      </c>
      <c r="M505" s="103">
        <v>500000</v>
      </c>
      <c r="N505" s="8" t="s">
        <v>2112</v>
      </c>
    </row>
    <row r="506" spans="1:14" ht="27" hidden="1" x14ac:dyDescent="0.3">
      <c r="A506" s="131">
        <v>28</v>
      </c>
      <c r="B506" s="524"/>
      <c r="C506" s="99">
        <v>45478</v>
      </c>
      <c r="D506" s="4" t="s">
        <v>21</v>
      </c>
      <c r="E506" s="4" t="s">
        <v>17</v>
      </c>
      <c r="F506" s="3" t="s">
        <v>1545</v>
      </c>
      <c r="G506" s="3" t="s">
        <v>621</v>
      </c>
      <c r="H506" s="3" t="s">
        <v>103</v>
      </c>
      <c r="I506" s="9" t="s">
        <v>2109</v>
      </c>
      <c r="J506" s="14" t="s">
        <v>90</v>
      </c>
      <c r="K506" s="9" t="s">
        <v>2108</v>
      </c>
      <c r="L506" s="6" t="s">
        <v>2110</v>
      </c>
      <c r="M506" s="103">
        <v>600000</v>
      </c>
      <c r="N506" s="8" t="s">
        <v>2113</v>
      </c>
    </row>
    <row r="507" spans="1:14" ht="27" hidden="1" x14ac:dyDescent="0.3">
      <c r="A507" s="131">
        <v>29</v>
      </c>
      <c r="B507" s="522" t="s">
        <v>2171</v>
      </c>
      <c r="C507" s="130" t="s">
        <v>2131</v>
      </c>
      <c r="D507" s="216" t="s">
        <v>307</v>
      </c>
      <c r="E507" s="216" t="s">
        <v>323</v>
      </c>
      <c r="F507" s="216" t="s">
        <v>308</v>
      </c>
      <c r="G507" s="217" t="s">
        <v>2095</v>
      </c>
      <c r="H507" s="216" t="s">
        <v>40</v>
      </c>
      <c r="I507" s="217" t="s">
        <v>2127</v>
      </c>
      <c r="J507" s="216" t="s">
        <v>169</v>
      </c>
      <c r="K507" s="193" t="s">
        <v>2128</v>
      </c>
      <c r="L507" s="216" t="s">
        <v>210</v>
      </c>
      <c r="M507" s="103">
        <v>750000</v>
      </c>
      <c r="N507" s="216" t="s">
        <v>1980</v>
      </c>
    </row>
    <row r="508" spans="1:14" ht="27" hidden="1" x14ac:dyDescent="0.3">
      <c r="A508" s="131">
        <v>29</v>
      </c>
      <c r="B508" s="523"/>
      <c r="C508" s="130" t="s">
        <v>2129</v>
      </c>
      <c r="D508" s="216" t="s">
        <v>307</v>
      </c>
      <c r="E508" s="216" t="s">
        <v>323</v>
      </c>
      <c r="F508" s="216" t="s">
        <v>308</v>
      </c>
      <c r="G508" s="207" t="s">
        <v>1978</v>
      </c>
      <c r="H508" s="133" t="s">
        <v>1904</v>
      </c>
      <c r="I508" s="207" t="s">
        <v>1972</v>
      </c>
      <c r="J508" s="216" t="s">
        <v>169</v>
      </c>
      <c r="K508" s="193" t="s">
        <v>2114</v>
      </c>
      <c r="L508" s="216" t="s">
        <v>210</v>
      </c>
      <c r="M508" s="103">
        <v>500000</v>
      </c>
      <c r="N508" s="216" t="s">
        <v>122</v>
      </c>
    </row>
    <row r="509" spans="1:14" hidden="1" x14ac:dyDescent="0.3">
      <c r="A509" s="131">
        <v>29</v>
      </c>
      <c r="B509" s="523"/>
      <c r="C509" s="130" t="s">
        <v>2132</v>
      </c>
      <c r="D509" s="216" t="s">
        <v>307</v>
      </c>
      <c r="E509" s="216" t="s">
        <v>323</v>
      </c>
      <c r="F509" s="216" t="s">
        <v>308</v>
      </c>
      <c r="G509" s="207">
        <v>4267</v>
      </c>
      <c r="H509" s="133" t="s">
        <v>18</v>
      </c>
      <c r="I509" s="217" t="s">
        <v>2133</v>
      </c>
      <c r="J509" s="216"/>
      <c r="K509" s="197" t="s">
        <v>1624</v>
      </c>
      <c r="L509" s="216"/>
      <c r="M509" s="103">
        <v>500000</v>
      </c>
      <c r="N509" s="216" t="s">
        <v>248</v>
      </c>
    </row>
    <row r="510" spans="1:14" hidden="1" x14ac:dyDescent="0.3">
      <c r="A510" s="131">
        <v>29</v>
      </c>
      <c r="B510" s="523"/>
      <c r="C510" s="130" t="s">
        <v>2132</v>
      </c>
      <c r="D510" s="216" t="s">
        <v>307</v>
      </c>
      <c r="E510" s="216" t="s">
        <v>323</v>
      </c>
      <c r="F510" s="216" t="s">
        <v>308</v>
      </c>
      <c r="G510" s="207">
        <v>3306</v>
      </c>
      <c r="H510" s="133" t="s">
        <v>813</v>
      </c>
      <c r="I510" s="217" t="s">
        <v>2134</v>
      </c>
      <c r="J510" s="216"/>
      <c r="K510" s="197" t="s">
        <v>1624</v>
      </c>
      <c r="L510" s="216"/>
      <c r="M510" s="103">
        <v>500000</v>
      </c>
      <c r="N510" s="216" t="s">
        <v>248</v>
      </c>
    </row>
    <row r="511" spans="1:14" ht="27" hidden="1" x14ac:dyDescent="0.3">
      <c r="A511" s="131">
        <v>29</v>
      </c>
      <c r="B511" s="523" t="s">
        <v>21</v>
      </c>
      <c r="C511" s="37">
        <v>45488</v>
      </c>
      <c r="D511" s="4" t="s">
        <v>21</v>
      </c>
      <c r="E511" s="4" t="s">
        <v>14</v>
      </c>
      <c r="F511" s="3" t="s">
        <v>157</v>
      </c>
      <c r="G511" s="3" t="s">
        <v>1328</v>
      </c>
      <c r="H511" s="3" t="s">
        <v>1396</v>
      </c>
      <c r="I511" s="9" t="s">
        <v>2130</v>
      </c>
      <c r="J511" s="14" t="s">
        <v>641</v>
      </c>
      <c r="K511" s="307" t="s">
        <v>41</v>
      </c>
      <c r="L511" s="6" t="s">
        <v>15</v>
      </c>
      <c r="M511" s="103">
        <v>250000</v>
      </c>
      <c r="N511" s="8" t="s">
        <v>2126</v>
      </c>
    </row>
    <row r="512" spans="1:14" hidden="1" x14ac:dyDescent="0.3">
      <c r="A512" s="131">
        <v>29</v>
      </c>
      <c r="B512" s="523"/>
      <c r="C512" s="130">
        <v>45489</v>
      </c>
      <c r="D512" s="4" t="s">
        <v>21</v>
      </c>
      <c r="E512" s="4" t="s">
        <v>14</v>
      </c>
      <c r="F512" s="3" t="s">
        <v>157</v>
      </c>
      <c r="G512" s="3" t="s">
        <v>1328</v>
      </c>
      <c r="H512" s="3" t="s">
        <v>2121</v>
      </c>
      <c r="I512" s="9" t="s">
        <v>1390</v>
      </c>
      <c r="J512" s="14" t="s">
        <v>641</v>
      </c>
      <c r="K512" s="307" t="s">
        <v>41</v>
      </c>
      <c r="L512" s="6" t="s">
        <v>15</v>
      </c>
      <c r="M512" s="103">
        <v>250000</v>
      </c>
      <c r="N512" s="8" t="s">
        <v>1337</v>
      </c>
    </row>
    <row r="513" spans="1:15" ht="30" hidden="1" customHeight="1" x14ac:dyDescent="0.3">
      <c r="A513" s="131">
        <v>29</v>
      </c>
      <c r="B513" s="523"/>
      <c r="C513" s="130">
        <v>45490</v>
      </c>
      <c r="D513" s="4" t="s">
        <v>21</v>
      </c>
      <c r="E513" s="4" t="s">
        <v>14</v>
      </c>
      <c r="F513" s="3" t="s">
        <v>157</v>
      </c>
      <c r="G513" s="3" t="s">
        <v>1328</v>
      </c>
      <c r="H513" s="3" t="s">
        <v>1866</v>
      </c>
      <c r="I513" s="9" t="s">
        <v>401</v>
      </c>
      <c r="J513" s="14"/>
      <c r="K513" s="306" t="s">
        <v>2304</v>
      </c>
      <c r="L513" s="6" t="s">
        <v>15</v>
      </c>
      <c r="M513" s="103">
        <v>500000</v>
      </c>
      <c r="N513" s="8" t="s">
        <v>1337</v>
      </c>
    </row>
    <row r="514" spans="1:15" ht="27" hidden="1" x14ac:dyDescent="0.3">
      <c r="A514" s="131">
        <v>29</v>
      </c>
      <c r="B514" s="523"/>
      <c r="C514" s="130">
        <v>45491</v>
      </c>
      <c r="D514" s="4" t="s">
        <v>21</v>
      </c>
      <c r="E514" s="4" t="s">
        <v>17</v>
      </c>
      <c r="F514" s="104" t="s">
        <v>900</v>
      </c>
      <c r="G514" s="3" t="s">
        <v>2087</v>
      </c>
      <c r="H514" s="3" t="s">
        <v>103</v>
      </c>
      <c r="I514" s="106" t="s">
        <v>2122</v>
      </c>
      <c r="J514" s="14" t="s">
        <v>90</v>
      </c>
      <c r="K514" s="4" t="s">
        <v>962</v>
      </c>
      <c r="L514" s="6" t="s">
        <v>15</v>
      </c>
      <c r="M514" s="103">
        <v>300000</v>
      </c>
      <c r="N514" s="8" t="s">
        <v>2124</v>
      </c>
    </row>
    <row r="515" spans="1:15" ht="27" hidden="1" x14ac:dyDescent="0.3">
      <c r="A515" s="248">
        <v>29</v>
      </c>
      <c r="B515" s="524"/>
      <c r="C515" s="130">
        <v>45492</v>
      </c>
      <c r="D515" s="10" t="s">
        <v>21</v>
      </c>
      <c r="E515" s="10" t="s">
        <v>14</v>
      </c>
      <c r="F515" s="35" t="s">
        <v>2106</v>
      </c>
      <c r="G515" s="35" t="s">
        <v>271</v>
      </c>
      <c r="H515" s="3" t="s">
        <v>1506</v>
      </c>
      <c r="I515" s="5" t="s">
        <v>2105</v>
      </c>
      <c r="J515" s="14" t="s">
        <v>203</v>
      </c>
      <c r="K515" s="6" t="s">
        <v>903</v>
      </c>
      <c r="L515" s="6" t="s">
        <v>15</v>
      </c>
      <c r="M515" s="103">
        <v>300000</v>
      </c>
      <c r="N515" s="8" t="s">
        <v>2125</v>
      </c>
    </row>
    <row r="516" spans="1:15" ht="27" hidden="1" x14ac:dyDescent="0.3">
      <c r="A516" s="131">
        <v>30</v>
      </c>
      <c r="B516" s="522" t="s">
        <v>176</v>
      </c>
      <c r="C516" s="99" t="s">
        <v>2144</v>
      </c>
      <c r="D516" s="133" t="s">
        <v>307</v>
      </c>
      <c r="E516" s="133" t="s">
        <v>323</v>
      </c>
      <c r="F516" s="133" t="s">
        <v>308</v>
      </c>
      <c r="G516" s="207" t="s">
        <v>2145</v>
      </c>
      <c r="H516" s="216" t="s">
        <v>40</v>
      </c>
      <c r="I516" s="207" t="s">
        <v>1972</v>
      </c>
      <c r="J516" s="216" t="s">
        <v>169</v>
      </c>
      <c r="K516" s="193" t="s">
        <v>2128</v>
      </c>
      <c r="L516" s="216" t="s">
        <v>210</v>
      </c>
      <c r="M516" s="103">
        <v>750000</v>
      </c>
      <c r="N516" s="216" t="s">
        <v>1980</v>
      </c>
    </row>
    <row r="517" spans="1:15" ht="27" hidden="1" x14ac:dyDescent="0.3">
      <c r="A517" s="131">
        <v>30</v>
      </c>
      <c r="B517" s="523"/>
      <c r="C517" s="99" t="s">
        <v>2146</v>
      </c>
      <c r="D517" s="133" t="s">
        <v>307</v>
      </c>
      <c r="E517" s="133" t="s">
        <v>323</v>
      </c>
      <c r="F517" s="133" t="s">
        <v>308</v>
      </c>
      <c r="G517" s="207" t="s">
        <v>2058</v>
      </c>
      <c r="H517" s="133" t="s">
        <v>18</v>
      </c>
      <c r="I517" s="207" t="s">
        <v>1972</v>
      </c>
      <c r="J517" s="216" t="s">
        <v>169</v>
      </c>
      <c r="K517" s="193" t="s">
        <v>2114</v>
      </c>
      <c r="L517" s="216" t="s">
        <v>210</v>
      </c>
      <c r="M517" s="103">
        <v>500000</v>
      </c>
      <c r="N517" s="216" t="s">
        <v>122</v>
      </c>
    </row>
    <row r="518" spans="1:15" ht="27" hidden="1" x14ac:dyDescent="0.3">
      <c r="A518" s="131">
        <v>30</v>
      </c>
      <c r="B518" s="524"/>
      <c r="C518" s="99" t="s">
        <v>2150</v>
      </c>
      <c r="D518" s="133" t="s">
        <v>307</v>
      </c>
      <c r="E518" s="133" t="s">
        <v>323</v>
      </c>
      <c r="F518" s="133" t="s">
        <v>308</v>
      </c>
      <c r="G518" s="207" t="s">
        <v>2148</v>
      </c>
      <c r="H518" s="133" t="s">
        <v>23</v>
      </c>
      <c r="I518" s="217" t="s">
        <v>2147</v>
      </c>
      <c r="J518" s="216" t="s">
        <v>293</v>
      </c>
      <c r="K518" s="197" t="s">
        <v>1577</v>
      </c>
      <c r="L518" s="216"/>
      <c r="M518" s="103">
        <v>1500000</v>
      </c>
      <c r="N518" s="216" t="s">
        <v>248</v>
      </c>
    </row>
    <row r="519" spans="1:15" ht="27" hidden="1" x14ac:dyDescent="0.3">
      <c r="A519" s="131">
        <v>30</v>
      </c>
      <c r="B519" s="522" t="s">
        <v>2172</v>
      </c>
      <c r="C519" s="16">
        <v>45495</v>
      </c>
      <c r="D519" s="4" t="s">
        <v>21</v>
      </c>
      <c r="E519" s="4" t="s">
        <v>14</v>
      </c>
      <c r="F519" s="3" t="s">
        <v>157</v>
      </c>
      <c r="G519" s="3" t="s">
        <v>1328</v>
      </c>
      <c r="H519" s="4" t="s">
        <v>1353</v>
      </c>
      <c r="I519" s="9" t="s">
        <v>2151</v>
      </c>
      <c r="J519" s="14"/>
      <c r="K519" s="9" t="s">
        <v>68</v>
      </c>
      <c r="L519" s="6" t="s">
        <v>15</v>
      </c>
      <c r="M519" s="103">
        <v>300000</v>
      </c>
      <c r="N519" s="8" t="s">
        <v>2149</v>
      </c>
    </row>
    <row r="520" spans="1:15" hidden="1" x14ac:dyDescent="0.3">
      <c r="A520" s="131">
        <v>30</v>
      </c>
      <c r="B520" s="523"/>
      <c r="C520" s="16">
        <v>45495</v>
      </c>
      <c r="D520" s="4" t="s">
        <v>21</v>
      </c>
      <c r="E520" s="4" t="s">
        <v>14</v>
      </c>
      <c r="F520" s="3" t="s">
        <v>108</v>
      </c>
      <c r="G520" s="3" t="s">
        <v>404</v>
      </c>
      <c r="H520" s="4" t="s">
        <v>206</v>
      </c>
      <c r="I520" s="9" t="s">
        <v>2141</v>
      </c>
      <c r="J520" s="14"/>
      <c r="K520" s="4" t="s">
        <v>754</v>
      </c>
      <c r="L520" s="6" t="s">
        <v>15</v>
      </c>
      <c r="M520" s="103">
        <v>300000</v>
      </c>
      <c r="N520" s="8" t="s">
        <v>2125</v>
      </c>
    </row>
    <row r="521" spans="1:15" ht="27" hidden="1" x14ac:dyDescent="0.3">
      <c r="A521" s="131">
        <v>30</v>
      </c>
      <c r="B521" s="523"/>
      <c r="C521" s="16">
        <v>45496</v>
      </c>
      <c r="D521" s="4" t="s">
        <v>21</v>
      </c>
      <c r="E521" s="4" t="s">
        <v>77</v>
      </c>
      <c r="F521" s="3" t="s">
        <v>960</v>
      </c>
      <c r="G521" s="3">
        <v>7060</v>
      </c>
      <c r="H521" s="3" t="s">
        <v>651</v>
      </c>
      <c r="I521" s="207" t="s">
        <v>2142</v>
      </c>
      <c r="J521" s="14"/>
      <c r="K521" s="4" t="s">
        <v>2136</v>
      </c>
      <c r="L521" s="6" t="s">
        <v>15</v>
      </c>
      <c r="M521" s="103">
        <v>300000</v>
      </c>
      <c r="N521" s="8" t="s">
        <v>2143</v>
      </c>
    </row>
    <row r="522" spans="1:15" ht="27" hidden="1" x14ac:dyDescent="0.3">
      <c r="A522" s="131">
        <v>30</v>
      </c>
      <c r="B522" s="523"/>
      <c r="C522" s="16">
        <v>45498</v>
      </c>
      <c r="D522" s="4" t="s">
        <v>139</v>
      </c>
      <c r="E522" s="4" t="s">
        <v>31</v>
      </c>
      <c r="F522" s="4" t="s">
        <v>1389</v>
      </c>
      <c r="G522" s="4" t="s">
        <v>2139</v>
      </c>
      <c r="H522" s="3" t="s">
        <v>23</v>
      </c>
      <c r="I522" s="287" t="s">
        <v>2152</v>
      </c>
      <c r="J522" s="14"/>
      <c r="K522" s="316" t="s">
        <v>134</v>
      </c>
      <c r="L522" s="6" t="s">
        <v>15</v>
      </c>
      <c r="M522" s="103">
        <v>500000</v>
      </c>
      <c r="N522" s="8" t="s">
        <v>2153</v>
      </c>
    </row>
    <row r="523" spans="1:15" hidden="1" x14ac:dyDescent="0.3">
      <c r="A523" s="131">
        <v>30</v>
      </c>
      <c r="B523" s="524"/>
      <c r="C523" s="99">
        <v>45499</v>
      </c>
      <c r="D523" s="4" t="s">
        <v>21</v>
      </c>
      <c r="E523" s="4" t="s">
        <v>14</v>
      </c>
      <c r="F523" s="3" t="s">
        <v>108</v>
      </c>
      <c r="G523" s="4" t="s">
        <v>142</v>
      </c>
      <c r="H523" s="4" t="s">
        <v>1381</v>
      </c>
      <c r="I523" s="287" t="s">
        <v>2138</v>
      </c>
      <c r="J523" s="14" t="s">
        <v>156</v>
      </c>
      <c r="K523" s="307" t="s">
        <v>41</v>
      </c>
      <c r="L523" s="327" t="s">
        <v>15</v>
      </c>
      <c r="M523" s="103">
        <v>250000</v>
      </c>
      <c r="N523" s="8" t="s">
        <v>1989</v>
      </c>
      <c r="O523">
        <v>30</v>
      </c>
    </row>
    <row r="524" spans="1:15" ht="27" hidden="1" x14ac:dyDescent="0.3">
      <c r="A524" s="131">
        <v>31</v>
      </c>
      <c r="B524" s="522" t="s">
        <v>2185</v>
      </c>
      <c r="C524" s="99" t="s">
        <v>2166</v>
      </c>
      <c r="D524" s="133" t="s">
        <v>307</v>
      </c>
      <c r="E524" s="133" t="s">
        <v>323</v>
      </c>
      <c r="F524" s="133" t="s">
        <v>308</v>
      </c>
      <c r="G524" s="207" t="s">
        <v>2174</v>
      </c>
      <c r="H524" s="133" t="s">
        <v>2175</v>
      </c>
      <c r="I524" s="207" t="s">
        <v>1972</v>
      </c>
      <c r="J524" s="133" t="s">
        <v>169</v>
      </c>
      <c r="K524" s="193" t="s">
        <v>2128</v>
      </c>
      <c r="L524" s="133" t="s">
        <v>210</v>
      </c>
      <c r="M524" s="103">
        <v>750000</v>
      </c>
      <c r="N524" s="133" t="s">
        <v>1980</v>
      </c>
    </row>
    <row r="525" spans="1:15" hidden="1" x14ac:dyDescent="0.3">
      <c r="A525" s="131">
        <v>31</v>
      </c>
      <c r="B525" s="524"/>
      <c r="C525" s="99" t="s">
        <v>2176</v>
      </c>
      <c r="D525" s="133" t="s">
        <v>307</v>
      </c>
      <c r="E525" s="133" t="s">
        <v>323</v>
      </c>
      <c r="F525" s="133" t="s">
        <v>308</v>
      </c>
      <c r="G525" s="207" t="s">
        <v>2179</v>
      </c>
      <c r="H525" s="133" t="s">
        <v>2180</v>
      </c>
      <c r="I525" s="207" t="s">
        <v>2183</v>
      </c>
      <c r="J525" s="133" t="s">
        <v>2182</v>
      </c>
      <c r="K525" s="197" t="s">
        <v>2177</v>
      </c>
      <c r="L525" s="133" t="s">
        <v>210</v>
      </c>
      <c r="M525" s="103">
        <v>500000</v>
      </c>
      <c r="N525" s="133" t="s">
        <v>2178</v>
      </c>
    </row>
    <row r="526" spans="1:15" hidden="1" x14ac:dyDescent="0.3">
      <c r="A526" s="131">
        <v>31</v>
      </c>
      <c r="B526" s="522" t="s">
        <v>2186</v>
      </c>
      <c r="C526" s="16">
        <v>45502</v>
      </c>
      <c r="D526" s="4" t="s">
        <v>21</v>
      </c>
      <c r="E526" s="4" t="s">
        <v>14</v>
      </c>
      <c r="F526" s="3" t="s">
        <v>157</v>
      </c>
      <c r="G526" s="3" t="s">
        <v>1328</v>
      </c>
      <c r="H526" s="3" t="s">
        <v>2102</v>
      </c>
      <c r="I526" s="9" t="s">
        <v>2162</v>
      </c>
      <c r="J526" s="14" t="s">
        <v>2173</v>
      </c>
      <c r="K526" s="9" t="s">
        <v>2163</v>
      </c>
      <c r="L526" s="6" t="s">
        <v>15</v>
      </c>
      <c r="M526" s="103">
        <v>300000</v>
      </c>
      <c r="N526" s="8" t="s">
        <v>1989</v>
      </c>
    </row>
    <row r="527" spans="1:15" ht="27" hidden="1" x14ac:dyDescent="0.3">
      <c r="A527" s="131">
        <v>31</v>
      </c>
      <c r="B527" s="523"/>
      <c r="C527" s="16">
        <v>45503</v>
      </c>
      <c r="D527" s="4" t="s">
        <v>21</v>
      </c>
      <c r="E527" s="4" t="s">
        <v>14</v>
      </c>
      <c r="F527" s="3" t="s">
        <v>212</v>
      </c>
      <c r="G527" s="3" t="s">
        <v>2135</v>
      </c>
      <c r="H527" s="3" t="s">
        <v>18</v>
      </c>
      <c r="I527" s="9" t="s">
        <v>2157</v>
      </c>
      <c r="J527" s="14" t="s">
        <v>2137</v>
      </c>
      <c r="K527" s="307" t="s">
        <v>2482</v>
      </c>
      <c r="L527" s="6" t="s">
        <v>15</v>
      </c>
      <c r="M527" s="103">
        <v>250000</v>
      </c>
      <c r="N527" s="8" t="s">
        <v>2170</v>
      </c>
    </row>
    <row r="528" spans="1:15" hidden="1" x14ac:dyDescent="0.3">
      <c r="A528" s="131">
        <v>31</v>
      </c>
      <c r="B528" s="523"/>
      <c r="C528" s="16">
        <v>45503</v>
      </c>
      <c r="D528" s="4" t="s">
        <v>21</v>
      </c>
      <c r="E528" s="4" t="s">
        <v>14</v>
      </c>
      <c r="F528" s="3" t="s">
        <v>212</v>
      </c>
      <c r="G528" s="3" t="s">
        <v>2159</v>
      </c>
      <c r="H528" s="4" t="s">
        <v>2160</v>
      </c>
      <c r="I528" s="9" t="s">
        <v>239</v>
      </c>
      <c r="J528" s="14"/>
      <c r="K528" s="9" t="s">
        <v>2161</v>
      </c>
      <c r="L528" s="6" t="s">
        <v>15</v>
      </c>
      <c r="M528" s="103">
        <v>500000</v>
      </c>
      <c r="N528" s="8" t="s">
        <v>129</v>
      </c>
    </row>
    <row r="529" spans="1:14" ht="27" hidden="1" x14ac:dyDescent="0.3">
      <c r="A529" s="131">
        <v>31</v>
      </c>
      <c r="B529" s="523"/>
      <c r="C529" s="16" t="s">
        <v>2168</v>
      </c>
      <c r="D529" s="3" t="s">
        <v>21</v>
      </c>
      <c r="E529" s="4" t="s">
        <v>77</v>
      </c>
      <c r="F529" s="4" t="s">
        <v>1797</v>
      </c>
      <c r="G529" s="17" t="s">
        <v>685</v>
      </c>
      <c r="H529" s="3" t="s">
        <v>1795</v>
      </c>
      <c r="I529" s="9" t="s">
        <v>2164</v>
      </c>
      <c r="J529" s="14"/>
      <c r="K529" s="314" t="s">
        <v>2169</v>
      </c>
      <c r="L529" s="6" t="s">
        <v>69</v>
      </c>
      <c r="M529" s="103">
        <v>600000</v>
      </c>
      <c r="N529" s="8" t="s">
        <v>2181</v>
      </c>
    </row>
    <row r="530" spans="1:14" ht="27" hidden="1" x14ac:dyDescent="0.3">
      <c r="A530" s="131">
        <v>31</v>
      </c>
      <c r="B530" s="524"/>
      <c r="C530" s="16">
        <v>45506</v>
      </c>
      <c r="D530" s="4" t="s">
        <v>21</v>
      </c>
      <c r="E530" s="4" t="s">
        <v>14</v>
      </c>
      <c r="F530" s="3" t="s">
        <v>2156</v>
      </c>
      <c r="G530" s="3" t="s">
        <v>2155</v>
      </c>
      <c r="H530" s="4" t="s">
        <v>103</v>
      </c>
      <c r="I530" s="287" t="s">
        <v>2165</v>
      </c>
      <c r="J530" s="14" t="s">
        <v>156</v>
      </c>
      <c r="K530" s="312" t="s">
        <v>824</v>
      </c>
      <c r="L530" s="6" t="s">
        <v>15</v>
      </c>
      <c r="M530" s="103">
        <v>250000</v>
      </c>
      <c r="N530" s="8" t="s">
        <v>2167</v>
      </c>
    </row>
    <row r="531" spans="1:14" ht="27" hidden="1" x14ac:dyDescent="0.3">
      <c r="A531" s="131">
        <v>32</v>
      </c>
      <c r="B531" s="522" t="s">
        <v>241</v>
      </c>
      <c r="C531" s="99" t="s">
        <v>2307</v>
      </c>
      <c r="D531" s="133" t="s">
        <v>307</v>
      </c>
      <c r="E531" s="133" t="s">
        <v>323</v>
      </c>
      <c r="F531" s="133" t="s">
        <v>308</v>
      </c>
      <c r="G531" s="207" t="s">
        <v>2174</v>
      </c>
      <c r="H531" s="133" t="s">
        <v>2175</v>
      </c>
      <c r="I531" s="207" t="s">
        <v>1972</v>
      </c>
      <c r="J531" s="133" t="s">
        <v>169</v>
      </c>
      <c r="K531" s="317" t="s">
        <v>1878</v>
      </c>
      <c r="L531" s="133" t="s">
        <v>210</v>
      </c>
      <c r="M531" s="103">
        <v>750000</v>
      </c>
      <c r="N531" s="133" t="s">
        <v>122</v>
      </c>
    </row>
    <row r="532" spans="1:14" ht="27" hidden="1" x14ac:dyDescent="0.3">
      <c r="A532" s="131">
        <v>32</v>
      </c>
      <c r="B532" s="523"/>
      <c r="C532" s="99" t="s">
        <v>2308</v>
      </c>
      <c r="D532" s="133" t="s">
        <v>307</v>
      </c>
      <c r="E532" s="133" t="s">
        <v>323</v>
      </c>
      <c r="F532" s="133" t="s">
        <v>308</v>
      </c>
      <c r="G532" s="207" t="s">
        <v>1978</v>
      </c>
      <c r="H532" s="133" t="s">
        <v>1904</v>
      </c>
      <c r="I532" s="207" t="s">
        <v>1972</v>
      </c>
      <c r="J532" s="133" t="s">
        <v>169</v>
      </c>
      <c r="K532" s="317" t="s">
        <v>1664</v>
      </c>
      <c r="L532" s="133" t="s">
        <v>210</v>
      </c>
      <c r="M532" s="103">
        <v>500000</v>
      </c>
      <c r="N532" s="133" t="s">
        <v>122</v>
      </c>
    </row>
    <row r="533" spans="1:14" hidden="1" x14ac:dyDescent="0.3">
      <c r="A533" s="131">
        <v>32</v>
      </c>
      <c r="B533" s="524"/>
      <c r="C533" s="99">
        <v>45509</v>
      </c>
      <c r="D533" s="133" t="s">
        <v>307</v>
      </c>
      <c r="E533" s="133" t="s">
        <v>323</v>
      </c>
      <c r="F533" s="133" t="s">
        <v>308</v>
      </c>
      <c r="G533" s="207">
        <v>3307</v>
      </c>
      <c r="H533" s="133" t="s">
        <v>813</v>
      </c>
      <c r="I533" s="207" t="s">
        <v>2311</v>
      </c>
      <c r="J533" s="133" t="s">
        <v>169</v>
      </c>
      <c r="K533" s="311" t="s">
        <v>1593</v>
      </c>
      <c r="L533" s="133"/>
      <c r="M533" s="103">
        <v>500000</v>
      </c>
      <c r="N533" s="133" t="s">
        <v>248</v>
      </c>
    </row>
    <row r="534" spans="1:14" hidden="1" x14ac:dyDescent="0.3">
      <c r="A534" s="131">
        <v>32</v>
      </c>
      <c r="B534" s="522" t="s">
        <v>64</v>
      </c>
      <c r="C534" s="99">
        <v>45507</v>
      </c>
      <c r="D534" s="3" t="s">
        <v>24</v>
      </c>
      <c r="E534" s="4" t="s">
        <v>140</v>
      </c>
      <c r="F534" s="4" t="s">
        <v>955</v>
      </c>
      <c r="G534" s="14">
        <v>3306</v>
      </c>
      <c r="H534" s="3" t="s">
        <v>813</v>
      </c>
      <c r="I534" s="9" t="s">
        <v>2312</v>
      </c>
      <c r="J534" s="14"/>
      <c r="K534" s="307" t="s">
        <v>119</v>
      </c>
      <c r="L534" s="6" t="s">
        <v>15</v>
      </c>
      <c r="M534" s="103">
        <v>500000</v>
      </c>
      <c r="N534" s="8" t="s">
        <v>1887</v>
      </c>
    </row>
    <row r="535" spans="1:14" hidden="1" x14ac:dyDescent="0.3">
      <c r="A535" s="131">
        <v>32</v>
      </c>
      <c r="B535" s="523"/>
      <c r="C535" s="99">
        <v>45512</v>
      </c>
      <c r="D535" s="3" t="s">
        <v>139</v>
      </c>
      <c r="E535" s="4" t="s">
        <v>31</v>
      </c>
      <c r="F535" s="4" t="s">
        <v>78</v>
      </c>
      <c r="G535" s="14" t="s">
        <v>504</v>
      </c>
      <c r="H535" s="3" t="s">
        <v>80</v>
      </c>
      <c r="I535" s="9" t="s">
        <v>2306</v>
      </c>
      <c r="J535" s="14" t="s">
        <v>90</v>
      </c>
      <c r="K535" s="316" t="s">
        <v>2310</v>
      </c>
      <c r="L535" s="319" t="s">
        <v>15</v>
      </c>
      <c r="M535" s="103">
        <v>1000000</v>
      </c>
      <c r="N535" s="8" t="s">
        <v>1885</v>
      </c>
    </row>
    <row r="536" spans="1:14" ht="27" hidden="1" x14ac:dyDescent="0.3">
      <c r="A536" s="131">
        <v>32</v>
      </c>
      <c r="B536" s="524"/>
      <c r="C536" s="16">
        <v>45513</v>
      </c>
      <c r="D536" s="4" t="s">
        <v>21</v>
      </c>
      <c r="E536" s="4" t="s">
        <v>17</v>
      </c>
      <c r="F536" s="214" t="s">
        <v>900</v>
      </c>
      <c r="G536" s="4" t="s">
        <v>2087</v>
      </c>
      <c r="H536" s="4" t="s">
        <v>103</v>
      </c>
      <c r="I536" s="287" t="s">
        <v>2154</v>
      </c>
      <c r="J536" s="14" t="s">
        <v>73</v>
      </c>
      <c r="K536" s="315" t="s">
        <v>41</v>
      </c>
      <c r="L536" s="6" t="s">
        <v>15</v>
      </c>
      <c r="M536" s="103">
        <v>250000</v>
      </c>
      <c r="N536" s="8" t="s">
        <v>2309</v>
      </c>
    </row>
    <row r="537" spans="1:14" hidden="1" x14ac:dyDescent="0.3">
      <c r="A537" s="131">
        <v>33</v>
      </c>
      <c r="B537" s="522" t="s">
        <v>124</v>
      </c>
      <c r="C537" s="99">
        <v>45513</v>
      </c>
      <c r="D537" s="133" t="s">
        <v>307</v>
      </c>
      <c r="E537" s="133" t="s">
        <v>323</v>
      </c>
      <c r="F537" s="133" t="s">
        <v>308</v>
      </c>
      <c r="G537" s="207" t="s">
        <v>2058</v>
      </c>
      <c r="H537" s="133" t="s">
        <v>126</v>
      </c>
      <c r="I537" s="207" t="s">
        <v>1869</v>
      </c>
      <c r="J537" s="133" t="s">
        <v>169</v>
      </c>
      <c r="K537" s="4" t="s">
        <v>119</v>
      </c>
      <c r="L537" s="133" t="s">
        <v>210</v>
      </c>
      <c r="M537" s="103">
        <v>500000</v>
      </c>
      <c r="N537" s="133" t="s">
        <v>122</v>
      </c>
    </row>
    <row r="538" spans="1:14" hidden="1" x14ac:dyDescent="0.3">
      <c r="A538" s="131">
        <v>33</v>
      </c>
      <c r="B538" s="523"/>
      <c r="C538" s="99">
        <v>45516</v>
      </c>
      <c r="D538" s="133" t="s">
        <v>307</v>
      </c>
      <c r="E538" s="133" t="s">
        <v>323</v>
      </c>
      <c r="F538" s="133" t="s">
        <v>308</v>
      </c>
      <c r="G538" s="207" t="s">
        <v>2058</v>
      </c>
      <c r="H538" s="133" t="s">
        <v>126</v>
      </c>
      <c r="I538" s="207" t="s">
        <v>1869</v>
      </c>
      <c r="J538" s="133" t="s">
        <v>169</v>
      </c>
      <c r="K538" s="4" t="s">
        <v>112</v>
      </c>
      <c r="L538" s="133" t="s">
        <v>210</v>
      </c>
      <c r="M538" s="103">
        <v>250000</v>
      </c>
      <c r="N538" s="133" t="s">
        <v>122</v>
      </c>
    </row>
    <row r="539" spans="1:14" hidden="1" x14ac:dyDescent="0.3">
      <c r="A539" s="131">
        <v>33</v>
      </c>
      <c r="B539" s="523"/>
      <c r="C539" s="99">
        <v>45517</v>
      </c>
      <c r="D539" s="133" t="s">
        <v>307</v>
      </c>
      <c r="E539" s="133" t="s">
        <v>323</v>
      </c>
      <c r="F539" s="133" t="s">
        <v>308</v>
      </c>
      <c r="G539" s="207">
        <v>3307</v>
      </c>
      <c r="H539" s="133" t="s">
        <v>813</v>
      </c>
      <c r="I539" s="207" t="s">
        <v>2324</v>
      </c>
      <c r="J539" s="133" t="s">
        <v>169</v>
      </c>
      <c r="K539" s="311" t="s">
        <v>1593</v>
      </c>
      <c r="L539" s="133" t="s">
        <v>210</v>
      </c>
      <c r="M539" s="103">
        <v>500000</v>
      </c>
      <c r="N539" s="133" t="s">
        <v>122</v>
      </c>
    </row>
    <row r="540" spans="1:14" ht="27" hidden="1" x14ac:dyDescent="0.3">
      <c r="A540" s="131">
        <v>33</v>
      </c>
      <c r="B540" s="523"/>
      <c r="C540" s="99" t="s">
        <v>2318</v>
      </c>
      <c r="D540" s="133" t="s">
        <v>307</v>
      </c>
      <c r="E540" s="133" t="s">
        <v>323</v>
      </c>
      <c r="F540" s="133" t="s">
        <v>308</v>
      </c>
      <c r="G540" s="207" t="s">
        <v>2058</v>
      </c>
      <c r="H540" s="133" t="s">
        <v>126</v>
      </c>
      <c r="I540" s="207" t="s">
        <v>2317</v>
      </c>
      <c r="J540" s="133" t="s">
        <v>169</v>
      </c>
      <c r="K540" s="317" t="s">
        <v>1664</v>
      </c>
      <c r="L540" s="133" t="s">
        <v>210</v>
      </c>
      <c r="M540" s="103">
        <v>500000</v>
      </c>
      <c r="N540" s="133" t="s">
        <v>122</v>
      </c>
    </row>
    <row r="541" spans="1:14" ht="27" hidden="1" x14ac:dyDescent="0.3">
      <c r="A541" s="131">
        <v>33</v>
      </c>
      <c r="B541" s="524"/>
      <c r="C541" s="99" t="s">
        <v>2319</v>
      </c>
      <c r="D541" s="133" t="s">
        <v>307</v>
      </c>
      <c r="E541" s="133" t="s">
        <v>323</v>
      </c>
      <c r="F541" s="133" t="s">
        <v>308</v>
      </c>
      <c r="G541" s="207" t="s">
        <v>2058</v>
      </c>
      <c r="H541" s="133" t="s">
        <v>363</v>
      </c>
      <c r="I541" s="207" t="s">
        <v>1972</v>
      </c>
      <c r="J541" s="133" t="s">
        <v>169</v>
      </c>
      <c r="K541" s="317" t="s">
        <v>1664</v>
      </c>
      <c r="L541" s="133" t="s">
        <v>210</v>
      </c>
      <c r="M541" s="103">
        <v>500000</v>
      </c>
      <c r="N541" s="133" t="s">
        <v>122</v>
      </c>
    </row>
    <row r="542" spans="1:14" ht="27" hidden="1" x14ac:dyDescent="0.3">
      <c r="A542" s="131">
        <v>33</v>
      </c>
      <c r="B542" s="522" t="s">
        <v>21</v>
      </c>
      <c r="C542" s="99">
        <v>45517</v>
      </c>
      <c r="D542" s="4" t="s">
        <v>139</v>
      </c>
      <c r="E542" s="4" t="s">
        <v>31</v>
      </c>
      <c r="F542" s="4" t="s">
        <v>1389</v>
      </c>
      <c r="G542" s="4" t="s">
        <v>2139</v>
      </c>
      <c r="H542" s="3" t="s">
        <v>23</v>
      </c>
      <c r="I542" s="287" t="s">
        <v>2320</v>
      </c>
      <c r="J542" s="14"/>
      <c r="K542" s="307" t="s">
        <v>2481</v>
      </c>
      <c r="L542" s="6" t="s">
        <v>15</v>
      </c>
      <c r="M542" s="103">
        <v>500000</v>
      </c>
      <c r="N542" s="8" t="s">
        <v>2315</v>
      </c>
    </row>
    <row r="543" spans="1:14" hidden="1" x14ac:dyDescent="0.3">
      <c r="A543" s="131">
        <v>33</v>
      </c>
      <c r="B543" s="523"/>
      <c r="C543" s="99">
        <v>45517</v>
      </c>
      <c r="D543" s="4" t="s">
        <v>139</v>
      </c>
      <c r="E543" s="4" t="s">
        <v>140</v>
      </c>
      <c r="F543" s="3" t="s">
        <v>226</v>
      </c>
      <c r="G543" s="3" t="s">
        <v>2107</v>
      </c>
      <c r="H543" s="3" t="s">
        <v>126</v>
      </c>
      <c r="I543" s="9" t="s">
        <v>2314</v>
      </c>
      <c r="J543" s="14" t="s">
        <v>90</v>
      </c>
      <c r="K543" s="312" t="s">
        <v>688</v>
      </c>
      <c r="L543" s="6" t="s">
        <v>15</v>
      </c>
      <c r="M543" s="103">
        <v>250000</v>
      </c>
      <c r="N543" s="8" t="s">
        <v>2316</v>
      </c>
    </row>
    <row r="544" spans="1:14" ht="27" hidden="1" x14ac:dyDescent="0.3">
      <c r="A544" s="131">
        <v>33</v>
      </c>
      <c r="B544" s="523"/>
      <c r="C544" s="99">
        <v>45520</v>
      </c>
      <c r="D544" s="3" t="s">
        <v>139</v>
      </c>
      <c r="E544" s="4" t="s">
        <v>31</v>
      </c>
      <c r="F544" s="4" t="s">
        <v>78</v>
      </c>
      <c r="G544" s="14" t="s">
        <v>504</v>
      </c>
      <c r="H544" s="3" t="s">
        <v>80</v>
      </c>
      <c r="I544" s="9" t="s">
        <v>2313</v>
      </c>
      <c r="J544" s="14" t="s">
        <v>90</v>
      </c>
      <c r="K544" s="183" t="s">
        <v>1001</v>
      </c>
      <c r="L544" s="6" t="s">
        <v>15</v>
      </c>
      <c r="M544" s="103">
        <v>300000</v>
      </c>
      <c r="N544" s="8" t="s">
        <v>2321</v>
      </c>
    </row>
    <row r="545" spans="1:14" hidden="1" x14ac:dyDescent="0.3">
      <c r="A545" s="131">
        <v>33</v>
      </c>
      <c r="B545" s="524"/>
      <c r="C545" s="99">
        <v>45520</v>
      </c>
      <c r="D545" s="4" t="s">
        <v>21</v>
      </c>
      <c r="E545" s="4" t="s">
        <v>14</v>
      </c>
      <c r="F545" s="3" t="s">
        <v>108</v>
      </c>
      <c r="G545" s="4" t="s">
        <v>109</v>
      </c>
      <c r="H545" s="3" t="s">
        <v>378</v>
      </c>
      <c r="I545" s="287" t="s">
        <v>2322</v>
      </c>
      <c r="J545" s="14"/>
      <c r="K545" s="318" t="s">
        <v>119</v>
      </c>
      <c r="L545" s="6" t="s">
        <v>15</v>
      </c>
      <c r="M545" s="103">
        <v>500000</v>
      </c>
      <c r="N545" s="8" t="s">
        <v>2323</v>
      </c>
    </row>
    <row r="546" spans="1:14" ht="27" hidden="1" x14ac:dyDescent="0.3">
      <c r="A546" s="131">
        <v>34</v>
      </c>
      <c r="B546" s="522" t="s">
        <v>20</v>
      </c>
      <c r="C546" s="99" t="s">
        <v>2326</v>
      </c>
      <c r="D546" s="133" t="s">
        <v>307</v>
      </c>
      <c r="E546" s="133" t="s">
        <v>323</v>
      </c>
      <c r="F546" s="133" t="s">
        <v>308</v>
      </c>
      <c r="G546" s="217" t="s">
        <v>2327</v>
      </c>
      <c r="H546" s="216" t="s">
        <v>2328</v>
      </c>
      <c r="I546" s="207" t="s">
        <v>2329</v>
      </c>
      <c r="J546" s="216" t="s">
        <v>169</v>
      </c>
      <c r="K546" s="317" t="s">
        <v>1878</v>
      </c>
      <c r="L546" s="216" t="s">
        <v>210</v>
      </c>
      <c r="M546" s="103">
        <v>750000</v>
      </c>
      <c r="N546" s="216" t="s">
        <v>122</v>
      </c>
    </row>
    <row r="547" spans="1:14" ht="27" hidden="1" x14ac:dyDescent="0.3">
      <c r="A547" s="131">
        <v>34</v>
      </c>
      <c r="B547" s="523"/>
      <c r="C547" s="99" t="s">
        <v>2330</v>
      </c>
      <c r="D547" s="133" t="s">
        <v>307</v>
      </c>
      <c r="E547" s="133" t="s">
        <v>323</v>
      </c>
      <c r="F547" s="133" t="s">
        <v>308</v>
      </c>
      <c r="G547" s="217" t="s">
        <v>2334</v>
      </c>
      <c r="H547" s="216" t="s">
        <v>40</v>
      </c>
      <c r="I547" s="207" t="s">
        <v>2331</v>
      </c>
      <c r="J547" s="216" t="s">
        <v>169</v>
      </c>
      <c r="K547" s="317" t="s">
        <v>1664</v>
      </c>
      <c r="L547" s="216" t="s">
        <v>210</v>
      </c>
      <c r="M547" s="103">
        <v>500000</v>
      </c>
      <c r="N547" s="216" t="s">
        <v>122</v>
      </c>
    </row>
    <row r="548" spans="1:14" hidden="1" x14ac:dyDescent="0.3">
      <c r="A548" s="131">
        <v>34</v>
      </c>
      <c r="B548" s="523"/>
      <c r="C548" s="99">
        <v>45523</v>
      </c>
      <c r="D548" s="133" t="s">
        <v>307</v>
      </c>
      <c r="E548" s="133" t="s">
        <v>323</v>
      </c>
      <c r="F548" s="133" t="s">
        <v>308</v>
      </c>
      <c r="G548" s="217">
        <v>3307</v>
      </c>
      <c r="H548" s="216" t="s">
        <v>813</v>
      </c>
      <c r="I548" s="207" t="s">
        <v>2335</v>
      </c>
      <c r="J548" s="216" t="s">
        <v>169</v>
      </c>
      <c r="K548" s="312" t="s">
        <v>688</v>
      </c>
      <c r="L548" s="216" t="s">
        <v>210</v>
      </c>
      <c r="M548" s="103">
        <v>250000</v>
      </c>
      <c r="N548" s="216" t="s">
        <v>122</v>
      </c>
    </row>
    <row r="549" spans="1:14" ht="27" hidden="1" x14ac:dyDescent="0.3">
      <c r="A549" s="131">
        <v>34</v>
      </c>
      <c r="B549" s="524"/>
      <c r="C549" s="99" t="s">
        <v>2333</v>
      </c>
      <c r="D549" s="133" t="s">
        <v>307</v>
      </c>
      <c r="E549" s="133" t="s">
        <v>323</v>
      </c>
      <c r="F549" s="133" t="s">
        <v>308</v>
      </c>
      <c r="G549" s="217" t="s">
        <v>2058</v>
      </c>
      <c r="H549" s="216" t="s">
        <v>228</v>
      </c>
      <c r="I549" s="207" t="s">
        <v>2332</v>
      </c>
      <c r="J549" s="216" t="s">
        <v>470</v>
      </c>
      <c r="K549" s="311" t="s">
        <v>1577</v>
      </c>
      <c r="L549" s="216" t="s">
        <v>210</v>
      </c>
      <c r="M549" s="103">
        <v>1500000</v>
      </c>
      <c r="N549" s="216" t="s">
        <v>248</v>
      </c>
    </row>
    <row r="550" spans="1:14" hidden="1" x14ac:dyDescent="0.3">
      <c r="A550" s="131">
        <v>34</v>
      </c>
      <c r="B550" s="59" t="s">
        <v>64</v>
      </c>
      <c r="C550" s="99">
        <v>45527</v>
      </c>
      <c r="D550" s="4" t="s">
        <v>21</v>
      </c>
      <c r="E550" s="4" t="s">
        <v>17</v>
      </c>
      <c r="F550" s="4" t="s">
        <v>955</v>
      </c>
      <c r="G550" s="14">
        <v>7060</v>
      </c>
      <c r="H550" s="3" t="s">
        <v>36</v>
      </c>
      <c r="I550" s="34" t="s">
        <v>2325</v>
      </c>
      <c r="J550" s="14" t="s">
        <v>90</v>
      </c>
      <c r="K550" s="4" t="s">
        <v>60</v>
      </c>
      <c r="L550" s="6" t="s">
        <v>15</v>
      </c>
      <c r="M550" s="103">
        <v>250000</v>
      </c>
      <c r="N550" s="8" t="s">
        <v>1885</v>
      </c>
    </row>
    <row r="551" spans="1:14" ht="27" hidden="1" x14ac:dyDescent="0.3">
      <c r="A551" s="131">
        <v>35</v>
      </c>
      <c r="B551" s="522" t="s">
        <v>124</v>
      </c>
      <c r="C551" s="99" t="s">
        <v>2338</v>
      </c>
      <c r="D551" s="133" t="s">
        <v>307</v>
      </c>
      <c r="E551" s="133" t="s">
        <v>323</v>
      </c>
      <c r="F551" s="133" t="s">
        <v>308</v>
      </c>
      <c r="G551" s="207" t="s">
        <v>2340</v>
      </c>
      <c r="H551" s="133" t="s">
        <v>23</v>
      </c>
      <c r="I551" s="207" t="s">
        <v>1972</v>
      </c>
      <c r="J551" s="133" t="s">
        <v>169</v>
      </c>
      <c r="K551" s="317" t="s">
        <v>1878</v>
      </c>
      <c r="L551" s="133" t="s">
        <v>210</v>
      </c>
      <c r="M551" s="103">
        <v>750000</v>
      </c>
      <c r="N551" s="133" t="s">
        <v>122</v>
      </c>
    </row>
    <row r="552" spans="1:14" ht="27" hidden="1" x14ac:dyDescent="0.3">
      <c r="A552" s="131">
        <v>35</v>
      </c>
      <c r="B552" s="523"/>
      <c r="C552" s="99" t="s">
        <v>2339</v>
      </c>
      <c r="D552" s="133" t="s">
        <v>307</v>
      </c>
      <c r="E552" s="133" t="s">
        <v>323</v>
      </c>
      <c r="F552" s="133" t="s">
        <v>308</v>
      </c>
      <c r="G552" s="207" t="s">
        <v>2341</v>
      </c>
      <c r="H552" s="133" t="s">
        <v>2342</v>
      </c>
      <c r="I552" s="207" t="s">
        <v>1972</v>
      </c>
      <c r="J552" s="133" t="s">
        <v>169</v>
      </c>
      <c r="K552" s="317" t="s">
        <v>1664</v>
      </c>
      <c r="L552" s="133" t="s">
        <v>210</v>
      </c>
      <c r="M552" s="103">
        <v>500000</v>
      </c>
      <c r="N552" s="133" t="s">
        <v>122</v>
      </c>
    </row>
    <row r="553" spans="1:14" ht="27" hidden="1" x14ac:dyDescent="0.3">
      <c r="A553" s="131">
        <v>35</v>
      </c>
      <c r="B553" s="524"/>
      <c r="C553" s="99" t="s">
        <v>2339</v>
      </c>
      <c r="D553" s="133" t="s">
        <v>307</v>
      </c>
      <c r="E553" s="133" t="s">
        <v>323</v>
      </c>
      <c r="F553" s="133" t="s">
        <v>308</v>
      </c>
      <c r="G553" s="207" t="s">
        <v>2058</v>
      </c>
      <c r="H553" s="133" t="s">
        <v>345</v>
      </c>
      <c r="I553" s="207" t="s">
        <v>2348</v>
      </c>
      <c r="J553" s="133" t="s">
        <v>470</v>
      </c>
      <c r="K553" s="311" t="s">
        <v>1593</v>
      </c>
      <c r="L553" s="133" t="s">
        <v>210</v>
      </c>
      <c r="M553" s="103">
        <v>500000</v>
      </c>
      <c r="N553" s="133" t="s">
        <v>248</v>
      </c>
    </row>
    <row r="554" spans="1:14" ht="27" hidden="1" x14ac:dyDescent="0.3">
      <c r="A554" s="131">
        <v>35</v>
      </c>
      <c r="B554" s="522" t="s">
        <v>2354</v>
      </c>
      <c r="C554" s="99">
        <v>45528</v>
      </c>
      <c r="D554" s="4" t="s">
        <v>2353</v>
      </c>
      <c r="E554" s="4" t="s">
        <v>14</v>
      </c>
      <c r="F554" s="3" t="s">
        <v>1902</v>
      </c>
      <c r="G554" s="4" t="s">
        <v>2350</v>
      </c>
      <c r="H554" s="4" t="s">
        <v>83</v>
      </c>
      <c r="I554" s="287" t="s">
        <v>2351</v>
      </c>
      <c r="J554" s="14" t="s">
        <v>2349</v>
      </c>
      <c r="K554" s="315" t="s">
        <v>41</v>
      </c>
      <c r="L554" s="6" t="s">
        <v>15</v>
      </c>
      <c r="M554" s="103">
        <v>250000</v>
      </c>
      <c r="N554" s="8" t="s">
        <v>2352</v>
      </c>
    </row>
    <row r="555" spans="1:14" hidden="1" x14ac:dyDescent="0.3">
      <c r="A555" s="131">
        <v>35</v>
      </c>
      <c r="B555" s="523"/>
      <c r="C555" s="99">
        <v>45530</v>
      </c>
      <c r="D555" s="4" t="s">
        <v>21</v>
      </c>
      <c r="E555" s="4" t="s">
        <v>14</v>
      </c>
      <c r="F555" s="3" t="s">
        <v>226</v>
      </c>
      <c r="G555" s="4" t="s">
        <v>1656</v>
      </c>
      <c r="H555" s="4" t="s">
        <v>2160</v>
      </c>
      <c r="I555" s="287" t="s">
        <v>319</v>
      </c>
      <c r="J555" s="14"/>
      <c r="K555" s="313" t="s">
        <v>643</v>
      </c>
      <c r="L555" s="6" t="s">
        <v>15</v>
      </c>
      <c r="M555" s="103">
        <v>500000</v>
      </c>
      <c r="N555" s="8" t="s">
        <v>129</v>
      </c>
    </row>
    <row r="556" spans="1:14" hidden="1" x14ac:dyDescent="0.3">
      <c r="A556" s="131">
        <v>35</v>
      </c>
      <c r="B556" s="523"/>
      <c r="C556" s="99">
        <v>45531</v>
      </c>
      <c r="D556" s="4" t="s">
        <v>2353</v>
      </c>
      <c r="E556" s="4" t="s">
        <v>14</v>
      </c>
      <c r="F556" s="3" t="s">
        <v>226</v>
      </c>
      <c r="G556" s="4" t="s">
        <v>1656</v>
      </c>
      <c r="H556" s="4" t="s">
        <v>2337</v>
      </c>
      <c r="I556" s="287" t="s">
        <v>2344</v>
      </c>
      <c r="J556" s="14"/>
      <c r="K556" s="320" t="s">
        <v>643</v>
      </c>
      <c r="L556" s="6" t="s">
        <v>15</v>
      </c>
      <c r="M556" s="103">
        <v>500000</v>
      </c>
      <c r="N556" s="8" t="s">
        <v>2343</v>
      </c>
    </row>
    <row r="557" spans="1:14" ht="27" hidden="1" x14ac:dyDescent="0.3">
      <c r="A557" s="131">
        <v>35</v>
      </c>
      <c r="B557" s="524"/>
      <c r="C557" s="99" t="s">
        <v>2345</v>
      </c>
      <c r="D557" s="3" t="s">
        <v>21</v>
      </c>
      <c r="E557" s="4" t="s">
        <v>17</v>
      </c>
      <c r="F557" s="4" t="s">
        <v>1797</v>
      </c>
      <c r="G557" s="17" t="s">
        <v>685</v>
      </c>
      <c r="H557" s="3" t="s">
        <v>28</v>
      </c>
      <c r="I557" s="9" t="s">
        <v>2346</v>
      </c>
      <c r="J557" s="14"/>
      <c r="K557" s="323" t="s">
        <v>2169</v>
      </c>
      <c r="L557" s="6" t="s">
        <v>15</v>
      </c>
      <c r="M557" s="103">
        <v>600000</v>
      </c>
      <c r="N557" s="8" t="s">
        <v>1885</v>
      </c>
    </row>
    <row r="558" spans="1:14" ht="27" hidden="1" x14ac:dyDescent="0.3">
      <c r="A558" s="131">
        <v>36</v>
      </c>
      <c r="B558" s="522" t="s">
        <v>176</v>
      </c>
      <c r="C558" s="99" t="s">
        <v>2359</v>
      </c>
      <c r="D558" s="133" t="s">
        <v>307</v>
      </c>
      <c r="E558" s="133" t="s">
        <v>323</v>
      </c>
      <c r="F558" s="133" t="s">
        <v>308</v>
      </c>
      <c r="G558" s="207" t="s">
        <v>2360</v>
      </c>
      <c r="H558" s="133" t="s">
        <v>23</v>
      </c>
      <c r="I558" s="207" t="s">
        <v>1972</v>
      </c>
      <c r="J558" s="133" t="s">
        <v>169</v>
      </c>
      <c r="K558" s="326" t="s">
        <v>1878</v>
      </c>
      <c r="L558" s="133" t="s">
        <v>210</v>
      </c>
      <c r="M558" s="103">
        <v>750000</v>
      </c>
      <c r="N558" s="216" t="s">
        <v>122</v>
      </c>
    </row>
    <row r="559" spans="1:14" ht="27" hidden="1" x14ac:dyDescent="0.3">
      <c r="A559" s="131">
        <v>36</v>
      </c>
      <c r="B559" s="523"/>
      <c r="C559" s="99" t="s">
        <v>2362</v>
      </c>
      <c r="D559" s="133" t="s">
        <v>307</v>
      </c>
      <c r="E559" s="133" t="s">
        <v>323</v>
      </c>
      <c r="F559" s="133" t="s">
        <v>308</v>
      </c>
      <c r="G559" s="207" t="s">
        <v>2058</v>
      </c>
      <c r="H559" s="133" t="s">
        <v>363</v>
      </c>
      <c r="I559" s="207" t="s">
        <v>1972</v>
      </c>
      <c r="J559" s="133" t="s">
        <v>169</v>
      </c>
      <c r="K559" s="326" t="s">
        <v>1664</v>
      </c>
      <c r="L559" s="216" t="s">
        <v>210</v>
      </c>
      <c r="M559" s="103">
        <v>500000</v>
      </c>
      <c r="N559" s="216" t="s">
        <v>122</v>
      </c>
    </row>
    <row r="560" spans="1:14" ht="27" hidden="1" x14ac:dyDescent="0.3">
      <c r="A560" s="131">
        <v>36</v>
      </c>
      <c r="B560" s="524"/>
      <c r="C560" s="99" t="s">
        <v>2363</v>
      </c>
      <c r="D560" s="133" t="s">
        <v>307</v>
      </c>
      <c r="E560" s="133" t="s">
        <v>323</v>
      </c>
      <c r="F560" s="133" t="s">
        <v>308</v>
      </c>
      <c r="G560" s="207" t="s">
        <v>2145</v>
      </c>
      <c r="H560" s="133" t="s">
        <v>1396</v>
      </c>
      <c r="I560" s="207" t="s">
        <v>2332</v>
      </c>
      <c r="J560" s="216" t="s">
        <v>95</v>
      </c>
      <c r="K560" s="197" t="s">
        <v>1754</v>
      </c>
      <c r="L560" s="216" t="s">
        <v>210</v>
      </c>
      <c r="M560" s="103">
        <v>1000000</v>
      </c>
      <c r="N560" s="216" t="s">
        <v>2347</v>
      </c>
    </row>
    <row r="561" spans="1:14" ht="27" hidden="1" x14ac:dyDescent="0.3">
      <c r="A561" s="131">
        <v>36</v>
      </c>
      <c r="B561" s="522" t="s">
        <v>64</v>
      </c>
      <c r="C561" s="99">
        <v>45535</v>
      </c>
      <c r="D561" s="3" t="s">
        <v>21</v>
      </c>
      <c r="E561" s="4" t="s">
        <v>100</v>
      </c>
      <c r="F561" s="3" t="s">
        <v>1902</v>
      </c>
      <c r="G561" s="3" t="s">
        <v>2355</v>
      </c>
      <c r="H561" s="3" t="s">
        <v>201</v>
      </c>
      <c r="I561" s="9" t="s">
        <v>2356</v>
      </c>
      <c r="J561" s="14"/>
      <c r="K561" s="4" t="s">
        <v>2357</v>
      </c>
      <c r="L561" s="91" t="s">
        <v>15</v>
      </c>
      <c r="M561" s="103">
        <v>250000</v>
      </c>
      <c r="N561" s="19" t="s">
        <v>2361</v>
      </c>
    </row>
    <row r="562" spans="1:14" hidden="1" x14ac:dyDescent="0.3">
      <c r="A562" s="131">
        <v>36</v>
      </c>
      <c r="B562" s="523"/>
      <c r="C562" s="99">
        <v>45538</v>
      </c>
      <c r="D562" s="4" t="s">
        <v>312</v>
      </c>
      <c r="E562" s="4" t="s">
        <v>321</v>
      </c>
      <c r="F562" s="3" t="s">
        <v>278</v>
      </c>
      <c r="G562" s="3">
        <v>4267</v>
      </c>
      <c r="H562" s="3" t="s">
        <v>642</v>
      </c>
      <c r="I562" s="9" t="s">
        <v>2365</v>
      </c>
      <c r="J562" s="14"/>
      <c r="K562" s="322" t="s">
        <v>688</v>
      </c>
      <c r="L562" s="91" t="s">
        <v>310</v>
      </c>
      <c r="M562" s="103">
        <v>250000</v>
      </c>
      <c r="N562" s="8" t="s">
        <v>1990</v>
      </c>
    </row>
    <row r="563" spans="1:14" hidden="1" x14ac:dyDescent="0.3">
      <c r="A563" s="131">
        <v>36</v>
      </c>
      <c r="B563" s="523"/>
      <c r="C563" s="99">
        <v>45539</v>
      </c>
      <c r="D563" s="4" t="s">
        <v>312</v>
      </c>
      <c r="E563" s="4" t="s">
        <v>321</v>
      </c>
      <c r="F563" s="3" t="s">
        <v>711</v>
      </c>
      <c r="G563" s="3" t="s">
        <v>2107</v>
      </c>
      <c r="H563" s="3" t="s">
        <v>642</v>
      </c>
      <c r="I563" s="9" t="s">
        <v>2364</v>
      </c>
      <c r="J563" s="14"/>
      <c r="K563" s="9" t="s">
        <v>688</v>
      </c>
      <c r="L563" s="91" t="s">
        <v>310</v>
      </c>
      <c r="M563" s="103">
        <v>250000</v>
      </c>
      <c r="N563" s="8" t="s">
        <v>2316</v>
      </c>
    </row>
    <row r="564" spans="1:14" hidden="1" x14ac:dyDescent="0.3">
      <c r="A564" s="131">
        <v>36</v>
      </c>
      <c r="B564" s="524"/>
      <c r="C564" s="99">
        <v>45540</v>
      </c>
      <c r="D564" s="4" t="s">
        <v>21</v>
      </c>
      <c r="E564" s="4" t="s">
        <v>14</v>
      </c>
      <c r="F564" s="3" t="s">
        <v>108</v>
      </c>
      <c r="G564" s="3" t="s">
        <v>963</v>
      </c>
      <c r="H564" s="3" t="s">
        <v>144</v>
      </c>
      <c r="I564" s="9" t="s">
        <v>2358</v>
      </c>
      <c r="J564" s="14" t="s">
        <v>90</v>
      </c>
      <c r="K564" s="4" t="s">
        <v>688</v>
      </c>
      <c r="L564" s="91" t="s">
        <v>310</v>
      </c>
      <c r="M564" s="103">
        <v>250000</v>
      </c>
      <c r="N564" s="8" t="s">
        <v>2323</v>
      </c>
    </row>
    <row r="565" spans="1:14" ht="27" hidden="1" x14ac:dyDescent="0.3">
      <c r="A565" s="131">
        <v>37</v>
      </c>
      <c r="B565" s="522" t="s">
        <v>20</v>
      </c>
      <c r="C565" s="99" t="s">
        <v>2488</v>
      </c>
      <c r="D565" s="133" t="s">
        <v>307</v>
      </c>
      <c r="E565" s="133" t="s">
        <v>323</v>
      </c>
      <c r="F565" s="133" t="s">
        <v>308</v>
      </c>
      <c r="G565" s="207" t="s">
        <v>2058</v>
      </c>
      <c r="H565" s="133" t="s">
        <v>265</v>
      </c>
      <c r="I565" s="207" t="s">
        <v>1124</v>
      </c>
      <c r="J565" s="133"/>
      <c r="K565" s="326" t="s">
        <v>2485</v>
      </c>
      <c r="L565" s="133" t="s">
        <v>210</v>
      </c>
      <c r="M565" s="103">
        <v>1000000</v>
      </c>
      <c r="N565" s="216" t="s">
        <v>122</v>
      </c>
    </row>
    <row r="566" spans="1:14" hidden="1" x14ac:dyDescent="0.3">
      <c r="A566" s="131">
        <v>37</v>
      </c>
      <c r="B566" s="523"/>
      <c r="C566" s="99" t="s">
        <v>2487</v>
      </c>
      <c r="D566" s="133" t="s">
        <v>307</v>
      </c>
      <c r="E566" s="133" t="s">
        <v>323</v>
      </c>
      <c r="F566" s="133" t="s">
        <v>308</v>
      </c>
      <c r="G566" s="207" t="s">
        <v>2340</v>
      </c>
      <c r="H566" s="133" t="s">
        <v>23</v>
      </c>
      <c r="I566" s="207" t="s">
        <v>2483</v>
      </c>
      <c r="J566" s="133"/>
      <c r="K566" s="326" t="s">
        <v>1842</v>
      </c>
      <c r="L566" s="216" t="s">
        <v>210</v>
      </c>
      <c r="M566" s="103">
        <v>250000</v>
      </c>
      <c r="N566" s="216" t="s">
        <v>122</v>
      </c>
    </row>
    <row r="567" spans="1:14" ht="27" hidden="1" x14ac:dyDescent="0.3">
      <c r="A567" s="131">
        <v>37</v>
      </c>
      <c r="B567" s="523"/>
      <c r="C567" s="99" t="s">
        <v>2486</v>
      </c>
      <c r="D567" s="133" t="s">
        <v>307</v>
      </c>
      <c r="E567" s="133" t="s">
        <v>323</v>
      </c>
      <c r="F567" s="133" t="s">
        <v>308</v>
      </c>
      <c r="G567" s="207" t="s">
        <v>2340</v>
      </c>
      <c r="H567" s="133" t="s">
        <v>23</v>
      </c>
      <c r="I567" s="207" t="s">
        <v>2332</v>
      </c>
      <c r="J567" s="216" t="s">
        <v>470</v>
      </c>
      <c r="K567" s="197" t="s">
        <v>1754</v>
      </c>
      <c r="L567" s="216" t="s">
        <v>210</v>
      </c>
      <c r="M567" s="103">
        <v>1000000</v>
      </c>
      <c r="N567" s="216" t="s">
        <v>248</v>
      </c>
    </row>
    <row r="568" spans="1:14" hidden="1" x14ac:dyDescent="0.3">
      <c r="A568" s="131">
        <v>37</v>
      </c>
      <c r="B568" s="523" t="s">
        <v>21</v>
      </c>
      <c r="C568" s="130">
        <v>45542</v>
      </c>
      <c r="D568" s="3" t="s">
        <v>21</v>
      </c>
      <c r="E568" s="4" t="s">
        <v>31</v>
      </c>
      <c r="F568" s="3" t="s">
        <v>1902</v>
      </c>
      <c r="G568" s="4" t="s">
        <v>364</v>
      </c>
      <c r="H568" s="4" t="s">
        <v>149</v>
      </c>
      <c r="I568" s="9" t="s">
        <v>2484</v>
      </c>
      <c r="J568" s="14"/>
      <c r="K568" s="325" t="s">
        <v>2480</v>
      </c>
      <c r="L568" s="91" t="s">
        <v>15</v>
      </c>
      <c r="M568" s="103">
        <v>550000</v>
      </c>
      <c r="N568" s="19" t="s">
        <v>2124</v>
      </c>
    </row>
    <row r="569" spans="1:14" hidden="1" x14ac:dyDescent="0.3">
      <c r="A569" s="131">
        <v>37</v>
      </c>
      <c r="B569" s="523"/>
      <c r="C569" s="130">
        <v>45545</v>
      </c>
      <c r="D569" s="4" t="s">
        <v>21</v>
      </c>
      <c r="E569" s="4" t="s">
        <v>14</v>
      </c>
      <c r="F569" s="3" t="s">
        <v>226</v>
      </c>
      <c r="G569" s="4" t="s">
        <v>2107</v>
      </c>
      <c r="H569" s="4" t="s">
        <v>2160</v>
      </c>
      <c r="I569" s="106" t="s">
        <v>319</v>
      </c>
      <c r="J569" s="14"/>
      <c r="K569" s="322" t="s">
        <v>643</v>
      </c>
      <c r="L569" s="6" t="s">
        <v>15</v>
      </c>
      <c r="M569" s="103">
        <v>500000</v>
      </c>
      <c r="N569" s="8" t="s">
        <v>809</v>
      </c>
    </row>
    <row r="570" spans="1:14" ht="27" hidden="1" x14ac:dyDescent="0.3">
      <c r="A570" s="131">
        <v>37</v>
      </c>
      <c r="B570" s="524"/>
      <c r="C570" s="130">
        <v>45548</v>
      </c>
      <c r="D570" s="4" t="s">
        <v>139</v>
      </c>
      <c r="E570" s="4" t="s">
        <v>31</v>
      </c>
      <c r="F570" s="4" t="s">
        <v>1389</v>
      </c>
      <c r="G570" s="4" t="s">
        <v>2139</v>
      </c>
      <c r="H570" s="3" t="s">
        <v>23</v>
      </c>
      <c r="I570" s="106" t="s">
        <v>2336</v>
      </c>
      <c r="J570" s="14"/>
      <c r="K570" s="305" t="s">
        <v>489</v>
      </c>
      <c r="L570" s="6" t="s">
        <v>15</v>
      </c>
      <c r="M570" s="103">
        <v>500000</v>
      </c>
      <c r="N570" s="8" t="s">
        <v>2315</v>
      </c>
    </row>
    <row r="571" spans="1:14" ht="27" hidden="1" x14ac:dyDescent="0.3">
      <c r="A571" s="131">
        <v>38</v>
      </c>
      <c r="B571" s="547" t="s">
        <v>2518</v>
      </c>
      <c r="C571" s="99" t="s">
        <v>2489</v>
      </c>
      <c r="D571" s="133" t="s">
        <v>307</v>
      </c>
      <c r="E571" s="133" t="s">
        <v>323</v>
      </c>
      <c r="F571" s="133" t="s">
        <v>308</v>
      </c>
      <c r="G571" s="207" t="s">
        <v>2491</v>
      </c>
      <c r="H571" s="133" t="s">
        <v>23</v>
      </c>
      <c r="I571" s="207" t="s">
        <v>2041</v>
      </c>
      <c r="J571" s="133" t="s">
        <v>2492</v>
      </c>
      <c r="K571" s="326" t="s">
        <v>2490</v>
      </c>
      <c r="L571" s="133" t="s">
        <v>210</v>
      </c>
      <c r="M571" s="103">
        <v>500000</v>
      </c>
      <c r="N571" s="133" t="s">
        <v>122</v>
      </c>
    </row>
    <row r="572" spans="1:14" hidden="1" x14ac:dyDescent="0.3">
      <c r="A572" s="131">
        <v>38</v>
      </c>
      <c r="B572" s="549"/>
      <c r="C572" s="99">
        <v>45556</v>
      </c>
      <c r="D572" s="133" t="s">
        <v>307</v>
      </c>
      <c r="E572" s="133" t="s">
        <v>323</v>
      </c>
      <c r="F572" s="133" t="s">
        <v>308</v>
      </c>
      <c r="G572" s="207" t="s">
        <v>2496</v>
      </c>
      <c r="H572" s="133" t="s">
        <v>2497</v>
      </c>
      <c r="I572" s="207" t="s">
        <v>2147</v>
      </c>
      <c r="J572" s="133" t="s">
        <v>2498</v>
      </c>
      <c r="K572" s="197" t="s">
        <v>2499</v>
      </c>
      <c r="L572" s="133"/>
      <c r="M572" s="103">
        <v>500000</v>
      </c>
      <c r="N572" s="133" t="s">
        <v>2500</v>
      </c>
    </row>
    <row r="573" spans="1:14" ht="27" hidden="1" x14ac:dyDescent="0.3">
      <c r="A573" s="131">
        <v>38</v>
      </c>
      <c r="B573" s="99" t="s">
        <v>64</v>
      </c>
      <c r="C573" s="99" t="s">
        <v>2493</v>
      </c>
      <c r="D573" s="4" t="s">
        <v>139</v>
      </c>
      <c r="E573" s="4" t="s">
        <v>31</v>
      </c>
      <c r="F573" s="4" t="s">
        <v>1389</v>
      </c>
      <c r="G573" s="4" t="s">
        <v>2139</v>
      </c>
      <c r="H573" s="3" t="s">
        <v>23</v>
      </c>
      <c r="I573" s="287" t="s">
        <v>2501</v>
      </c>
      <c r="J573" s="14" t="s">
        <v>2495</v>
      </c>
      <c r="K573" s="305" t="s">
        <v>2494</v>
      </c>
      <c r="L573" s="6" t="s">
        <v>15</v>
      </c>
      <c r="M573" s="103">
        <v>1000000</v>
      </c>
      <c r="N573" s="8" t="s">
        <v>2315</v>
      </c>
    </row>
    <row r="574" spans="1:14" hidden="1" x14ac:dyDescent="0.3">
      <c r="A574" s="131">
        <v>39</v>
      </c>
      <c r="B574" s="547" t="s">
        <v>2556</v>
      </c>
      <c r="C574" s="99">
        <v>45558</v>
      </c>
      <c r="D574" s="133" t="s">
        <v>307</v>
      </c>
      <c r="E574" s="133" t="s">
        <v>323</v>
      </c>
      <c r="F574" s="133" t="s">
        <v>308</v>
      </c>
      <c r="G574" s="207" t="s">
        <v>1959</v>
      </c>
      <c r="H574" s="133" t="s">
        <v>23</v>
      </c>
      <c r="I574" s="207" t="s">
        <v>616</v>
      </c>
      <c r="J574" s="133" t="s">
        <v>169</v>
      </c>
      <c r="K574" s="326" t="s">
        <v>1842</v>
      </c>
      <c r="L574" s="133" t="s">
        <v>210</v>
      </c>
      <c r="M574" s="103">
        <v>250000</v>
      </c>
      <c r="N574" s="133" t="s">
        <v>122</v>
      </c>
    </row>
    <row r="575" spans="1:14" ht="27" hidden="1" x14ac:dyDescent="0.3">
      <c r="A575" s="131">
        <v>39</v>
      </c>
      <c r="B575" s="548"/>
      <c r="C575" s="99" t="s">
        <v>2504</v>
      </c>
      <c r="D575" s="133" t="s">
        <v>307</v>
      </c>
      <c r="E575" s="133" t="s">
        <v>323</v>
      </c>
      <c r="F575" s="133" t="s">
        <v>308</v>
      </c>
      <c r="G575" s="207" t="s">
        <v>2058</v>
      </c>
      <c r="H575" s="133" t="s">
        <v>896</v>
      </c>
      <c r="I575" s="207" t="s">
        <v>2506</v>
      </c>
      <c r="J575" s="133" t="s">
        <v>169</v>
      </c>
      <c r="K575" s="326" t="s">
        <v>1664</v>
      </c>
      <c r="L575" s="133"/>
      <c r="M575" s="103">
        <v>500000</v>
      </c>
      <c r="N575" s="133" t="s">
        <v>122</v>
      </c>
    </row>
    <row r="576" spans="1:14" ht="27" hidden="1" x14ac:dyDescent="0.3">
      <c r="A576" s="131">
        <v>39</v>
      </c>
      <c r="B576" s="548"/>
      <c r="C576" s="99" t="s">
        <v>2505</v>
      </c>
      <c r="D576" s="133" t="s">
        <v>307</v>
      </c>
      <c r="E576" s="133" t="s">
        <v>323</v>
      </c>
      <c r="F576" s="133" t="s">
        <v>308</v>
      </c>
      <c r="G576" s="207" t="s">
        <v>2341</v>
      </c>
      <c r="H576" s="133" t="s">
        <v>18</v>
      </c>
      <c r="I576" s="207" t="s">
        <v>2041</v>
      </c>
      <c r="J576" s="133" t="s">
        <v>169</v>
      </c>
      <c r="K576" s="326" t="s">
        <v>1664</v>
      </c>
      <c r="L576" s="133"/>
      <c r="M576" s="103">
        <v>500000</v>
      </c>
      <c r="N576" s="133" t="s">
        <v>122</v>
      </c>
    </row>
    <row r="577" spans="1:17" ht="27" hidden="1" x14ac:dyDescent="0.3">
      <c r="A577" s="131">
        <v>39</v>
      </c>
      <c r="B577" s="549"/>
      <c r="C577" s="99">
        <v>45559</v>
      </c>
      <c r="D577" s="133" t="s">
        <v>307</v>
      </c>
      <c r="E577" s="133" t="s">
        <v>323</v>
      </c>
      <c r="F577" s="133" t="s">
        <v>308</v>
      </c>
      <c r="G577" s="207" t="s">
        <v>2360</v>
      </c>
      <c r="H577" s="133" t="s">
        <v>2507</v>
      </c>
      <c r="I577" s="207" t="s">
        <v>2508</v>
      </c>
      <c r="J577" s="133" t="s">
        <v>904</v>
      </c>
      <c r="K577" s="197" t="s">
        <v>1593</v>
      </c>
      <c r="L577" s="133"/>
      <c r="M577" s="103">
        <v>500000</v>
      </c>
      <c r="N577" s="133" t="s">
        <v>248</v>
      </c>
    </row>
    <row r="578" spans="1:17" ht="27" hidden="1" x14ac:dyDescent="0.3">
      <c r="A578" s="131">
        <v>39</v>
      </c>
      <c r="B578" s="59" t="s">
        <v>2557</v>
      </c>
      <c r="C578" s="99" t="s">
        <v>2502</v>
      </c>
      <c r="D578" s="4" t="s">
        <v>139</v>
      </c>
      <c r="E578" s="4" t="s">
        <v>31</v>
      </c>
      <c r="F578" s="4" t="s">
        <v>1389</v>
      </c>
      <c r="G578" s="4" t="s">
        <v>2139</v>
      </c>
      <c r="H578" s="3" t="s">
        <v>23</v>
      </c>
      <c r="I578" s="287" t="s">
        <v>2501</v>
      </c>
      <c r="J578" s="14" t="s">
        <v>90</v>
      </c>
      <c r="K578" s="305" t="s">
        <v>1181</v>
      </c>
      <c r="L578" s="324" t="s">
        <v>15</v>
      </c>
      <c r="M578" s="103">
        <v>500000</v>
      </c>
      <c r="N578" s="321" t="s">
        <v>2503</v>
      </c>
    </row>
    <row r="579" spans="1:17" ht="27" hidden="1" x14ac:dyDescent="0.3">
      <c r="A579" s="131">
        <v>40</v>
      </c>
      <c r="B579" s="522" t="s">
        <v>2558</v>
      </c>
      <c r="C579" s="99" t="s">
        <v>2513</v>
      </c>
      <c r="D579" s="133" t="s">
        <v>307</v>
      </c>
      <c r="E579" s="133" t="s">
        <v>323</v>
      </c>
      <c r="F579" s="133" t="s">
        <v>308</v>
      </c>
      <c r="G579" s="207">
        <v>3307</v>
      </c>
      <c r="H579" s="133" t="s">
        <v>813</v>
      </c>
      <c r="I579" s="207" t="s">
        <v>2516</v>
      </c>
      <c r="J579" s="133" t="s">
        <v>169</v>
      </c>
      <c r="K579" s="326" t="s">
        <v>1878</v>
      </c>
      <c r="L579" s="333" t="s">
        <v>210</v>
      </c>
      <c r="M579" s="103">
        <v>750000</v>
      </c>
      <c r="N579" s="133" t="s">
        <v>122</v>
      </c>
    </row>
    <row r="580" spans="1:17" hidden="1" x14ac:dyDescent="0.3">
      <c r="A580" s="131">
        <v>40</v>
      </c>
      <c r="B580" s="524"/>
      <c r="C580" s="99" t="s">
        <v>2514</v>
      </c>
      <c r="D580" s="133" t="s">
        <v>307</v>
      </c>
      <c r="E580" s="133" t="s">
        <v>323</v>
      </c>
      <c r="F580" s="133" t="s">
        <v>308</v>
      </c>
      <c r="G580" s="207">
        <v>3001</v>
      </c>
      <c r="H580" s="133" t="s">
        <v>23</v>
      </c>
      <c r="I580" s="207" t="s">
        <v>2515</v>
      </c>
      <c r="J580" s="133" t="s">
        <v>95</v>
      </c>
      <c r="K580" s="286" t="s">
        <v>1754</v>
      </c>
      <c r="L580" s="133"/>
      <c r="M580" s="103">
        <v>1000000</v>
      </c>
      <c r="N580" s="133" t="s">
        <v>248</v>
      </c>
    </row>
    <row r="581" spans="1:17" hidden="1" x14ac:dyDescent="0.3">
      <c r="A581" s="131">
        <v>40</v>
      </c>
      <c r="B581" s="59" t="s">
        <v>2559</v>
      </c>
      <c r="C581" s="99">
        <v>45562</v>
      </c>
      <c r="D581" s="4" t="s">
        <v>21</v>
      </c>
      <c r="E581" s="4" t="s">
        <v>31</v>
      </c>
      <c r="F581" s="3" t="s">
        <v>1902</v>
      </c>
      <c r="G581" s="3" t="s">
        <v>364</v>
      </c>
      <c r="H581" s="3" t="s">
        <v>149</v>
      </c>
      <c r="I581" s="9" t="s">
        <v>2512</v>
      </c>
      <c r="J581" s="14"/>
      <c r="K581" s="4" t="s">
        <v>60</v>
      </c>
      <c r="L581" s="6" t="s">
        <v>15</v>
      </c>
      <c r="M581" s="103">
        <v>300000</v>
      </c>
      <c r="N581" s="19" t="s">
        <v>1802</v>
      </c>
    </row>
    <row r="582" spans="1:17" ht="27" hidden="1" x14ac:dyDescent="0.3">
      <c r="A582" s="131">
        <v>41</v>
      </c>
      <c r="B582" s="547" t="s">
        <v>20</v>
      </c>
      <c r="C582" s="99" t="s">
        <v>2521</v>
      </c>
      <c r="D582" s="133" t="s">
        <v>307</v>
      </c>
      <c r="E582" s="133" t="s">
        <v>323</v>
      </c>
      <c r="F582" s="133" t="s">
        <v>308</v>
      </c>
      <c r="G582" s="207" t="s">
        <v>2520</v>
      </c>
      <c r="H582" s="133" t="s">
        <v>23</v>
      </c>
      <c r="I582" s="207" t="s">
        <v>857</v>
      </c>
      <c r="J582" s="133" t="s">
        <v>169</v>
      </c>
      <c r="K582" s="332" t="s">
        <v>1969</v>
      </c>
      <c r="L582" s="133" t="s">
        <v>210</v>
      </c>
      <c r="M582" s="103">
        <v>500000</v>
      </c>
      <c r="N582" s="216" t="s">
        <v>122</v>
      </c>
    </row>
    <row r="583" spans="1:17" ht="27" hidden="1" x14ac:dyDescent="0.3">
      <c r="A583" s="131">
        <v>41</v>
      </c>
      <c r="B583" s="548"/>
      <c r="C583" s="99" t="s">
        <v>2529</v>
      </c>
      <c r="D583" s="133" t="s">
        <v>307</v>
      </c>
      <c r="E583" s="133" t="s">
        <v>323</v>
      </c>
      <c r="F583" s="133" t="s">
        <v>308</v>
      </c>
      <c r="G583" s="207" t="s">
        <v>1959</v>
      </c>
      <c r="H583" s="133" t="s">
        <v>2522</v>
      </c>
      <c r="I583" s="207" t="s">
        <v>1640</v>
      </c>
      <c r="J583" s="133" t="s">
        <v>169</v>
      </c>
      <c r="K583" s="332" t="s">
        <v>1969</v>
      </c>
      <c r="L583" s="133"/>
      <c r="M583" s="103">
        <v>500000</v>
      </c>
      <c r="N583" s="216" t="s">
        <v>122</v>
      </c>
    </row>
    <row r="584" spans="1:17" hidden="1" x14ac:dyDescent="0.3">
      <c r="A584" s="131">
        <v>41</v>
      </c>
      <c r="B584" s="548"/>
      <c r="C584" s="130">
        <v>45573</v>
      </c>
      <c r="D584" s="133" t="s">
        <v>307</v>
      </c>
      <c r="E584" s="133" t="s">
        <v>323</v>
      </c>
      <c r="F584" s="133" t="s">
        <v>308</v>
      </c>
      <c r="G584" s="207" t="s">
        <v>2527</v>
      </c>
      <c r="H584" s="133" t="s">
        <v>2528</v>
      </c>
      <c r="I584" s="207" t="s">
        <v>2332</v>
      </c>
      <c r="J584" s="133" t="s">
        <v>95</v>
      </c>
      <c r="K584" s="286" t="s">
        <v>1624</v>
      </c>
      <c r="L584" s="133"/>
      <c r="M584" s="103">
        <v>500000</v>
      </c>
      <c r="N584" s="216" t="s">
        <v>248</v>
      </c>
    </row>
    <row r="585" spans="1:17" hidden="1" x14ac:dyDescent="0.3">
      <c r="A585" s="131">
        <v>41</v>
      </c>
      <c r="B585" s="549"/>
      <c r="C585" s="130">
        <v>45575</v>
      </c>
      <c r="D585" s="133" t="s">
        <v>307</v>
      </c>
      <c r="E585" s="133" t="s">
        <v>323</v>
      </c>
      <c r="F585" s="133" t="s">
        <v>308</v>
      </c>
      <c r="G585" s="207" t="s">
        <v>2496</v>
      </c>
      <c r="H585" s="133" t="s">
        <v>2526</v>
      </c>
      <c r="I585" s="207" t="s">
        <v>2332</v>
      </c>
      <c r="J585" s="133" t="s">
        <v>95</v>
      </c>
      <c r="K585" s="286" t="s">
        <v>2530</v>
      </c>
      <c r="L585" s="133"/>
      <c r="M585" s="103">
        <v>1000000</v>
      </c>
      <c r="N585" s="216" t="s">
        <v>248</v>
      </c>
      <c r="P585">
        <v>18</v>
      </c>
      <c r="Q585" s="117">
        <v>4500000</v>
      </c>
    </row>
    <row r="586" spans="1:17" hidden="1" x14ac:dyDescent="0.3">
      <c r="A586" s="131">
        <v>41</v>
      </c>
      <c r="B586" s="522" t="s">
        <v>24</v>
      </c>
      <c r="C586" s="130">
        <v>45572</v>
      </c>
      <c r="D586" s="3" t="s">
        <v>21</v>
      </c>
      <c r="E586" s="4" t="s">
        <v>14</v>
      </c>
      <c r="F586" s="3" t="s">
        <v>1796</v>
      </c>
      <c r="G586" s="3" t="s">
        <v>2509</v>
      </c>
      <c r="H586" s="3" t="s">
        <v>103</v>
      </c>
      <c r="I586" s="5" t="s">
        <v>2517</v>
      </c>
      <c r="J586" s="14" t="s">
        <v>90</v>
      </c>
      <c r="K586" s="222" t="s">
        <v>2525</v>
      </c>
      <c r="L586" s="91" t="s">
        <v>15</v>
      </c>
      <c r="M586" s="103">
        <v>250000</v>
      </c>
      <c r="N586" s="19" t="s">
        <v>1337</v>
      </c>
      <c r="Q586" s="117"/>
    </row>
    <row r="587" spans="1:17" hidden="1" x14ac:dyDescent="0.3">
      <c r="A587" s="131">
        <v>41</v>
      </c>
      <c r="B587" s="523"/>
      <c r="C587" s="130">
        <v>45573</v>
      </c>
      <c r="D587" s="4" t="s">
        <v>21</v>
      </c>
      <c r="E587" s="4" t="s">
        <v>14</v>
      </c>
      <c r="F587" s="3" t="s">
        <v>108</v>
      </c>
      <c r="G587" s="17" t="s">
        <v>963</v>
      </c>
      <c r="H587" s="3" t="s">
        <v>146</v>
      </c>
      <c r="I587" s="9" t="s">
        <v>2531</v>
      </c>
      <c r="J587" s="14"/>
      <c r="K587" s="9" t="s">
        <v>2511</v>
      </c>
      <c r="L587" s="133" t="s">
        <v>15</v>
      </c>
      <c r="M587" s="103">
        <v>600000</v>
      </c>
      <c r="N587" s="19" t="s">
        <v>1337</v>
      </c>
    </row>
    <row r="588" spans="1:17" hidden="1" x14ac:dyDescent="0.3">
      <c r="A588" s="131">
        <v>41</v>
      </c>
      <c r="B588" s="523"/>
      <c r="C588" s="130">
        <v>45575</v>
      </c>
      <c r="D588" s="3" t="s">
        <v>21</v>
      </c>
      <c r="E588" s="4" t="s">
        <v>14</v>
      </c>
      <c r="F588" s="3" t="s">
        <v>1796</v>
      </c>
      <c r="G588" s="3" t="s">
        <v>1064</v>
      </c>
      <c r="H588" s="3" t="s">
        <v>103</v>
      </c>
      <c r="I588" s="5" t="s">
        <v>2523</v>
      </c>
      <c r="J588" s="14" t="s">
        <v>90</v>
      </c>
      <c r="K588" s="222" t="s">
        <v>688</v>
      </c>
      <c r="L588" s="133" t="s">
        <v>15</v>
      </c>
      <c r="M588" s="103">
        <v>250000</v>
      </c>
      <c r="N588" s="19" t="s">
        <v>1337</v>
      </c>
    </row>
    <row r="589" spans="1:17" hidden="1" x14ac:dyDescent="0.3">
      <c r="A589" s="131">
        <v>41</v>
      </c>
      <c r="B589" s="524"/>
      <c r="C589" s="130">
        <v>45577</v>
      </c>
      <c r="D589" s="4" t="s">
        <v>21</v>
      </c>
      <c r="E589" s="4" t="s">
        <v>14</v>
      </c>
      <c r="F589" s="3" t="s">
        <v>108</v>
      </c>
      <c r="G589" s="17" t="s">
        <v>963</v>
      </c>
      <c r="H589" s="3" t="s">
        <v>146</v>
      </c>
      <c r="I589" s="9" t="s">
        <v>2519</v>
      </c>
      <c r="J589" s="14" t="s">
        <v>90</v>
      </c>
      <c r="K589" s="223" t="s">
        <v>796</v>
      </c>
      <c r="L589" s="133" t="s">
        <v>15</v>
      </c>
      <c r="M589" s="103">
        <v>500000</v>
      </c>
      <c r="N589" s="19" t="s">
        <v>2524</v>
      </c>
    </row>
    <row r="590" spans="1:17" hidden="1" x14ac:dyDescent="0.3">
      <c r="A590" s="131">
        <v>42</v>
      </c>
      <c r="B590" s="522" t="s">
        <v>20</v>
      </c>
      <c r="C590" s="99">
        <v>45579</v>
      </c>
      <c r="D590" s="133" t="s">
        <v>307</v>
      </c>
      <c r="E590" s="133" t="s">
        <v>323</v>
      </c>
      <c r="F590" s="133" t="s">
        <v>308</v>
      </c>
      <c r="G590" s="207" t="s">
        <v>2520</v>
      </c>
      <c r="H590" s="133" t="s">
        <v>23</v>
      </c>
      <c r="I590" s="207" t="s">
        <v>1846</v>
      </c>
      <c r="J590" s="133" t="s">
        <v>169</v>
      </c>
      <c r="K590" s="332" t="s">
        <v>1842</v>
      </c>
      <c r="L590" s="133" t="s">
        <v>210</v>
      </c>
      <c r="M590" s="103">
        <v>250000</v>
      </c>
      <c r="N590" s="216" t="s">
        <v>122</v>
      </c>
    </row>
    <row r="591" spans="1:17" hidden="1" x14ac:dyDescent="0.3">
      <c r="A591" s="131">
        <v>42</v>
      </c>
      <c r="B591" s="523"/>
      <c r="C591" s="99">
        <v>45580</v>
      </c>
      <c r="D591" s="133" t="s">
        <v>307</v>
      </c>
      <c r="E591" s="133" t="s">
        <v>323</v>
      </c>
      <c r="F591" s="133" t="s">
        <v>308</v>
      </c>
      <c r="G591" s="207" t="s">
        <v>2341</v>
      </c>
      <c r="H591" s="133" t="s">
        <v>265</v>
      </c>
      <c r="I591" s="207" t="s">
        <v>2483</v>
      </c>
      <c r="J591" s="133" t="s">
        <v>169</v>
      </c>
      <c r="K591" s="332" t="s">
        <v>1842</v>
      </c>
      <c r="L591" s="133"/>
      <c r="M591" s="103">
        <v>250000</v>
      </c>
      <c r="N591" s="216" t="s">
        <v>122</v>
      </c>
    </row>
    <row r="592" spans="1:17" ht="27" hidden="1" x14ac:dyDescent="0.3">
      <c r="A592" s="131">
        <v>42</v>
      </c>
      <c r="B592" s="523"/>
      <c r="C592" s="130" t="s">
        <v>2532</v>
      </c>
      <c r="D592" s="133" t="s">
        <v>307</v>
      </c>
      <c r="E592" s="133" t="s">
        <v>323</v>
      </c>
      <c r="F592" s="133" t="s">
        <v>308</v>
      </c>
      <c r="G592" s="207" t="s">
        <v>1959</v>
      </c>
      <c r="H592" s="133" t="s">
        <v>37</v>
      </c>
      <c r="I592" s="207" t="s">
        <v>1124</v>
      </c>
      <c r="J592" s="133" t="s">
        <v>169</v>
      </c>
      <c r="K592" s="332" t="s">
        <v>1878</v>
      </c>
      <c r="L592" s="133"/>
      <c r="M592" s="103">
        <v>750000</v>
      </c>
      <c r="N592" s="216" t="s">
        <v>248</v>
      </c>
    </row>
    <row r="593" spans="1:14" hidden="1" x14ac:dyDescent="0.3">
      <c r="A593" s="131">
        <v>42</v>
      </c>
      <c r="B593" s="523"/>
      <c r="C593" s="99">
        <v>45579</v>
      </c>
      <c r="D593" s="133" t="s">
        <v>307</v>
      </c>
      <c r="E593" s="133" t="s">
        <v>323</v>
      </c>
      <c r="F593" s="133" t="s">
        <v>308</v>
      </c>
      <c r="G593" s="207">
        <v>3307</v>
      </c>
      <c r="H593" s="133" t="s">
        <v>910</v>
      </c>
      <c r="I593" s="207" t="s">
        <v>2538</v>
      </c>
      <c r="J593" s="133" t="s">
        <v>95</v>
      </c>
      <c r="K593" s="222" t="s">
        <v>796</v>
      </c>
      <c r="L593" s="133"/>
      <c r="M593" s="103">
        <v>500000</v>
      </c>
      <c r="N593" s="216" t="s">
        <v>248</v>
      </c>
    </row>
    <row r="594" spans="1:14" hidden="1" x14ac:dyDescent="0.3">
      <c r="A594" s="131">
        <v>42</v>
      </c>
      <c r="B594" s="523"/>
      <c r="C594" s="99">
        <v>45579</v>
      </c>
      <c r="D594" s="133" t="s">
        <v>307</v>
      </c>
      <c r="E594" s="133" t="s">
        <v>323</v>
      </c>
      <c r="F594" s="133" t="s">
        <v>308</v>
      </c>
      <c r="G594" s="207" t="s">
        <v>2475</v>
      </c>
      <c r="H594" s="133" t="s">
        <v>265</v>
      </c>
      <c r="I594" s="207" t="s">
        <v>2535</v>
      </c>
      <c r="J594" s="133" t="s">
        <v>95</v>
      </c>
      <c r="K594" s="286" t="s">
        <v>1624</v>
      </c>
      <c r="L594" s="133"/>
      <c r="M594" s="103">
        <v>500000</v>
      </c>
      <c r="N594" s="216" t="s">
        <v>248</v>
      </c>
    </row>
    <row r="595" spans="1:14" hidden="1" x14ac:dyDescent="0.3">
      <c r="A595" s="131">
        <v>42</v>
      </c>
      <c r="B595" s="524"/>
      <c r="C595" s="99">
        <v>45583</v>
      </c>
      <c r="D595" s="133" t="s">
        <v>307</v>
      </c>
      <c r="E595" s="133" t="s">
        <v>323</v>
      </c>
      <c r="F595" s="133" t="s">
        <v>308</v>
      </c>
      <c r="G595" s="207" t="s">
        <v>2341</v>
      </c>
      <c r="H595" s="133" t="s">
        <v>2536</v>
      </c>
      <c r="I595" s="207" t="s">
        <v>2535</v>
      </c>
      <c r="J595" s="133" t="s">
        <v>95</v>
      </c>
      <c r="K595" s="286" t="s">
        <v>1624</v>
      </c>
      <c r="L595" s="133"/>
      <c r="M595" s="103">
        <v>500000</v>
      </c>
      <c r="N595" s="216" t="s">
        <v>248</v>
      </c>
    </row>
    <row r="596" spans="1:14" hidden="1" x14ac:dyDescent="0.3">
      <c r="A596" s="131">
        <v>42</v>
      </c>
      <c r="B596" s="522" t="s">
        <v>2560</v>
      </c>
      <c r="C596" s="130">
        <v>45573</v>
      </c>
      <c r="D596" s="3" t="s">
        <v>21</v>
      </c>
      <c r="E596" s="4" t="s">
        <v>14</v>
      </c>
      <c r="F596" s="4" t="s">
        <v>1902</v>
      </c>
      <c r="G596" s="17" t="s">
        <v>1328</v>
      </c>
      <c r="H596" s="3" t="s">
        <v>1849</v>
      </c>
      <c r="I596" s="9" t="s">
        <v>2510</v>
      </c>
      <c r="J596" s="14" t="s">
        <v>1678</v>
      </c>
      <c r="K596" s="9" t="s">
        <v>1001</v>
      </c>
      <c r="L596" s="6" t="s">
        <v>15</v>
      </c>
      <c r="M596" s="103">
        <v>300000</v>
      </c>
      <c r="N596" s="19" t="s">
        <v>129</v>
      </c>
    </row>
    <row r="597" spans="1:14" ht="27" hidden="1" x14ac:dyDescent="0.3">
      <c r="A597" s="131">
        <v>42</v>
      </c>
      <c r="B597" s="523"/>
      <c r="C597" s="130">
        <v>45577</v>
      </c>
      <c r="D597" s="3" t="s">
        <v>21</v>
      </c>
      <c r="E597" s="4" t="s">
        <v>14</v>
      </c>
      <c r="F597" s="133" t="s">
        <v>308</v>
      </c>
      <c r="G597" s="3" t="s">
        <v>963</v>
      </c>
      <c r="H597" s="3" t="s">
        <v>144</v>
      </c>
      <c r="I597" s="9" t="s">
        <v>2534</v>
      </c>
      <c r="J597" s="14" t="s">
        <v>90</v>
      </c>
      <c r="K597" s="223" t="s">
        <v>779</v>
      </c>
      <c r="L597" s="6" t="s">
        <v>15</v>
      </c>
      <c r="M597" s="103">
        <v>250000</v>
      </c>
      <c r="N597" s="19" t="s">
        <v>2533</v>
      </c>
    </row>
    <row r="598" spans="1:14" hidden="1" x14ac:dyDescent="0.3">
      <c r="A598" s="131">
        <v>42</v>
      </c>
      <c r="B598" s="524"/>
      <c r="C598" s="130">
        <v>45579</v>
      </c>
      <c r="D598" s="3" t="s">
        <v>21</v>
      </c>
      <c r="E598" s="4" t="s">
        <v>14</v>
      </c>
      <c r="F598" s="3" t="s">
        <v>278</v>
      </c>
      <c r="G598" s="3">
        <v>4267</v>
      </c>
      <c r="H598" s="3" t="s">
        <v>384</v>
      </c>
      <c r="I598" s="9" t="s">
        <v>2537</v>
      </c>
      <c r="J598" s="14"/>
      <c r="K598" s="223" t="s">
        <v>779</v>
      </c>
      <c r="L598" s="6" t="s">
        <v>15</v>
      </c>
      <c r="M598" s="103">
        <v>250000</v>
      </c>
      <c r="N598" s="19" t="s">
        <v>1887</v>
      </c>
    </row>
    <row r="599" spans="1:14" ht="27" hidden="1" x14ac:dyDescent="0.3">
      <c r="A599" s="131">
        <v>43</v>
      </c>
      <c r="B599" s="522" t="s">
        <v>2561</v>
      </c>
      <c r="C599" s="99" t="s">
        <v>2540</v>
      </c>
      <c r="D599" s="133" t="s">
        <v>307</v>
      </c>
      <c r="E599" s="133" t="s">
        <v>323</v>
      </c>
      <c r="F599" s="133" t="s">
        <v>308</v>
      </c>
      <c r="G599" s="207" t="s">
        <v>1959</v>
      </c>
      <c r="H599" s="133" t="s">
        <v>37</v>
      </c>
      <c r="I599" s="207" t="s">
        <v>1124</v>
      </c>
      <c r="J599" s="133" t="s">
        <v>221</v>
      </c>
      <c r="K599" s="332" t="s">
        <v>2485</v>
      </c>
      <c r="L599" s="133" t="s">
        <v>210</v>
      </c>
      <c r="M599" s="103">
        <v>1000000</v>
      </c>
      <c r="N599" s="216" t="s">
        <v>122</v>
      </c>
    </row>
    <row r="600" spans="1:14" hidden="1" x14ac:dyDescent="0.3">
      <c r="A600" s="131">
        <v>43</v>
      </c>
      <c r="B600" s="523"/>
      <c r="C600" s="99">
        <v>45590</v>
      </c>
      <c r="D600" s="133" t="s">
        <v>307</v>
      </c>
      <c r="E600" s="133" t="s">
        <v>323</v>
      </c>
      <c r="F600" s="133" t="s">
        <v>308</v>
      </c>
      <c r="G600" s="207" t="s">
        <v>2539</v>
      </c>
      <c r="H600" s="133" t="s">
        <v>116</v>
      </c>
      <c r="I600" s="207" t="s">
        <v>1124</v>
      </c>
      <c r="J600" s="133" t="s">
        <v>169</v>
      </c>
      <c r="K600" s="332" t="s">
        <v>1966</v>
      </c>
      <c r="L600" s="133"/>
      <c r="M600" s="103">
        <v>250000</v>
      </c>
      <c r="N600" s="216" t="s">
        <v>122</v>
      </c>
    </row>
    <row r="601" spans="1:14" ht="27" hidden="1" x14ac:dyDescent="0.3">
      <c r="A601" s="131">
        <v>43</v>
      </c>
      <c r="B601" s="524"/>
      <c r="C601" s="99" t="s">
        <v>2543</v>
      </c>
      <c r="D601" s="133" t="s">
        <v>307</v>
      </c>
      <c r="E601" s="133" t="s">
        <v>323</v>
      </c>
      <c r="F601" s="133" t="s">
        <v>308</v>
      </c>
      <c r="G601" s="207" t="s">
        <v>2520</v>
      </c>
      <c r="H601" s="133" t="s">
        <v>2542</v>
      </c>
      <c r="I601" s="207" t="s">
        <v>2535</v>
      </c>
      <c r="J601" s="133" t="s">
        <v>95</v>
      </c>
      <c r="K601" s="286" t="s">
        <v>2530</v>
      </c>
      <c r="L601" s="133"/>
      <c r="M601" s="103">
        <v>1000000</v>
      </c>
      <c r="N601" s="216" t="s">
        <v>248</v>
      </c>
    </row>
    <row r="602" spans="1:14" hidden="1" x14ac:dyDescent="0.3">
      <c r="A602" s="131">
        <v>43</v>
      </c>
      <c r="B602" s="522" t="s">
        <v>24</v>
      </c>
      <c r="C602" s="99">
        <v>45586</v>
      </c>
      <c r="D602" s="4" t="s">
        <v>21</v>
      </c>
      <c r="E602" s="4" t="s">
        <v>14</v>
      </c>
      <c r="F602" s="3" t="s">
        <v>108</v>
      </c>
      <c r="G602" s="17" t="s">
        <v>963</v>
      </c>
      <c r="H602" s="3" t="s">
        <v>146</v>
      </c>
      <c r="I602" s="9" t="s">
        <v>231</v>
      </c>
      <c r="J602" s="14" t="s">
        <v>90</v>
      </c>
      <c r="K602" s="223" t="s">
        <v>643</v>
      </c>
      <c r="L602" s="133" t="s">
        <v>15</v>
      </c>
      <c r="M602" s="103">
        <v>500000</v>
      </c>
      <c r="N602" s="19" t="s">
        <v>1210</v>
      </c>
    </row>
    <row r="603" spans="1:14" hidden="1" x14ac:dyDescent="0.3">
      <c r="A603" s="131">
        <v>43</v>
      </c>
      <c r="B603" s="523"/>
      <c r="C603" s="99">
        <v>45587</v>
      </c>
      <c r="D603" s="4" t="s">
        <v>21</v>
      </c>
      <c r="E603" s="4" t="s">
        <v>14</v>
      </c>
      <c r="F603" s="3" t="s">
        <v>108</v>
      </c>
      <c r="G603" s="17" t="s">
        <v>963</v>
      </c>
      <c r="H603" s="3" t="s">
        <v>146</v>
      </c>
      <c r="I603" s="9" t="s">
        <v>304</v>
      </c>
      <c r="J603" s="14" t="s">
        <v>90</v>
      </c>
      <c r="K603" s="223" t="s">
        <v>643</v>
      </c>
      <c r="L603" s="133" t="s">
        <v>15</v>
      </c>
      <c r="M603" s="103">
        <v>500000</v>
      </c>
      <c r="N603" s="19" t="s">
        <v>129</v>
      </c>
    </row>
    <row r="604" spans="1:14" ht="27" hidden="1" x14ac:dyDescent="0.3">
      <c r="A604" s="131">
        <v>43</v>
      </c>
      <c r="B604" s="523"/>
      <c r="C604" s="99">
        <v>45588</v>
      </c>
      <c r="D604" s="4" t="s">
        <v>21</v>
      </c>
      <c r="E604" s="4" t="s">
        <v>14</v>
      </c>
      <c r="F604" s="3" t="s">
        <v>108</v>
      </c>
      <c r="G604" s="17" t="s">
        <v>963</v>
      </c>
      <c r="H604" s="3" t="s">
        <v>144</v>
      </c>
      <c r="I604" s="9" t="s">
        <v>2545</v>
      </c>
      <c r="J604" s="14" t="s">
        <v>121</v>
      </c>
      <c r="K604" s="223" t="s">
        <v>2576</v>
      </c>
      <c r="L604" s="133" t="s">
        <v>15</v>
      </c>
      <c r="M604" s="103">
        <v>250000</v>
      </c>
      <c r="N604" s="19" t="s">
        <v>2541</v>
      </c>
    </row>
    <row r="605" spans="1:14" hidden="1" x14ac:dyDescent="0.3">
      <c r="A605" s="131">
        <v>43</v>
      </c>
      <c r="B605" s="524"/>
      <c r="C605" s="99">
        <v>45590</v>
      </c>
      <c r="D605" s="4" t="s">
        <v>21</v>
      </c>
      <c r="E605" s="4" t="s">
        <v>14</v>
      </c>
      <c r="F605" s="3" t="s">
        <v>108</v>
      </c>
      <c r="G605" s="17" t="s">
        <v>963</v>
      </c>
      <c r="H605" s="3" t="s">
        <v>144</v>
      </c>
      <c r="I605" s="9" t="s">
        <v>2544</v>
      </c>
      <c r="J605" s="14" t="s">
        <v>121</v>
      </c>
      <c r="K605" s="9" t="s">
        <v>824</v>
      </c>
      <c r="L605" s="133" t="s">
        <v>15</v>
      </c>
      <c r="M605" s="103">
        <v>250000</v>
      </c>
      <c r="N605" s="19" t="s">
        <v>129</v>
      </c>
    </row>
    <row r="606" spans="1:14" ht="27" hidden="1" x14ac:dyDescent="0.3">
      <c r="A606" s="131">
        <v>44</v>
      </c>
      <c r="B606" s="522" t="s">
        <v>2562</v>
      </c>
      <c r="C606" s="99" t="s">
        <v>2548</v>
      </c>
      <c r="D606" s="133" t="s">
        <v>307</v>
      </c>
      <c r="E606" s="133" t="s">
        <v>323</v>
      </c>
      <c r="F606" s="133" t="s">
        <v>308</v>
      </c>
      <c r="G606" s="207" t="s">
        <v>1959</v>
      </c>
      <c r="H606" s="133" t="s">
        <v>37</v>
      </c>
      <c r="I606" s="207" t="s">
        <v>2546</v>
      </c>
      <c r="J606" s="133" t="s">
        <v>2492</v>
      </c>
      <c r="K606" s="332" t="s">
        <v>2547</v>
      </c>
      <c r="L606" s="133" t="s">
        <v>210</v>
      </c>
      <c r="M606" s="103">
        <v>500000</v>
      </c>
      <c r="N606" s="133" t="s">
        <v>122</v>
      </c>
    </row>
    <row r="607" spans="1:14" ht="27" hidden="1" x14ac:dyDescent="0.3">
      <c r="A607" s="131">
        <v>44</v>
      </c>
      <c r="B607" s="524"/>
      <c r="C607" s="99" t="s">
        <v>2551</v>
      </c>
      <c r="D607" s="133" t="s">
        <v>307</v>
      </c>
      <c r="E607" s="133" t="s">
        <v>323</v>
      </c>
      <c r="F607" s="133" t="s">
        <v>308</v>
      </c>
      <c r="G607" s="207" t="s">
        <v>2539</v>
      </c>
      <c r="H607" s="133" t="s">
        <v>116</v>
      </c>
      <c r="I607" s="207" t="s">
        <v>2549</v>
      </c>
      <c r="J607" s="133" t="s">
        <v>169</v>
      </c>
      <c r="K607" s="332" t="s">
        <v>2550</v>
      </c>
      <c r="L607" s="338"/>
      <c r="M607" s="103">
        <v>750000</v>
      </c>
      <c r="N607" s="133" t="s">
        <v>122</v>
      </c>
    </row>
    <row r="608" spans="1:14" ht="40.5" hidden="1" x14ac:dyDescent="0.3">
      <c r="A608" s="131">
        <v>44</v>
      </c>
      <c r="B608" s="59" t="s">
        <v>24</v>
      </c>
      <c r="C608" s="99" t="s">
        <v>2553</v>
      </c>
      <c r="D608" s="4" t="s">
        <v>21</v>
      </c>
      <c r="E608" s="4" t="s">
        <v>14</v>
      </c>
      <c r="F608" s="3" t="s">
        <v>108</v>
      </c>
      <c r="G608" s="3" t="s">
        <v>271</v>
      </c>
      <c r="H608" s="3" t="s">
        <v>2450</v>
      </c>
      <c r="I608" s="207" t="s">
        <v>2552</v>
      </c>
      <c r="J608" s="14" t="s">
        <v>90</v>
      </c>
      <c r="K608" s="34" t="s">
        <v>2554</v>
      </c>
      <c r="L608" s="133"/>
      <c r="M608" s="103">
        <v>750000</v>
      </c>
      <c r="N608" s="19" t="s">
        <v>2555</v>
      </c>
    </row>
    <row r="609" spans="1:14" hidden="1" x14ac:dyDescent="0.3">
      <c r="A609" s="131">
        <v>45</v>
      </c>
      <c r="B609" s="547" t="s">
        <v>2599</v>
      </c>
      <c r="C609" s="99">
        <v>45598</v>
      </c>
      <c r="D609" s="133" t="s">
        <v>307</v>
      </c>
      <c r="E609" s="133" t="s">
        <v>323</v>
      </c>
      <c r="F609" s="133" t="s">
        <v>308</v>
      </c>
      <c r="G609" s="207" t="s">
        <v>1981</v>
      </c>
      <c r="H609" s="133" t="s">
        <v>144</v>
      </c>
      <c r="I609" s="207" t="s">
        <v>2574</v>
      </c>
      <c r="J609" s="133" t="s">
        <v>90</v>
      </c>
      <c r="K609" s="309" t="s">
        <v>688</v>
      </c>
      <c r="L609" s="133"/>
      <c r="M609" s="103">
        <v>250000</v>
      </c>
      <c r="N609" s="216" t="s">
        <v>122</v>
      </c>
    </row>
    <row r="610" spans="1:14" ht="27" hidden="1" x14ac:dyDescent="0.3">
      <c r="A610" s="131">
        <v>45</v>
      </c>
      <c r="B610" s="548"/>
      <c r="C610" s="99" t="s">
        <v>2571</v>
      </c>
      <c r="D610" s="133" t="s">
        <v>307</v>
      </c>
      <c r="E610" s="133" t="s">
        <v>323</v>
      </c>
      <c r="F610" s="133" t="s">
        <v>308</v>
      </c>
      <c r="G610" s="207" t="s">
        <v>2569</v>
      </c>
      <c r="H610" s="133" t="s">
        <v>149</v>
      </c>
      <c r="I610" s="207" t="s">
        <v>1124</v>
      </c>
      <c r="J610" s="133" t="s">
        <v>90</v>
      </c>
      <c r="K610" s="286" t="s">
        <v>2572</v>
      </c>
      <c r="L610" s="133"/>
      <c r="M610" s="103">
        <v>1250000</v>
      </c>
      <c r="N610" s="216" t="s">
        <v>122</v>
      </c>
    </row>
    <row r="611" spans="1:14" ht="27" hidden="1" x14ac:dyDescent="0.3">
      <c r="A611" s="131">
        <v>45</v>
      </c>
      <c r="B611" s="549"/>
      <c r="C611" s="99" t="s">
        <v>2573</v>
      </c>
      <c r="D611" s="133" t="s">
        <v>307</v>
      </c>
      <c r="E611" s="133" t="s">
        <v>323</v>
      </c>
      <c r="F611" s="133" t="s">
        <v>308</v>
      </c>
      <c r="G611" s="207">
        <v>1006</v>
      </c>
      <c r="H611" s="133" t="s">
        <v>103</v>
      </c>
      <c r="I611" s="207" t="s">
        <v>2535</v>
      </c>
      <c r="J611" s="133" t="s">
        <v>95</v>
      </c>
      <c r="K611" s="197" t="s">
        <v>1754</v>
      </c>
      <c r="L611" s="256"/>
      <c r="M611" s="221">
        <v>1000000</v>
      </c>
      <c r="N611" s="216" t="s">
        <v>248</v>
      </c>
    </row>
    <row r="612" spans="1:14" ht="27" hidden="1" x14ac:dyDescent="0.3">
      <c r="A612" s="131">
        <v>45</v>
      </c>
      <c r="B612" s="522" t="s">
        <v>24</v>
      </c>
      <c r="C612" s="99">
        <v>45601</v>
      </c>
      <c r="D612" s="4" t="s">
        <v>21</v>
      </c>
      <c r="E612" s="4" t="s">
        <v>14</v>
      </c>
      <c r="F612" s="3" t="s">
        <v>108</v>
      </c>
      <c r="G612" s="17" t="s">
        <v>963</v>
      </c>
      <c r="H612" s="3" t="s">
        <v>144</v>
      </c>
      <c r="I612" s="9" t="s">
        <v>2575</v>
      </c>
      <c r="J612" s="14" t="s">
        <v>90</v>
      </c>
      <c r="K612" s="9" t="s">
        <v>688</v>
      </c>
      <c r="L612" s="133" t="s">
        <v>15</v>
      </c>
      <c r="M612" s="103">
        <v>250000</v>
      </c>
      <c r="N612" s="19" t="s">
        <v>1887</v>
      </c>
    </row>
    <row r="613" spans="1:14" hidden="1" x14ac:dyDescent="0.3">
      <c r="A613" s="131">
        <v>45</v>
      </c>
      <c r="B613" s="523"/>
      <c r="C613" s="99">
        <v>45602</v>
      </c>
      <c r="D613" s="4" t="s">
        <v>21</v>
      </c>
      <c r="E613" s="4" t="s">
        <v>14</v>
      </c>
      <c r="F613" s="34" t="s">
        <v>78</v>
      </c>
      <c r="G613" s="17" t="s">
        <v>2564</v>
      </c>
      <c r="H613" s="3" t="s">
        <v>1387</v>
      </c>
      <c r="I613" s="207" t="s">
        <v>2565</v>
      </c>
      <c r="J613" s="34" t="s">
        <v>90</v>
      </c>
      <c r="K613" s="337" t="s">
        <v>1001</v>
      </c>
      <c r="L613" s="133" t="s">
        <v>15</v>
      </c>
      <c r="M613" s="103">
        <v>300000</v>
      </c>
      <c r="N613" s="19" t="s">
        <v>2568</v>
      </c>
    </row>
    <row r="614" spans="1:14" ht="27" hidden="1" x14ac:dyDescent="0.3">
      <c r="A614" s="131">
        <v>45</v>
      </c>
      <c r="B614" s="523"/>
      <c r="C614" s="99">
        <v>45602</v>
      </c>
      <c r="D614" s="4" t="s">
        <v>21</v>
      </c>
      <c r="E614" s="4" t="s">
        <v>17</v>
      </c>
      <c r="F614" s="4" t="s">
        <v>1389</v>
      </c>
      <c r="G614" s="4" t="s">
        <v>2139</v>
      </c>
      <c r="H614" s="3" t="s">
        <v>23</v>
      </c>
      <c r="I614" s="106" t="s">
        <v>2567</v>
      </c>
      <c r="J614" s="14"/>
      <c r="K614" s="4" t="s">
        <v>68</v>
      </c>
      <c r="L614" s="6" t="s">
        <v>15</v>
      </c>
      <c r="M614" s="103">
        <v>300000</v>
      </c>
      <c r="N614" s="19" t="s">
        <v>2568</v>
      </c>
    </row>
    <row r="615" spans="1:14" ht="24" hidden="1" x14ac:dyDescent="0.3">
      <c r="A615" s="131">
        <v>45</v>
      </c>
      <c r="B615" s="524"/>
      <c r="C615" s="99">
        <v>45603</v>
      </c>
      <c r="D615" s="4" t="s">
        <v>21</v>
      </c>
      <c r="E615" s="4" t="s">
        <v>17</v>
      </c>
      <c r="F615" s="3" t="s">
        <v>1902</v>
      </c>
      <c r="G615" s="34" t="s">
        <v>364</v>
      </c>
      <c r="H615" s="34" t="s">
        <v>149</v>
      </c>
      <c r="I615" s="334" t="s">
        <v>2570</v>
      </c>
      <c r="J615" s="14"/>
      <c r="K615" s="34" t="s">
        <v>597</v>
      </c>
      <c r="L615" s="6" t="s">
        <v>15</v>
      </c>
      <c r="M615" s="103">
        <v>600000</v>
      </c>
      <c r="N615" s="19" t="s">
        <v>2568</v>
      </c>
    </row>
    <row r="616" spans="1:14" ht="27" hidden="1" x14ac:dyDescent="0.3">
      <c r="A616" s="131">
        <v>46</v>
      </c>
      <c r="B616" s="522" t="s">
        <v>2616</v>
      </c>
      <c r="C616" s="99" t="s">
        <v>2584</v>
      </c>
      <c r="D616" s="133" t="s">
        <v>307</v>
      </c>
      <c r="E616" s="133" t="s">
        <v>323</v>
      </c>
      <c r="F616" s="133" t="s">
        <v>308</v>
      </c>
      <c r="G616" s="207" t="s">
        <v>2569</v>
      </c>
      <c r="H616" s="133" t="s">
        <v>149</v>
      </c>
      <c r="I616" s="207" t="s">
        <v>1124</v>
      </c>
      <c r="J616" s="133" t="s">
        <v>169</v>
      </c>
      <c r="K616" s="286" t="s">
        <v>2572</v>
      </c>
      <c r="L616" s="133"/>
      <c r="M616" s="103">
        <v>1250000</v>
      </c>
      <c r="N616" s="216" t="s">
        <v>122</v>
      </c>
    </row>
    <row r="617" spans="1:14" ht="27" hidden="1" x14ac:dyDescent="0.3">
      <c r="A617" s="131">
        <v>46</v>
      </c>
      <c r="B617" s="524"/>
      <c r="C617" s="99" t="s">
        <v>2585</v>
      </c>
      <c r="D617" s="133" t="s">
        <v>307</v>
      </c>
      <c r="E617" s="133" t="s">
        <v>323</v>
      </c>
      <c r="F617" s="133" t="s">
        <v>308</v>
      </c>
      <c r="G617" s="207">
        <v>3001</v>
      </c>
      <c r="H617" s="133" t="s">
        <v>37</v>
      </c>
      <c r="I617" s="207" t="s">
        <v>2535</v>
      </c>
      <c r="J617" s="133" t="s">
        <v>95</v>
      </c>
      <c r="K617" s="197" t="s">
        <v>1754</v>
      </c>
      <c r="L617" s="256"/>
      <c r="M617" s="221">
        <v>1000000</v>
      </c>
      <c r="N617" s="216" t="s">
        <v>248</v>
      </c>
    </row>
    <row r="618" spans="1:14" hidden="1" x14ac:dyDescent="0.3">
      <c r="A618" s="131">
        <v>46</v>
      </c>
      <c r="B618" s="522" t="s">
        <v>2617</v>
      </c>
      <c r="C618" s="99">
        <v>45608</v>
      </c>
      <c r="D618" s="4" t="s">
        <v>21</v>
      </c>
      <c r="E618" s="4" t="s">
        <v>14</v>
      </c>
      <c r="F618" s="34" t="s">
        <v>108</v>
      </c>
      <c r="G618" s="17" t="s">
        <v>1978</v>
      </c>
      <c r="H618" s="3" t="s">
        <v>378</v>
      </c>
      <c r="I618" s="207" t="s">
        <v>2580</v>
      </c>
      <c r="J618" s="34" t="s">
        <v>90</v>
      </c>
      <c r="K618" s="34" t="s">
        <v>688</v>
      </c>
      <c r="L618" s="133" t="s">
        <v>15</v>
      </c>
      <c r="M618" s="103">
        <v>250000</v>
      </c>
      <c r="N618" s="19" t="s">
        <v>2581</v>
      </c>
    </row>
    <row r="619" spans="1:14" hidden="1" x14ac:dyDescent="0.3">
      <c r="A619" s="131">
        <v>46</v>
      </c>
      <c r="B619" s="523"/>
      <c r="C619" s="99">
        <v>45608</v>
      </c>
      <c r="D619" s="4" t="s">
        <v>21</v>
      </c>
      <c r="E619" s="4" t="s">
        <v>17</v>
      </c>
      <c r="F619" s="3" t="s">
        <v>1902</v>
      </c>
      <c r="G619" s="34" t="s">
        <v>364</v>
      </c>
      <c r="H619" s="34" t="s">
        <v>149</v>
      </c>
      <c r="I619" s="207" t="s">
        <v>2579</v>
      </c>
      <c r="J619" s="14"/>
      <c r="K619" s="339" t="s">
        <v>41</v>
      </c>
      <c r="L619" s="133" t="s">
        <v>15</v>
      </c>
      <c r="M619" s="103">
        <v>250000</v>
      </c>
      <c r="N619" s="19" t="s">
        <v>1885</v>
      </c>
    </row>
    <row r="620" spans="1:14" hidden="1" x14ac:dyDescent="0.3">
      <c r="A620" s="131">
        <v>46</v>
      </c>
      <c r="B620" s="523"/>
      <c r="C620" s="99">
        <v>45609</v>
      </c>
      <c r="D620" s="4" t="s">
        <v>21</v>
      </c>
      <c r="E620" s="4" t="s">
        <v>17</v>
      </c>
      <c r="F620" s="34" t="s">
        <v>78</v>
      </c>
      <c r="G620" s="4">
        <v>7060</v>
      </c>
      <c r="H620" s="3" t="s">
        <v>37</v>
      </c>
      <c r="I620" s="106" t="s">
        <v>2583</v>
      </c>
      <c r="J620" s="34" t="s">
        <v>90</v>
      </c>
      <c r="K620" s="337" t="s">
        <v>1001</v>
      </c>
      <c r="L620" s="6" t="s">
        <v>15</v>
      </c>
      <c r="M620" s="103">
        <v>300000</v>
      </c>
      <c r="N620" s="19" t="s">
        <v>1885</v>
      </c>
    </row>
    <row r="621" spans="1:14" ht="27" hidden="1" x14ac:dyDescent="0.3">
      <c r="A621" s="131">
        <v>46</v>
      </c>
      <c r="B621" s="524"/>
      <c r="C621" s="99">
        <v>45610</v>
      </c>
      <c r="D621" s="4" t="s">
        <v>21</v>
      </c>
      <c r="E621" s="4" t="s">
        <v>14</v>
      </c>
      <c r="F621" s="34" t="s">
        <v>1902</v>
      </c>
      <c r="G621" s="17" t="s">
        <v>1328</v>
      </c>
      <c r="H621" s="3" t="s">
        <v>1396</v>
      </c>
      <c r="I621" s="207" t="s">
        <v>2577</v>
      </c>
      <c r="J621" s="34"/>
      <c r="K621" s="337" t="s">
        <v>1001</v>
      </c>
      <c r="L621" s="133" t="s">
        <v>15</v>
      </c>
      <c r="M621" s="103">
        <v>300000</v>
      </c>
      <c r="N621" s="19" t="s">
        <v>2582</v>
      </c>
    </row>
    <row r="622" spans="1:14" ht="24" hidden="1" x14ac:dyDescent="0.3">
      <c r="A622" s="131">
        <v>47</v>
      </c>
      <c r="B622" s="629" t="s">
        <v>2618</v>
      </c>
      <c r="C622" s="99">
        <v>45610</v>
      </c>
      <c r="D622" s="133" t="s">
        <v>307</v>
      </c>
      <c r="E622" s="133" t="s">
        <v>323</v>
      </c>
      <c r="F622" s="133" t="s">
        <v>308</v>
      </c>
      <c r="G622" s="207" t="s">
        <v>2590</v>
      </c>
      <c r="H622" s="133" t="s">
        <v>23</v>
      </c>
      <c r="I622" s="207" t="s">
        <v>2591</v>
      </c>
      <c r="J622" s="133" t="s">
        <v>1076</v>
      </c>
      <c r="K622" s="4" t="s">
        <v>412</v>
      </c>
      <c r="L622" s="133"/>
      <c r="M622" s="103">
        <v>300000</v>
      </c>
      <c r="N622" s="335" t="s">
        <v>2592</v>
      </c>
    </row>
    <row r="623" spans="1:14" hidden="1" x14ac:dyDescent="0.3">
      <c r="A623" s="131">
        <v>47</v>
      </c>
      <c r="B623" s="630"/>
      <c r="C623" s="99">
        <v>45614</v>
      </c>
      <c r="D623" s="133" t="s">
        <v>307</v>
      </c>
      <c r="E623" s="133" t="s">
        <v>323</v>
      </c>
      <c r="F623" s="133" t="s">
        <v>308</v>
      </c>
      <c r="G623" s="207" t="s">
        <v>2578</v>
      </c>
      <c r="H623" s="133" t="s">
        <v>378</v>
      </c>
      <c r="I623" s="207" t="s">
        <v>1124</v>
      </c>
      <c r="J623" s="133" t="s">
        <v>169</v>
      </c>
      <c r="K623" s="286" t="s">
        <v>1842</v>
      </c>
      <c r="L623" s="133"/>
      <c r="M623" s="103">
        <v>250000</v>
      </c>
      <c r="N623" s="216" t="s">
        <v>122</v>
      </c>
    </row>
    <row r="624" spans="1:14" ht="27" hidden="1" x14ac:dyDescent="0.3">
      <c r="A624" s="131">
        <v>47</v>
      </c>
      <c r="B624" s="630"/>
      <c r="C624" s="99" t="s">
        <v>2587</v>
      </c>
      <c r="D624" s="133" t="s">
        <v>307</v>
      </c>
      <c r="E624" s="133" t="s">
        <v>323</v>
      </c>
      <c r="F624" s="133" t="s">
        <v>308</v>
      </c>
      <c r="G624" s="207" t="s">
        <v>2588</v>
      </c>
      <c r="H624" s="133" t="s">
        <v>144</v>
      </c>
      <c r="I624" s="207" t="s">
        <v>1876</v>
      </c>
      <c r="J624" s="133" t="s">
        <v>169</v>
      </c>
      <c r="K624" s="286" t="s">
        <v>2490</v>
      </c>
      <c r="L624" s="133"/>
      <c r="M624" s="103">
        <v>500000</v>
      </c>
      <c r="N624" s="216" t="s">
        <v>122</v>
      </c>
    </row>
    <row r="625" spans="1:14" ht="27" hidden="1" x14ac:dyDescent="0.3">
      <c r="A625" s="131">
        <v>47</v>
      </c>
      <c r="B625" s="630"/>
      <c r="C625" s="99" t="s">
        <v>2589</v>
      </c>
      <c r="D625" s="133" t="s">
        <v>307</v>
      </c>
      <c r="E625" s="133" t="s">
        <v>323</v>
      </c>
      <c r="F625" s="133" t="s">
        <v>308</v>
      </c>
      <c r="G625" s="207" t="s">
        <v>2569</v>
      </c>
      <c r="H625" s="133" t="s">
        <v>149</v>
      </c>
      <c r="I625" s="207" t="s">
        <v>2593</v>
      </c>
      <c r="J625" s="133" t="s">
        <v>169</v>
      </c>
      <c r="K625" s="286" t="s">
        <v>2490</v>
      </c>
      <c r="L625" s="133"/>
      <c r="M625" s="103">
        <v>500000</v>
      </c>
      <c r="N625" s="216" t="s">
        <v>122</v>
      </c>
    </row>
    <row r="626" spans="1:14" ht="27" hidden="1" x14ac:dyDescent="0.3">
      <c r="A626" s="131">
        <v>47</v>
      </c>
      <c r="B626" s="631"/>
      <c r="C626" s="99" t="s">
        <v>2595</v>
      </c>
      <c r="D626" s="133" t="s">
        <v>307</v>
      </c>
      <c r="E626" s="133" t="s">
        <v>323</v>
      </c>
      <c r="F626" s="133" t="s">
        <v>308</v>
      </c>
      <c r="G626" s="207">
        <v>3307</v>
      </c>
      <c r="H626" s="133" t="s">
        <v>813</v>
      </c>
      <c r="I626" s="207" t="s">
        <v>2596</v>
      </c>
      <c r="J626" s="133" t="s">
        <v>95</v>
      </c>
      <c r="K626" s="197" t="s">
        <v>2597</v>
      </c>
      <c r="L626" s="256"/>
      <c r="M626" s="221">
        <v>2250000</v>
      </c>
      <c r="N626" s="216" t="s">
        <v>248</v>
      </c>
    </row>
    <row r="627" spans="1:14" ht="27" hidden="1" x14ac:dyDescent="0.3">
      <c r="A627" s="131">
        <v>47</v>
      </c>
      <c r="B627" s="59" t="s">
        <v>21</v>
      </c>
      <c r="C627" s="130">
        <v>45617</v>
      </c>
      <c r="D627" s="4" t="s">
        <v>21</v>
      </c>
      <c r="E627" s="4" t="s">
        <v>17</v>
      </c>
      <c r="F627" s="207" t="s">
        <v>2586</v>
      </c>
      <c r="G627" s="17">
        <v>4266</v>
      </c>
      <c r="H627" s="3" t="s">
        <v>18</v>
      </c>
      <c r="I627" s="207" t="s">
        <v>2594</v>
      </c>
      <c r="J627" s="34"/>
      <c r="K627" s="34" t="s">
        <v>1001</v>
      </c>
      <c r="L627" s="133" t="s">
        <v>15</v>
      </c>
      <c r="M627" s="103">
        <v>300000</v>
      </c>
      <c r="N627" s="19" t="s">
        <v>1885</v>
      </c>
    </row>
    <row r="628" spans="1:14" ht="27" hidden="1" x14ac:dyDescent="0.3">
      <c r="A628" s="131">
        <v>48</v>
      </c>
      <c r="B628" s="522" t="s">
        <v>20</v>
      </c>
      <c r="C628" s="99" t="s">
        <v>2602</v>
      </c>
      <c r="D628" s="133" t="s">
        <v>307</v>
      </c>
      <c r="E628" s="133" t="s">
        <v>323</v>
      </c>
      <c r="F628" s="133" t="s">
        <v>308</v>
      </c>
      <c r="G628" s="207" t="s">
        <v>2603</v>
      </c>
      <c r="H628" s="133" t="s">
        <v>2604</v>
      </c>
      <c r="I628" s="207" t="s">
        <v>2606</v>
      </c>
      <c r="J628" s="133" t="s">
        <v>95</v>
      </c>
      <c r="K628" s="197" t="s">
        <v>2605</v>
      </c>
      <c r="L628" s="256"/>
      <c r="M628" s="221">
        <v>750000</v>
      </c>
      <c r="N628" s="216" t="s">
        <v>2610</v>
      </c>
    </row>
    <row r="629" spans="1:14" ht="27" hidden="1" x14ac:dyDescent="0.3">
      <c r="A629" s="131">
        <v>48</v>
      </c>
      <c r="B629" s="523"/>
      <c r="C629" s="99" t="s">
        <v>2600</v>
      </c>
      <c r="D629" s="133" t="s">
        <v>307</v>
      </c>
      <c r="E629" s="133" t="s">
        <v>323</v>
      </c>
      <c r="F629" s="133" t="s">
        <v>308</v>
      </c>
      <c r="G629" s="207" t="s">
        <v>2569</v>
      </c>
      <c r="H629" s="133" t="s">
        <v>149</v>
      </c>
      <c r="I629" s="207" t="s">
        <v>2601</v>
      </c>
      <c r="J629" s="133" t="s">
        <v>169</v>
      </c>
      <c r="K629" s="286" t="s">
        <v>2572</v>
      </c>
      <c r="L629" s="133"/>
      <c r="M629" s="103">
        <v>1250000</v>
      </c>
      <c r="N629" s="216" t="s">
        <v>122</v>
      </c>
    </row>
    <row r="630" spans="1:14" ht="27" hidden="1" x14ac:dyDescent="0.3">
      <c r="A630" s="131">
        <v>48</v>
      </c>
      <c r="B630" s="524"/>
      <c r="C630" s="99" t="s">
        <v>2607</v>
      </c>
      <c r="D630" s="133" t="s">
        <v>307</v>
      </c>
      <c r="E630" s="133" t="s">
        <v>323</v>
      </c>
      <c r="F630" s="133" t="s">
        <v>308</v>
      </c>
      <c r="G630" s="207">
        <v>3307</v>
      </c>
      <c r="H630" s="133" t="s">
        <v>813</v>
      </c>
      <c r="I630" s="207" t="s">
        <v>2611</v>
      </c>
      <c r="J630" s="133" t="s">
        <v>95</v>
      </c>
      <c r="K630" s="197" t="s">
        <v>2608</v>
      </c>
      <c r="L630" s="256"/>
      <c r="M630" s="221">
        <v>1500000</v>
      </c>
      <c r="N630" s="216" t="s">
        <v>2609</v>
      </c>
    </row>
    <row r="631" spans="1:14" ht="27" hidden="1" x14ac:dyDescent="0.3">
      <c r="A631" s="131">
        <v>48</v>
      </c>
      <c r="B631" s="59" t="s">
        <v>21</v>
      </c>
      <c r="C631" s="99">
        <v>45621</v>
      </c>
      <c r="D631" s="4" t="s">
        <v>21</v>
      </c>
      <c r="E631" s="4" t="s">
        <v>14</v>
      </c>
      <c r="F631" s="3" t="s">
        <v>108</v>
      </c>
      <c r="G631" s="17" t="s">
        <v>963</v>
      </c>
      <c r="H631" s="3" t="s">
        <v>2566</v>
      </c>
      <c r="I631" s="9" t="s">
        <v>2598</v>
      </c>
      <c r="J631" s="14" t="s">
        <v>90</v>
      </c>
      <c r="K631" s="215" t="s">
        <v>688</v>
      </c>
      <c r="L631" s="133" t="s">
        <v>15</v>
      </c>
      <c r="M631" s="103">
        <v>250000</v>
      </c>
      <c r="N631" s="19" t="s">
        <v>2612</v>
      </c>
    </row>
    <row r="632" spans="1:14" ht="27" hidden="1" x14ac:dyDescent="0.3">
      <c r="A632" s="131">
        <v>49</v>
      </c>
      <c r="B632" s="522" t="s">
        <v>2649</v>
      </c>
      <c r="C632" s="99" t="s">
        <v>2621</v>
      </c>
      <c r="D632" s="133" t="s">
        <v>307</v>
      </c>
      <c r="E632" s="133" t="s">
        <v>323</v>
      </c>
      <c r="F632" s="133" t="s">
        <v>308</v>
      </c>
      <c r="G632" s="207" t="s">
        <v>2569</v>
      </c>
      <c r="H632" s="133" t="s">
        <v>149</v>
      </c>
      <c r="I632" s="207" t="s">
        <v>2622</v>
      </c>
      <c r="J632" s="133" t="s">
        <v>169</v>
      </c>
      <c r="K632" s="4" t="s">
        <v>2572</v>
      </c>
      <c r="L632" s="133"/>
      <c r="M632" s="103">
        <v>1250000</v>
      </c>
      <c r="N632" s="216" t="s">
        <v>122</v>
      </c>
    </row>
    <row r="633" spans="1:14" hidden="1" x14ac:dyDescent="0.3">
      <c r="A633" s="131">
        <v>49</v>
      </c>
      <c r="B633" s="523"/>
      <c r="C633" s="99">
        <v>45631</v>
      </c>
      <c r="D633" s="133" t="s">
        <v>307</v>
      </c>
      <c r="E633" s="133" t="s">
        <v>323</v>
      </c>
      <c r="F633" s="133" t="s">
        <v>308</v>
      </c>
      <c r="G633" s="207">
        <v>3307</v>
      </c>
      <c r="H633" s="133" t="s">
        <v>813</v>
      </c>
      <c r="I633" s="207" t="s">
        <v>2611</v>
      </c>
      <c r="J633" s="133" t="s">
        <v>95</v>
      </c>
      <c r="K633" s="197" t="s">
        <v>2627</v>
      </c>
      <c r="L633" s="256"/>
      <c r="M633" s="221">
        <v>750000</v>
      </c>
      <c r="N633" s="216" t="s">
        <v>248</v>
      </c>
    </row>
    <row r="634" spans="1:14" ht="27" hidden="1" x14ac:dyDescent="0.3">
      <c r="A634" s="131">
        <v>49</v>
      </c>
      <c r="B634" s="524"/>
      <c r="C634" s="99" t="s">
        <v>2626</v>
      </c>
      <c r="D634" s="133" t="s">
        <v>307</v>
      </c>
      <c r="E634" s="133" t="s">
        <v>323</v>
      </c>
      <c r="F634" s="133" t="s">
        <v>308</v>
      </c>
      <c r="G634" s="207" t="s">
        <v>2620</v>
      </c>
      <c r="H634" s="133" t="s">
        <v>37</v>
      </c>
      <c r="I634" s="207" t="s">
        <v>2623</v>
      </c>
      <c r="J634" s="133" t="s">
        <v>95</v>
      </c>
      <c r="K634" s="197" t="s">
        <v>2605</v>
      </c>
      <c r="L634" s="256"/>
      <c r="M634" s="221">
        <v>750000</v>
      </c>
      <c r="N634" s="216" t="s">
        <v>248</v>
      </c>
    </row>
    <row r="635" spans="1:14" ht="27" hidden="1" x14ac:dyDescent="0.3">
      <c r="A635" s="131">
        <v>49</v>
      </c>
      <c r="B635" s="522" t="s">
        <v>2650</v>
      </c>
      <c r="C635" s="99" t="s">
        <v>2625</v>
      </c>
      <c r="D635" s="4" t="s">
        <v>139</v>
      </c>
      <c r="E635" s="4" t="s">
        <v>17</v>
      </c>
      <c r="F635" s="4" t="s">
        <v>1389</v>
      </c>
      <c r="G635" s="4" t="s">
        <v>2619</v>
      </c>
      <c r="H635" s="3" t="s">
        <v>23</v>
      </c>
      <c r="I635" s="287" t="s">
        <v>2624</v>
      </c>
      <c r="J635" s="14" t="s">
        <v>90</v>
      </c>
      <c r="K635" s="218" t="s">
        <v>649</v>
      </c>
      <c r="L635" s="360" t="s">
        <v>15</v>
      </c>
      <c r="M635" s="359">
        <v>1000000</v>
      </c>
      <c r="N635" s="8" t="s">
        <v>2153</v>
      </c>
    </row>
    <row r="636" spans="1:14" hidden="1" x14ac:dyDescent="0.3">
      <c r="A636" s="131">
        <v>49</v>
      </c>
      <c r="B636" s="523"/>
      <c r="C636" s="99">
        <v>45629</v>
      </c>
      <c r="D636" s="4" t="s">
        <v>312</v>
      </c>
      <c r="E636" s="4" t="s">
        <v>321</v>
      </c>
      <c r="F636" s="3" t="s">
        <v>2613</v>
      </c>
      <c r="G636" s="17" t="s">
        <v>1417</v>
      </c>
      <c r="H636" s="3" t="s">
        <v>2615</v>
      </c>
      <c r="I636" s="9" t="s">
        <v>2614</v>
      </c>
      <c r="J636" s="14" t="s">
        <v>1678</v>
      </c>
      <c r="K636" s="322" t="s">
        <v>1001</v>
      </c>
      <c r="L636" s="133" t="s">
        <v>310</v>
      </c>
      <c r="M636" s="103">
        <v>300000</v>
      </c>
      <c r="N636" s="8" t="s">
        <v>129</v>
      </c>
    </row>
    <row r="637" spans="1:14" hidden="1" x14ac:dyDescent="0.3">
      <c r="A637" s="131">
        <v>49</v>
      </c>
      <c r="B637" s="524"/>
      <c r="C637" s="99">
        <v>45632</v>
      </c>
      <c r="D637" s="4" t="s">
        <v>312</v>
      </c>
      <c r="E637" s="4" t="s">
        <v>321</v>
      </c>
      <c r="F637" s="3" t="s">
        <v>2613</v>
      </c>
      <c r="G637" s="17" t="s">
        <v>1417</v>
      </c>
      <c r="H637" s="3" t="s">
        <v>1888</v>
      </c>
      <c r="I637" s="9" t="s">
        <v>2614</v>
      </c>
      <c r="J637" s="14"/>
      <c r="K637" s="322" t="s">
        <v>1001</v>
      </c>
      <c r="L637" s="133" t="s">
        <v>310</v>
      </c>
      <c r="M637" s="103">
        <v>300000</v>
      </c>
      <c r="N637" s="8" t="s">
        <v>129</v>
      </c>
    </row>
    <row r="638" spans="1:14" hidden="1" x14ac:dyDescent="0.3">
      <c r="A638" s="131">
        <v>50</v>
      </c>
      <c r="B638" s="522" t="s">
        <v>2683</v>
      </c>
      <c r="C638" s="99">
        <v>45626</v>
      </c>
      <c r="D638" s="133" t="s">
        <v>307</v>
      </c>
      <c r="E638" s="133" t="s">
        <v>323</v>
      </c>
      <c r="F638" s="133" t="s">
        <v>308</v>
      </c>
      <c r="G638" s="3" t="s">
        <v>2569</v>
      </c>
      <c r="H638" s="3" t="s">
        <v>408</v>
      </c>
      <c r="I638" s="9" t="s">
        <v>2632</v>
      </c>
      <c r="J638" s="14" t="s">
        <v>73</v>
      </c>
      <c r="K638" s="306" t="s">
        <v>643</v>
      </c>
      <c r="L638" s="133"/>
      <c r="M638" s="103">
        <v>500000</v>
      </c>
      <c r="N638" s="216" t="s">
        <v>2641</v>
      </c>
    </row>
    <row r="639" spans="1:14" ht="27" hidden="1" x14ac:dyDescent="0.3">
      <c r="A639" s="131">
        <v>50</v>
      </c>
      <c r="B639" s="524"/>
      <c r="C639" s="99" t="s">
        <v>2635</v>
      </c>
      <c r="D639" s="133" t="s">
        <v>307</v>
      </c>
      <c r="E639" s="133" t="s">
        <v>323</v>
      </c>
      <c r="F639" s="133" t="s">
        <v>308</v>
      </c>
      <c r="G639" s="207" t="s">
        <v>2633</v>
      </c>
      <c r="H639" s="133" t="s">
        <v>18</v>
      </c>
      <c r="I639" s="207" t="s">
        <v>2634</v>
      </c>
      <c r="J639" s="133" t="s">
        <v>169</v>
      </c>
      <c r="K639" s="4" t="s">
        <v>2572</v>
      </c>
      <c r="L639" s="133"/>
      <c r="M639" s="103">
        <v>1250000</v>
      </c>
      <c r="N639" s="216" t="s">
        <v>122</v>
      </c>
    </row>
    <row r="640" spans="1:14" ht="81" hidden="1" x14ac:dyDescent="0.3">
      <c r="A640" s="131">
        <v>50</v>
      </c>
      <c r="B640" s="522" t="s">
        <v>2684</v>
      </c>
      <c r="C640" s="99" t="s">
        <v>2639</v>
      </c>
      <c r="D640" s="4" t="s">
        <v>139</v>
      </c>
      <c r="E640" s="4" t="s">
        <v>17</v>
      </c>
      <c r="F640" s="4" t="s">
        <v>2628</v>
      </c>
      <c r="G640" s="4" t="s">
        <v>2619</v>
      </c>
      <c r="H640" s="3" t="s">
        <v>23</v>
      </c>
      <c r="I640" s="287" t="s">
        <v>2640</v>
      </c>
      <c r="J640" s="14"/>
      <c r="K640" s="370" t="s">
        <v>2644</v>
      </c>
      <c r="L640" s="371" t="s">
        <v>15</v>
      </c>
      <c r="M640" s="372">
        <v>1500000</v>
      </c>
      <c r="N640" s="8" t="s">
        <v>2645</v>
      </c>
    </row>
    <row r="641" spans="1:14" ht="27" hidden="1" x14ac:dyDescent="0.3">
      <c r="A641" s="131">
        <v>50</v>
      </c>
      <c r="B641" s="523"/>
      <c r="C641" s="99">
        <v>45636</v>
      </c>
      <c r="D641" s="4" t="s">
        <v>21</v>
      </c>
      <c r="E641" s="4" t="s">
        <v>14</v>
      </c>
      <c r="F641" s="3" t="s">
        <v>108</v>
      </c>
      <c r="G641" s="3" t="s">
        <v>271</v>
      </c>
      <c r="H641" s="3" t="s">
        <v>1564</v>
      </c>
      <c r="I641" s="207" t="s">
        <v>2646</v>
      </c>
      <c r="J641" s="14"/>
      <c r="K641" s="355" t="s">
        <v>1001</v>
      </c>
      <c r="L641" s="354" t="s">
        <v>15</v>
      </c>
      <c r="M641" s="364">
        <v>250000</v>
      </c>
      <c r="N641" s="8" t="s">
        <v>1989</v>
      </c>
    </row>
    <row r="642" spans="1:14" ht="27" hidden="1" x14ac:dyDescent="0.3">
      <c r="A642" s="131">
        <v>50</v>
      </c>
      <c r="B642" s="524"/>
      <c r="C642" s="99">
        <v>45639</v>
      </c>
      <c r="D642" s="4" t="s">
        <v>21</v>
      </c>
      <c r="E642" s="4" t="s">
        <v>14</v>
      </c>
      <c r="F642" s="34" t="s">
        <v>1588</v>
      </c>
      <c r="G642" s="17" t="s">
        <v>2629</v>
      </c>
      <c r="H642" s="3" t="s">
        <v>2630</v>
      </c>
      <c r="I642" s="207" t="s">
        <v>2642</v>
      </c>
      <c r="J642" s="34"/>
      <c r="K642" s="375" t="s">
        <v>643</v>
      </c>
      <c r="L642" s="376" t="s">
        <v>15</v>
      </c>
      <c r="M642" s="377">
        <v>500000</v>
      </c>
      <c r="N642" s="8" t="s">
        <v>2643</v>
      </c>
    </row>
    <row r="643" spans="1:14" ht="27" hidden="1" x14ac:dyDescent="0.3">
      <c r="A643" s="131">
        <v>51</v>
      </c>
      <c r="B643" s="522" t="s">
        <v>20</v>
      </c>
      <c r="C643" s="99" t="s">
        <v>2652</v>
      </c>
      <c r="D643" s="133" t="s">
        <v>307</v>
      </c>
      <c r="E643" s="133" t="s">
        <v>323</v>
      </c>
      <c r="F643" s="133" t="s">
        <v>308</v>
      </c>
      <c r="G643" s="207" t="s">
        <v>2569</v>
      </c>
      <c r="H643" s="133" t="s">
        <v>149</v>
      </c>
      <c r="I643" s="207" t="s">
        <v>2653</v>
      </c>
      <c r="J643" s="133" t="s">
        <v>169</v>
      </c>
      <c r="K643" s="4" t="s">
        <v>1664</v>
      </c>
      <c r="L643" s="133"/>
      <c r="M643" s="103">
        <v>500000</v>
      </c>
      <c r="N643" s="216" t="s">
        <v>2664</v>
      </c>
    </row>
    <row r="644" spans="1:14" ht="27" hidden="1" x14ac:dyDescent="0.3">
      <c r="A644" s="131">
        <v>51</v>
      </c>
      <c r="B644" s="523"/>
      <c r="C644" s="99" t="s">
        <v>2654</v>
      </c>
      <c r="D644" s="133" t="s">
        <v>307</v>
      </c>
      <c r="E644" s="133" t="s">
        <v>323</v>
      </c>
      <c r="F644" s="133" t="s">
        <v>308</v>
      </c>
      <c r="G644" s="207" t="s">
        <v>2633</v>
      </c>
      <c r="H644" s="133" t="s">
        <v>363</v>
      </c>
      <c r="I644" s="207" t="s">
        <v>380</v>
      </c>
      <c r="J644" s="133" t="s">
        <v>169</v>
      </c>
      <c r="K644" s="4" t="s">
        <v>1878</v>
      </c>
      <c r="L644" s="133"/>
      <c r="M644" s="103">
        <v>750000</v>
      </c>
      <c r="N644" s="216" t="s">
        <v>122</v>
      </c>
    </row>
    <row r="645" spans="1:14" ht="27" hidden="1" x14ac:dyDescent="0.3">
      <c r="A645" s="131">
        <v>51</v>
      </c>
      <c r="B645" s="523" t="s">
        <v>21</v>
      </c>
      <c r="C645" s="130">
        <v>45636</v>
      </c>
      <c r="D645" s="4" t="s">
        <v>312</v>
      </c>
      <c r="E645" s="4" t="s">
        <v>321</v>
      </c>
      <c r="F645" s="3" t="s">
        <v>212</v>
      </c>
      <c r="G645" s="17" t="s">
        <v>1509</v>
      </c>
      <c r="H645" s="3" t="s">
        <v>2647</v>
      </c>
      <c r="I645" s="9" t="s">
        <v>2648</v>
      </c>
      <c r="J645" s="14" t="s">
        <v>203</v>
      </c>
      <c r="K645" s="366" t="s">
        <v>1001</v>
      </c>
      <c r="L645" s="367" t="s">
        <v>15</v>
      </c>
      <c r="M645" s="368">
        <v>300000</v>
      </c>
      <c r="N645" s="8" t="s">
        <v>2656</v>
      </c>
    </row>
    <row r="646" spans="1:14" hidden="1" x14ac:dyDescent="0.3">
      <c r="A646" s="131">
        <v>51</v>
      </c>
      <c r="B646" s="523"/>
      <c r="C646" s="130">
        <v>45638</v>
      </c>
      <c r="D646" s="4" t="s">
        <v>312</v>
      </c>
      <c r="E646" s="4" t="s">
        <v>321</v>
      </c>
      <c r="F646" s="34" t="s">
        <v>2651</v>
      </c>
      <c r="G646" s="17" t="s">
        <v>1384</v>
      </c>
      <c r="H646" s="3" t="s">
        <v>103</v>
      </c>
      <c r="I646" s="207" t="s">
        <v>2655</v>
      </c>
      <c r="J646" s="14" t="s">
        <v>90</v>
      </c>
      <c r="K646" s="366" t="s">
        <v>1001</v>
      </c>
      <c r="L646" s="367" t="s">
        <v>15</v>
      </c>
      <c r="M646" s="368">
        <v>300000</v>
      </c>
      <c r="N646" s="8" t="s">
        <v>2662</v>
      </c>
    </row>
    <row r="647" spans="1:14" ht="27" hidden="1" x14ac:dyDescent="0.3">
      <c r="A647" s="131">
        <v>51</v>
      </c>
      <c r="B647" s="523"/>
      <c r="C647" s="130">
        <v>45639</v>
      </c>
      <c r="D647" s="4" t="s">
        <v>21</v>
      </c>
      <c r="E647" s="4" t="s">
        <v>14</v>
      </c>
      <c r="F647" s="4" t="s">
        <v>108</v>
      </c>
      <c r="G647" s="4" t="s">
        <v>271</v>
      </c>
      <c r="H647" s="4" t="s">
        <v>1396</v>
      </c>
      <c r="I647" s="207" t="s">
        <v>2661</v>
      </c>
      <c r="J647" s="14"/>
      <c r="K647" s="354" t="s">
        <v>688</v>
      </c>
      <c r="L647" s="365" t="s">
        <v>15</v>
      </c>
      <c r="M647" s="364">
        <v>250000</v>
      </c>
      <c r="N647" s="8" t="s">
        <v>2656</v>
      </c>
    </row>
    <row r="648" spans="1:14" ht="27" hidden="1" x14ac:dyDescent="0.3">
      <c r="A648" s="131">
        <v>51</v>
      </c>
      <c r="B648" s="523"/>
      <c r="C648" s="369">
        <v>45639</v>
      </c>
      <c r="D648" s="4" t="s">
        <v>21</v>
      </c>
      <c r="E648" s="4" t="s">
        <v>14</v>
      </c>
      <c r="F648" s="34" t="s">
        <v>212</v>
      </c>
      <c r="G648" s="17" t="s">
        <v>1509</v>
      </c>
      <c r="H648" s="3" t="s">
        <v>18</v>
      </c>
      <c r="I648" s="207" t="s">
        <v>2657</v>
      </c>
      <c r="J648" s="34"/>
      <c r="K648" s="354" t="s">
        <v>688</v>
      </c>
      <c r="L648" s="365" t="s">
        <v>15</v>
      </c>
      <c r="M648" s="364">
        <v>250000</v>
      </c>
      <c r="N648" s="8" t="s">
        <v>2658</v>
      </c>
    </row>
    <row r="649" spans="1:14" hidden="1" x14ac:dyDescent="0.3">
      <c r="A649" s="131">
        <v>51</v>
      </c>
      <c r="B649" s="523"/>
      <c r="C649" s="130">
        <v>45642</v>
      </c>
      <c r="D649" s="4" t="s">
        <v>21</v>
      </c>
      <c r="E649" s="4" t="s">
        <v>14</v>
      </c>
      <c r="F649" s="34" t="s">
        <v>1902</v>
      </c>
      <c r="G649" s="17" t="s">
        <v>1329</v>
      </c>
      <c r="H649" s="3" t="s">
        <v>83</v>
      </c>
      <c r="I649" s="207" t="s">
        <v>2659</v>
      </c>
      <c r="J649" s="34" t="s">
        <v>203</v>
      </c>
      <c r="K649" s="337" t="s">
        <v>2660</v>
      </c>
      <c r="L649" s="358" t="s">
        <v>15</v>
      </c>
      <c r="M649" s="359">
        <v>600000</v>
      </c>
      <c r="N649" s="8" t="s">
        <v>2663</v>
      </c>
    </row>
    <row r="650" spans="1:14" ht="27" hidden="1" x14ac:dyDescent="0.3">
      <c r="A650" s="131">
        <v>52</v>
      </c>
      <c r="B650" s="523" t="s">
        <v>2685</v>
      </c>
      <c r="C650" s="99" t="s">
        <v>2665</v>
      </c>
      <c r="D650" s="133" t="s">
        <v>307</v>
      </c>
      <c r="E650" s="133" t="s">
        <v>323</v>
      </c>
      <c r="F650" s="133" t="s">
        <v>308</v>
      </c>
      <c r="G650" s="207" t="s">
        <v>1978</v>
      </c>
      <c r="H650" s="133" t="s">
        <v>144</v>
      </c>
      <c r="I650" s="207" t="s">
        <v>380</v>
      </c>
      <c r="J650" s="133" t="s">
        <v>169</v>
      </c>
      <c r="K650" s="4" t="s">
        <v>1664</v>
      </c>
      <c r="L650" s="133"/>
      <c r="M650" s="103">
        <v>500000</v>
      </c>
      <c r="N650" s="216" t="s">
        <v>122</v>
      </c>
    </row>
    <row r="651" spans="1:14" ht="27" hidden="1" x14ac:dyDescent="0.3">
      <c r="A651" s="131">
        <v>52</v>
      </c>
      <c r="B651" s="523"/>
      <c r="C651" s="99" t="s">
        <v>2666</v>
      </c>
      <c r="D651" s="133" t="s">
        <v>307</v>
      </c>
      <c r="E651" s="133" t="s">
        <v>323</v>
      </c>
      <c r="F651" s="133" t="s">
        <v>308</v>
      </c>
      <c r="G651" s="207" t="s">
        <v>2667</v>
      </c>
      <c r="H651" s="133" t="s">
        <v>103</v>
      </c>
      <c r="I651" s="207" t="s">
        <v>380</v>
      </c>
      <c r="J651" s="133" t="s">
        <v>169</v>
      </c>
      <c r="K651" s="4" t="s">
        <v>1664</v>
      </c>
      <c r="L651" s="133"/>
      <c r="M651" s="103">
        <v>500000</v>
      </c>
      <c r="N651" s="216" t="s">
        <v>122</v>
      </c>
    </row>
    <row r="652" spans="1:14" ht="27" hidden="1" x14ac:dyDescent="0.3">
      <c r="A652" s="131">
        <v>52</v>
      </c>
      <c r="B652" s="523"/>
      <c r="C652" s="99" t="s">
        <v>2671</v>
      </c>
      <c r="D652" s="133" t="s">
        <v>307</v>
      </c>
      <c r="E652" s="133" t="s">
        <v>323</v>
      </c>
      <c r="F652" s="133" t="s">
        <v>308</v>
      </c>
      <c r="G652" s="207" t="s">
        <v>2668</v>
      </c>
      <c r="H652" s="133" t="s">
        <v>103</v>
      </c>
      <c r="I652" s="207" t="s">
        <v>2332</v>
      </c>
      <c r="J652" s="133" t="s">
        <v>95</v>
      </c>
      <c r="K652" s="361" t="s">
        <v>1754</v>
      </c>
      <c r="L652" s="362"/>
      <c r="M652" s="363">
        <v>1000000</v>
      </c>
      <c r="N652" s="216" t="s">
        <v>248</v>
      </c>
    </row>
    <row r="653" spans="1:14" ht="27" hidden="1" x14ac:dyDescent="0.3">
      <c r="A653" s="131">
        <v>52</v>
      </c>
      <c r="B653" s="343" t="s">
        <v>2686</v>
      </c>
      <c r="C653" s="130">
        <v>45652</v>
      </c>
      <c r="D653" s="4" t="s">
        <v>21</v>
      </c>
      <c r="E653" s="4" t="s">
        <v>14</v>
      </c>
      <c r="F653" s="4" t="s">
        <v>212</v>
      </c>
      <c r="G653" s="4" t="s">
        <v>1509</v>
      </c>
      <c r="H653" s="4" t="s">
        <v>2669</v>
      </c>
      <c r="I653" s="5" t="s">
        <v>2670</v>
      </c>
      <c r="J653" s="34" t="s">
        <v>90</v>
      </c>
      <c r="K653" s="355" t="s">
        <v>688</v>
      </c>
      <c r="L653" s="354" t="s">
        <v>15</v>
      </c>
      <c r="M653" s="364">
        <v>250000</v>
      </c>
      <c r="N653" s="133" t="s">
        <v>1887</v>
      </c>
    </row>
    <row r="654" spans="1:14" hidden="1" x14ac:dyDescent="0.3">
      <c r="A654" s="131">
        <v>1</v>
      </c>
      <c r="B654" s="523" t="s">
        <v>2705</v>
      </c>
      <c r="C654" s="99">
        <v>45654</v>
      </c>
      <c r="D654" s="133" t="s">
        <v>307</v>
      </c>
      <c r="E654" s="133" t="s">
        <v>323</v>
      </c>
      <c r="F654" s="133" t="s">
        <v>308</v>
      </c>
      <c r="G654" s="207" t="s">
        <v>1978</v>
      </c>
      <c r="H654" s="133" t="s">
        <v>378</v>
      </c>
      <c r="I654" s="207" t="s">
        <v>2675</v>
      </c>
      <c r="J654" s="133" t="s">
        <v>90</v>
      </c>
      <c r="K654" s="373" t="s">
        <v>489</v>
      </c>
      <c r="L654" s="374"/>
      <c r="M654" s="372">
        <v>500000</v>
      </c>
      <c r="N654" s="216" t="s">
        <v>2676</v>
      </c>
    </row>
    <row r="655" spans="1:14" ht="27" hidden="1" x14ac:dyDescent="0.3">
      <c r="A655" s="131">
        <v>1</v>
      </c>
      <c r="B655" s="523"/>
      <c r="C655" s="99" t="s">
        <v>2673</v>
      </c>
      <c r="D655" s="133" t="s">
        <v>307</v>
      </c>
      <c r="E655" s="133" t="s">
        <v>323</v>
      </c>
      <c r="F655" s="133" t="s">
        <v>308</v>
      </c>
      <c r="G655" s="207" t="s">
        <v>2667</v>
      </c>
      <c r="H655" s="133" t="s">
        <v>103</v>
      </c>
      <c r="I655" s="207" t="s">
        <v>380</v>
      </c>
      <c r="J655" s="133" t="s">
        <v>169</v>
      </c>
      <c r="K655" s="4" t="s">
        <v>2674</v>
      </c>
      <c r="L655" s="133"/>
      <c r="M655" s="103">
        <v>1000000</v>
      </c>
      <c r="N655" s="216" t="s">
        <v>122</v>
      </c>
    </row>
    <row r="656" spans="1:14" hidden="1" x14ac:dyDescent="0.3">
      <c r="A656" s="131">
        <v>1</v>
      </c>
      <c r="B656" s="523" t="s">
        <v>2706</v>
      </c>
      <c r="C656" s="130">
        <v>45656</v>
      </c>
      <c r="D656" s="4" t="s">
        <v>21</v>
      </c>
      <c r="E656" s="4" t="s">
        <v>14</v>
      </c>
      <c r="F656" s="34" t="s">
        <v>1902</v>
      </c>
      <c r="G656" s="17" t="s">
        <v>1329</v>
      </c>
      <c r="H656" s="4" t="s">
        <v>1387</v>
      </c>
      <c r="I656" s="207" t="s">
        <v>2672</v>
      </c>
      <c r="J656" s="34"/>
      <c r="K656" s="355" t="s">
        <v>643</v>
      </c>
      <c r="L656" s="365" t="s">
        <v>15</v>
      </c>
      <c r="M656" s="364">
        <v>500000</v>
      </c>
      <c r="N656" s="133" t="s">
        <v>129</v>
      </c>
    </row>
    <row r="657" spans="1:14" hidden="1" x14ac:dyDescent="0.3">
      <c r="A657" s="131">
        <v>1</v>
      </c>
      <c r="B657" s="523"/>
      <c r="C657" s="130">
        <v>45657</v>
      </c>
      <c r="D657" s="4" t="s">
        <v>21</v>
      </c>
      <c r="E657" s="4" t="s">
        <v>14</v>
      </c>
      <c r="F657" s="4" t="s">
        <v>212</v>
      </c>
      <c r="G657" s="4" t="s">
        <v>1509</v>
      </c>
      <c r="H657" s="4" t="s">
        <v>2669</v>
      </c>
      <c r="I657" s="5" t="s">
        <v>2677</v>
      </c>
      <c r="J657" s="34" t="s">
        <v>90</v>
      </c>
      <c r="K657" s="355" t="s">
        <v>643</v>
      </c>
      <c r="L657" s="354" t="s">
        <v>15</v>
      </c>
      <c r="M657" s="364">
        <v>500000</v>
      </c>
      <c r="N657" s="133" t="s">
        <v>1887</v>
      </c>
    </row>
    <row r="658" spans="1:14" hidden="1" x14ac:dyDescent="0.3">
      <c r="A658" s="131">
        <v>2</v>
      </c>
      <c r="B658" s="523" t="s">
        <v>20</v>
      </c>
      <c r="C658" s="99" t="s">
        <v>2679</v>
      </c>
      <c r="D658" s="133" t="s">
        <v>307</v>
      </c>
      <c r="E658" s="133" t="s">
        <v>323</v>
      </c>
      <c r="F658" s="133" t="s">
        <v>308</v>
      </c>
      <c r="G658" s="207" t="s">
        <v>2668</v>
      </c>
      <c r="H658" s="133" t="s">
        <v>23</v>
      </c>
      <c r="I658" s="207" t="s">
        <v>2680</v>
      </c>
      <c r="J658" s="133" t="s">
        <v>169</v>
      </c>
      <c r="K658" s="4" t="s">
        <v>1842</v>
      </c>
      <c r="L658" s="133"/>
      <c r="M658" s="103">
        <v>250000</v>
      </c>
      <c r="N658" s="216" t="s">
        <v>122</v>
      </c>
    </row>
    <row r="659" spans="1:14" hidden="1" x14ac:dyDescent="0.3">
      <c r="A659" s="131">
        <v>2</v>
      </c>
      <c r="B659" s="523"/>
      <c r="C659" s="99" t="s">
        <v>2681</v>
      </c>
      <c r="D659" s="133" t="s">
        <v>307</v>
      </c>
      <c r="E659" s="133" t="s">
        <v>323</v>
      </c>
      <c r="F659" s="133" t="s">
        <v>308</v>
      </c>
      <c r="G659" s="207" t="s">
        <v>1978</v>
      </c>
      <c r="H659" s="133" t="s">
        <v>144</v>
      </c>
      <c r="I659" s="207" t="s">
        <v>616</v>
      </c>
      <c r="J659" s="133" t="s">
        <v>169</v>
      </c>
      <c r="K659" s="4" t="s">
        <v>1842</v>
      </c>
      <c r="L659" s="133"/>
      <c r="M659" s="103">
        <v>250000</v>
      </c>
      <c r="N659" s="216" t="s">
        <v>122</v>
      </c>
    </row>
    <row r="660" spans="1:14" ht="27" hidden="1" x14ac:dyDescent="0.3">
      <c r="A660" s="131">
        <v>2</v>
      </c>
      <c r="B660" s="523"/>
      <c r="C660" s="99" t="s">
        <v>2682</v>
      </c>
      <c r="D660" s="133" t="s">
        <v>307</v>
      </c>
      <c r="E660" s="133" t="s">
        <v>323</v>
      </c>
      <c r="F660" s="133" t="s">
        <v>308</v>
      </c>
      <c r="G660" s="207" t="s">
        <v>2569</v>
      </c>
      <c r="H660" s="133" t="s">
        <v>149</v>
      </c>
      <c r="I660" s="207" t="s">
        <v>2688</v>
      </c>
      <c r="J660" s="133" t="s">
        <v>169</v>
      </c>
      <c r="K660" s="4" t="s">
        <v>1878</v>
      </c>
      <c r="L660" s="133"/>
      <c r="M660" s="103">
        <v>750000</v>
      </c>
      <c r="N660" s="216" t="s">
        <v>122</v>
      </c>
    </row>
    <row r="661" spans="1:14" ht="27" hidden="1" x14ac:dyDescent="0.3">
      <c r="A661" s="131">
        <v>2</v>
      </c>
      <c r="B661" s="523"/>
      <c r="C661" s="99" t="s">
        <v>2689</v>
      </c>
      <c r="D661" s="133" t="s">
        <v>307</v>
      </c>
      <c r="E661" s="133" t="s">
        <v>323</v>
      </c>
      <c r="F661" s="133" t="s">
        <v>308</v>
      </c>
      <c r="G661" s="207" t="s">
        <v>2668</v>
      </c>
      <c r="H661" s="133" t="s">
        <v>23</v>
      </c>
      <c r="I661" s="207" t="s">
        <v>2687</v>
      </c>
      <c r="J661" s="133" t="s">
        <v>95</v>
      </c>
      <c r="K661" s="361" t="s">
        <v>1754</v>
      </c>
      <c r="L661" s="362"/>
      <c r="M661" s="363">
        <v>1000000</v>
      </c>
      <c r="N661" s="216" t="s">
        <v>659</v>
      </c>
    </row>
    <row r="662" spans="1:14" hidden="1" x14ac:dyDescent="0.3">
      <c r="A662" s="131">
        <v>2</v>
      </c>
      <c r="B662" s="238" t="s">
        <v>2707</v>
      </c>
      <c r="C662" s="130">
        <v>45665</v>
      </c>
      <c r="D662" s="4" t="s">
        <v>21</v>
      </c>
      <c r="E662" s="4" t="s">
        <v>14</v>
      </c>
      <c r="F662" s="34" t="s">
        <v>108</v>
      </c>
      <c r="G662" s="17" t="s">
        <v>1978</v>
      </c>
      <c r="H662" s="4" t="s">
        <v>143</v>
      </c>
      <c r="I662" s="207" t="s">
        <v>2678</v>
      </c>
      <c r="J662" s="34"/>
      <c r="K662" s="355" t="s">
        <v>2158</v>
      </c>
      <c r="L662" s="365" t="s">
        <v>15</v>
      </c>
      <c r="M662" s="364">
        <v>500000</v>
      </c>
      <c r="N662" s="133" t="s">
        <v>2690</v>
      </c>
    </row>
    <row r="663" spans="1:14" ht="27" hidden="1" x14ac:dyDescent="0.3">
      <c r="A663" s="131">
        <v>3</v>
      </c>
      <c r="B663" s="523" t="s">
        <v>20</v>
      </c>
      <c r="C663" s="99" t="s">
        <v>2692</v>
      </c>
      <c r="D663" s="133" t="s">
        <v>307</v>
      </c>
      <c r="E663" s="133" t="s">
        <v>323</v>
      </c>
      <c r="F663" s="133" t="s">
        <v>308</v>
      </c>
      <c r="G663" s="207" t="s">
        <v>2633</v>
      </c>
      <c r="H663" s="133" t="s">
        <v>18</v>
      </c>
      <c r="I663" s="207" t="s">
        <v>2693</v>
      </c>
      <c r="J663" s="133" t="s">
        <v>169</v>
      </c>
      <c r="K663" s="4" t="s">
        <v>1664</v>
      </c>
      <c r="L663" s="133"/>
      <c r="M663" s="103">
        <v>500000</v>
      </c>
      <c r="N663" s="216" t="s">
        <v>122</v>
      </c>
    </row>
    <row r="664" spans="1:14" ht="27" hidden="1" x14ac:dyDescent="0.3">
      <c r="A664" s="131">
        <v>3</v>
      </c>
      <c r="B664" s="523"/>
      <c r="C664" s="99" t="s">
        <v>2694</v>
      </c>
      <c r="D664" s="133" t="s">
        <v>307</v>
      </c>
      <c r="E664" s="133" t="s">
        <v>323</v>
      </c>
      <c r="F664" s="133" t="s">
        <v>308</v>
      </c>
      <c r="G664" s="207">
        <v>593</v>
      </c>
      <c r="H664" s="133" t="s">
        <v>265</v>
      </c>
      <c r="I664" s="207" t="s">
        <v>1972</v>
      </c>
      <c r="J664" s="133" t="s">
        <v>169</v>
      </c>
      <c r="K664" s="4" t="s">
        <v>1878</v>
      </c>
      <c r="L664" s="133"/>
      <c r="M664" s="103">
        <v>750000</v>
      </c>
      <c r="N664" s="216" t="s">
        <v>122</v>
      </c>
    </row>
    <row r="665" spans="1:14" hidden="1" x14ac:dyDescent="0.3">
      <c r="A665" s="131">
        <v>3</v>
      </c>
      <c r="B665" s="523"/>
      <c r="C665" s="99">
        <v>45673</v>
      </c>
      <c r="D665" s="133" t="s">
        <v>307</v>
      </c>
      <c r="E665" s="133" t="s">
        <v>323</v>
      </c>
      <c r="F665" s="133" t="s">
        <v>308</v>
      </c>
      <c r="G665" s="207" t="s">
        <v>2569</v>
      </c>
      <c r="H665" s="133" t="s">
        <v>149</v>
      </c>
      <c r="I665" s="207" t="s">
        <v>2695</v>
      </c>
      <c r="J665" s="133" t="s">
        <v>169</v>
      </c>
      <c r="K665" s="357" t="s">
        <v>119</v>
      </c>
      <c r="L665" s="133"/>
      <c r="M665" s="103">
        <v>500000</v>
      </c>
      <c r="N665" s="216" t="s">
        <v>122</v>
      </c>
    </row>
    <row r="666" spans="1:14" ht="27" hidden="1" x14ac:dyDescent="0.3">
      <c r="A666" s="131">
        <v>3</v>
      </c>
      <c r="B666" s="523"/>
      <c r="C666" s="99" t="s">
        <v>2696</v>
      </c>
      <c r="D666" s="133" t="s">
        <v>307</v>
      </c>
      <c r="E666" s="133" t="s">
        <v>323</v>
      </c>
      <c r="F666" s="133" t="s">
        <v>308</v>
      </c>
      <c r="G666" s="207" t="s">
        <v>2697</v>
      </c>
      <c r="H666" s="133" t="s">
        <v>149</v>
      </c>
      <c r="I666" s="207" t="s">
        <v>2698</v>
      </c>
      <c r="J666" s="133" t="s">
        <v>169</v>
      </c>
      <c r="K666" s="357" t="s">
        <v>1406</v>
      </c>
      <c r="L666" s="133"/>
      <c r="M666" s="103">
        <v>1500000</v>
      </c>
      <c r="N666" s="216" t="s">
        <v>122</v>
      </c>
    </row>
    <row r="667" spans="1:14" ht="67.5" hidden="1" x14ac:dyDescent="0.3">
      <c r="A667" s="248">
        <v>3</v>
      </c>
      <c r="B667" s="238" t="s">
        <v>2709</v>
      </c>
      <c r="C667" s="130">
        <v>45666</v>
      </c>
      <c r="D667" s="10" t="s">
        <v>21</v>
      </c>
      <c r="E667" s="10" t="s">
        <v>14</v>
      </c>
      <c r="F667" s="356" t="s">
        <v>108</v>
      </c>
      <c r="G667" s="7" t="s">
        <v>1978</v>
      </c>
      <c r="H667" s="4" t="s">
        <v>143</v>
      </c>
      <c r="I667" s="207" t="s">
        <v>2691</v>
      </c>
      <c r="J667" s="34"/>
      <c r="K667" s="355" t="s">
        <v>2158</v>
      </c>
      <c r="L667" s="365" t="s">
        <v>15</v>
      </c>
      <c r="M667" s="364">
        <v>500000</v>
      </c>
      <c r="N667" s="133" t="s">
        <v>2699</v>
      </c>
    </row>
    <row r="668" spans="1:14" ht="27" hidden="1" x14ac:dyDescent="0.3">
      <c r="A668" s="131">
        <v>4</v>
      </c>
      <c r="B668" s="522" t="s">
        <v>2708</v>
      </c>
      <c r="C668" s="99" t="s">
        <v>2701</v>
      </c>
      <c r="D668" s="133" t="s">
        <v>307</v>
      </c>
      <c r="E668" s="133" t="s">
        <v>323</v>
      </c>
      <c r="F668" s="133" t="s">
        <v>308</v>
      </c>
      <c r="G668" s="207" t="s">
        <v>2700</v>
      </c>
      <c r="H668" s="133" t="s">
        <v>18</v>
      </c>
      <c r="I668" s="207" t="s">
        <v>1972</v>
      </c>
      <c r="J668" s="133" t="s">
        <v>169</v>
      </c>
      <c r="K668" s="4" t="s">
        <v>1878</v>
      </c>
      <c r="L668" s="133"/>
      <c r="M668" s="103">
        <v>750000</v>
      </c>
      <c r="N668" s="133" t="s">
        <v>122</v>
      </c>
    </row>
    <row r="669" spans="1:14" ht="27" hidden="1" x14ac:dyDescent="0.3">
      <c r="A669" s="131">
        <v>4</v>
      </c>
      <c r="B669" s="523"/>
      <c r="C669" s="99" t="s">
        <v>2702</v>
      </c>
      <c r="D669" s="133" t="s">
        <v>307</v>
      </c>
      <c r="E669" s="133" t="s">
        <v>323</v>
      </c>
      <c r="F669" s="133" t="s">
        <v>308</v>
      </c>
      <c r="G669" s="207" t="s">
        <v>2633</v>
      </c>
      <c r="H669" s="133" t="s">
        <v>265</v>
      </c>
      <c r="I669" s="207" t="s">
        <v>1972</v>
      </c>
      <c r="J669" s="133" t="s">
        <v>169</v>
      </c>
      <c r="K669" s="4" t="s">
        <v>1664</v>
      </c>
      <c r="L669" s="133"/>
      <c r="M669" s="103">
        <v>500000</v>
      </c>
      <c r="N669" s="133" t="s">
        <v>122</v>
      </c>
    </row>
    <row r="670" spans="1:14" ht="27" hidden="1" x14ac:dyDescent="0.3">
      <c r="A670" s="131">
        <v>4</v>
      </c>
      <c r="B670" s="523"/>
      <c r="C670" s="99" t="s">
        <v>2701</v>
      </c>
      <c r="D670" s="133" t="s">
        <v>307</v>
      </c>
      <c r="E670" s="133" t="s">
        <v>323</v>
      </c>
      <c r="F670" s="133" t="s">
        <v>308</v>
      </c>
      <c r="G670" s="207" t="s">
        <v>2633</v>
      </c>
      <c r="H670" s="133" t="s">
        <v>18</v>
      </c>
      <c r="I670" s="207" t="s">
        <v>2332</v>
      </c>
      <c r="J670" s="133" t="s">
        <v>95</v>
      </c>
      <c r="K670" s="361" t="s">
        <v>1577</v>
      </c>
      <c r="L670" s="362"/>
      <c r="M670" s="363">
        <v>1500000</v>
      </c>
      <c r="N670" s="133" t="s">
        <v>659</v>
      </c>
    </row>
    <row r="671" spans="1:14" ht="27" hidden="1" x14ac:dyDescent="0.3">
      <c r="A671" s="131">
        <v>4</v>
      </c>
      <c r="B671" s="524"/>
      <c r="C671" s="99" t="s">
        <v>2702</v>
      </c>
      <c r="D671" s="133" t="s">
        <v>307</v>
      </c>
      <c r="E671" s="133" t="s">
        <v>323</v>
      </c>
      <c r="F671" s="133" t="s">
        <v>308</v>
      </c>
      <c r="G671" s="207" t="s">
        <v>2667</v>
      </c>
      <c r="H671" s="133" t="s">
        <v>103</v>
      </c>
      <c r="I671" s="207" t="s">
        <v>2332</v>
      </c>
      <c r="J671" s="133" t="s">
        <v>95</v>
      </c>
      <c r="K671" s="361" t="s">
        <v>1754</v>
      </c>
      <c r="L671" s="362"/>
      <c r="M671" s="363">
        <v>1000000</v>
      </c>
      <c r="N671" s="133" t="s">
        <v>659</v>
      </c>
    </row>
    <row r="672" spans="1:14" ht="27" hidden="1" x14ac:dyDescent="0.3">
      <c r="A672" s="248">
        <v>4</v>
      </c>
      <c r="B672" s="140" t="s">
        <v>2710</v>
      </c>
      <c r="C672" s="130" t="s">
        <v>2703</v>
      </c>
      <c r="D672" s="10" t="s">
        <v>21</v>
      </c>
      <c r="E672" s="10" t="s">
        <v>14</v>
      </c>
      <c r="F672" s="356" t="s">
        <v>1902</v>
      </c>
      <c r="G672" s="7" t="s">
        <v>1354</v>
      </c>
      <c r="H672" s="10" t="s">
        <v>83</v>
      </c>
      <c r="I672" s="169" t="s">
        <v>1319</v>
      </c>
      <c r="J672" s="356"/>
      <c r="K672" s="356" t="s">
        <v>643</v>
      </c>
      <c r="L672" s="353" t="s">
        <v>15</v>
      </c>
      <c r="M672" s="247">
        <v>500000</v>
      </c>
      <c r="N672" s="353" t="s">
        <v>129</v>
      </c>
    </row>
    <row r="673" spans="1:14" ht="27.75" hidden="1" thickTop="1" x14ac:dyDescent="0.3">
      <c r="A673" s="381">
        <v>6</v>
      </c>
      <c r="B673" s="628" t="s">
        <v>2730</v>
      </c>
      <c r="C673" s="382" t="s">
        <v>2711</v>
      </c>
      <c r="D673" s="383" t="s">
        <v>307</v>
      </c>
      <c r="E673" s="383" t="s">
        <v>323</v>
      </c>
      <c r="F673" s="383" t="s">
        <v>308</v>
      </c>
      <c r="G673" s="384" t="s">
        <v>2700</v>
      </c>
      <c r="H673" s="383" t="s">
        <v>18</v>
      </c>
      <c r="I673" s="384" t="s">
        <v>2693</v>
      </c>
      <c r="J673" s="383" t="s">
        <v>169</v>
      </c>
      <c r="K673" s="385" t="s">
        <v>1969</v>
      </c>
      <c r="L673" s="383"/>
      <c r="M673" s="386">
        <v>500000</v>
      </c>
      <c r="N673" s="387" t="s">
        <v>122</v>
      </c>
    </row>
    <row r="674" spans="1:14" ht="27" hidden="1" x14ac:dyDescent="0.3">
      <c r="A674" s="131">
        <v>6</v>
      </c>
      <c r="B674" s="523"/>
      <c r="C674" s="99" t="s">
        <v>2712</v>
      </c>
      <c r="D674" s="133" t="s">
        <v>307</v>
      </c>
      <c r="E674" s="133" t="s">
        <v>323</v>
      </c>
      <c r="F674" s="133" t="s">
        <v>308</v>
      </c>
      <c r="G674" s="207" t="s">
        <v>2633</v>
      </c>
      <c r="H674" s="133" t="s">
        <v>1066</v>
      </c>
      <c r="I674" s="207" t="s">
        <v>1972</v>
      </c>
      <c r="J674" s="133" t="s">
        <v>169</v>
      </c>
      <c r="K674" s="197" t="s">
        <v>1878</v>
      </c>
      <c r="L674" s="133"/>
      <c r="M674" s="103">
        <v>750000</v>
      </c>
      <c r="N674" s="216" t="s">
        <v>122</v>
      </c>
    </row>
    <row r="675" spans="1:14" ht="27" hidden="1" x14ac:dyDescent="0.3">
      <c r="A675" s="131">
        <v>6</v>
      </c>
      <c r="B675" s="524"/>
      <c r="C675" s="99" t="s">
        <v>2713</v>
      </c>
      <c r="D675" s="133" t="s">
        <v>307</v>
      </c>
      <c r="E675" s="133" t="s">
        <v>323</v>
      </c>
      <c r="F675" s="133" t="s">
        <v>308</v>
      </c>
      <c r="G675" s="207">
        <v>593</v>
      </c>
      <c r="H675" s="133" t="s">
        <v>1066</v>
      </c>
      <c r="I675" s="207" t="s">
        <v>2332</v>
      </c>
      <c r="J675" s="133" t="s">
        <v>95</v>
      </c>
      <c r="K675" s="236" t="s">
        <v>1754</v>
      </c>
      <c r="L675" s="133"/>
      <c r="M675" s="103">
        <v>1000000</v>
      </c>
      <c r="N675" s="216" t="s">
        <v>659</v>
      </c>
    </row>
    <row r="676" spans="1:14" hidden="1" x14ac:dyDescent="0.3">
      <c r="A676" s="131">
        <v>6</v>
      </c>
      <c r="B676" s="522" t="s">
        <v>2731</v>
      </c>
      <c r="C676" s="130">
        <v>45691</v>
      </c>
      <c r="D676" s="4" t="s">
        <v>21</v>
      </c>
      <c r="E676" s="4" t="s">
        <v>14</v>
      </c>
      <c r="F676" s="34" t="s">
        <v>1902</v>
      </c>
      <c r="G676" s="17" t="s">
        <v>1329</v>
      </c>
      <c r="H676" s="4" t="s">
        <v>83</v>
      </c>
      <c r="I676" s="207" t="s">
        <v>1319</v>
      </c>
      <c r="J676" s="34" t="s">
        <v>90</v>
      </c>
      <c r="K676" s="389" t="s">
        <v>1001</v>
      </c>
      <c r="L676" s="133" t="s">
        <v>15</v>
      </c>
      <c r="M676" s="103">
        <v>300000</v>
      </c>
      <c r="N676" s="353" t="s">
        <v>1660</v>
      </c>
    </row>
    <row r="677" spans="1:14" hidden="1" x14ac:dyDescent="0.3">
      <c r="A677" s="131">
        <v>6</v>
      </c>
      <c r="B677" s="524"/>
      <c r="C677" s="130">
        <v>45692</v>
      </c>
      <c r="D677" s="4" t="s">
        <v>21</v>
      </c>
      <c r="E677" s="4" t="s">
        <v>14</v>
      </c>
      <c r="F677" s="34" t="s">
        <v>212</v>
      </c>
      <c r="G677" s="17" t="s">
        <v>1509</v>
      </c>
      <c r="H677" s="9" t="s">
        <v>2669</v>
      </c>
      <c r="I677" s="207" t="s">
        <v>239</v>
      </c>
      <c r="J677" s="310"/>
      <c r="K677" s="388" t="s">
        <v>643</v>
      </c>
      <c r="L677" s="133" t="s">
        <v>15</v>
      </c>
      <c r="M677" s="103">
        <v>500000</v>
      </c>
      <c r="N677" s="353" t="s">
        <v>1660</v>
      </c>
    </row>
    <row r="678" spans="1:14" ht="27" hidden="1" x14ac:dyDescent="0.3">
      <c r="A678" s="131">
        <v>7</v>
      </c>
      <c r="B678" s="522" t="s">
        <v>2747</v>
      </c>
      <c r="C678" s="99" t="s">
        <v>2721</v>
      </c>
      <c r="D678" s="133" t="s">
        <v>307</v>
      </c>
      <c r="E678" s="133" t="s">
        <v>323</v>
      </c>
      <c r="F678" s="133" t="s">
        <v>308</v>
      </c>
      <c r="G678" s="207" t="s">
        <v>2700</v>
      </c>
      <c r="H678" s="133" t="s">
        <v>18</v>
      </c>
      <c r="I678" s="207" t="s">
        <v>2720</v>
      </c>
      <c r="J678" s="133" t="s">
        <v>1958</v>
      </c>
      <c r="K678" s="197" t="s">
        <v>1664</v>
      </c>
      <c r="L678" s="133"/>
      <c r="M678" s="103">
        <v>500000</v>
      </c>
      <c r="N678" s="216" t="s">
        <v>122</v>
      </c>
    </row>
    <row r="679" spans="1:14" ht="27" hidden="1" x14ac:dyDescent="0.3">
      <c r="A679" s="131">
        <v>7</v>
      </c>
      <c r="B679" s="523"/>
      <c r="C679" s="99" t="s">
        <v>2722</v>
      </c>
      <c r="D679" s="133" t="s">
        <v>307</v>
      </c>
      <c r="E679" s="133" t="s">
        <v>323</v>
      </c>
      <c r="F679" s="133" t="s">
        <v>308</v>
      </c>
      <c r="G679" s="207" t="s">
        <v>2633</v>
      </c>
      <c r="H679" s="133" t="s">
        <v>265</v>
      </c>
      <c r="I679" s="207" t="s">
        <v>1972</v>
      </c>
      <c r="J679" s="133" t="s">
        <v>169</v>
      </c>
      <c r="K679" s="197" t="s">
        <v>1878</v>
      </c>
      <c r="L679" s="133"/>
      <c r="M679" s="103">
        <v>750000</v>
      </c>
      <c r="N679" s="216" t="s">
        <v>122</v>
      </c>
    </row>
    <row r="680" spans="1:14" hidden="1" x14ac:dyDescent="0.3">
      <c r="A680" s="131">
        <v>7</v>
      </c>
      <c r="B680" s="523"/>
      <c r="C680" s="99">
        <v>45698</v>
      </c>
      <c r="D680" s="133" t="s">
        <v>307</v>
      </c>
      <c r="E680" s="133" t="s">
        <v>323</v>
      </c>
      <c r="F680" s="133" t="s">
        <v>2723</v>
      </c>
      <c r="G680" s="207">
        <v>222003</v>
      </c>
      <c r="H680" s="133" t="s">
        <v>23</v>
      </c>
      <c r="I680" s="207" t="s">
        <v>2724</v>
      </c>
      <c r="J680" s="133" t="s">
        <v>2717</v>
      </c>
      <c r="K680" s="307" t="s">
        <v>112</v>
      </c>
      <c r="L680" s="133"/>
      <c r="M680" s="103">
        <v>250000</v>
      </c>
      <c r="N680" s="216" t="s">
        <v>2719</v>
      </c>
    </row>
    <row r="681" spans="1:14" ht="27" hidden="1" x14ac:dyDescent="0.3">
      <c r="A681" s="131">
        <v>7</v>
      </c>
      <c r="B681" s="523"/>
      <c r="C681" s="99" t="s">
        <v>2721</v>
      </c>
      <c r="D681" s="133" t="s">
        <v>307</v>
      </c>
      <c r="E681" s="133" t="s">
        <v>323</v>
      </c>
      <c r="F681" s="133" t="s">
        <v>308</v>
      </c>
      <c r="G681" s="207" t="s">
        <v>2633</v>
      </c>
      <c r="H681" s="133" t="s">
        <v>363</v>
      </c>
      <c r="I681" s="207" t="s">
        <v>2535</v>
      </c>
      <c r="J681" s="133" t="s">
        <v>95</v>
      </c>
      <c r="K681" s="236" t="s">
        <v>1754</v>
      </c>
      <c r="L681" s="133"/>
      <c r="M681" s="103">
        <v>1000000</v>
      </c>
      <c r="N681" s="216" t="s">
        <v>248</v>
      </c>
    </row>
    <row r="682" spans="1:14" hidden="1" x14ac:dyDescent="0.3">
      <c r="A682" s="131">
        <v>7</v>
      </c>
      <c r="B682" s="524"/>
      <c r="C682" s="99">
        <v>45703</v>
      </c>
      <c r="D682" s="133" t="s">
        <v>307</v>
      </c>
      <c r="E682" s="133" t="s">
        <v>323</v>
      </c>
      <c r="F682" s="133" t="s">
        <v>308</v>
      </c>
      <c r="G682" s="207" t="s">
        <v>2700</v>
      </c>
      <c r="H682" s="133" t="s">
        <v>18</v>
      </c>
      <c r="I682" s="207" t="s">
        <v>2535</v>
      </c>
      <c r="J682" s="133" t="s">
        <v>95</v>
      </c>
      <c r="K682" s="236" t="s">
        <v>1593</v>
      </c>
      <c r="L682" s="133"/>
      <c r="M682" s="103">
        <v>500000</v>
      </c>
      <c r="N682" s="216" t="s">
        <v>248</v>
      </c>
    </row>
    <row r="683" spans="1:14" hidden="1" x14ac:dyDescent="0.3">
      <c r="A683" s="131">
        <v>7</v>
      </c>
      <c r="B683" s="522" t="s">
        <v>21</v>
      </c>
      <c r="C683" s="99">
        <v>45694</v>
      </c>
      <c r="D683" s="4" t="s">
        <v>21</v>
      </c>
      <c r="E683" s="4" t="s">
        <v>14</v>
      </c>
      <c r="F683" s="34" t="s">
        <v>108</v>
      </c>
      <c r="G683" s="17" t="s">
        <v>1978</v>
      </c>
      <c r="H683" s="9" t="s">
        <v>378</v>
      </c>
      <c r="I683" s="207" t="s">
        <v>2715</v>
      </c>
      <c r="J683" s="34" t="s">
        <v>2714</v>
      </c>
      <c r="K683" s="34" t="s">
        <v>41</v>
      </c>
      <c r="L683" s="133" t="s">
        <v>15</v>
      </c>
      <c r="M683" s="103">
        <v>250000</v>
      </c>
      <c r="N683" s="353" t="s">
        <v>2716</v>
      </c>
    </row>
    <row r="684" spans="1:14" hidden="1" x14ac:dyDescent="0.3">
      <c r="A684" s="131">
        <v>7</v>
      </c>
      <c r="B684" s="524"/>
      <c r="C684" s="99">
        <v>45694</v>
      </c>
      <c r="D684" s="4" t="s">
        <v>21</v>
      </c>
      <c r="E684" s="4" t="s">
        <v>14</v>
      </c>
      <c r="F684" s="34" t="s">
        <v>1902</v>
      </c>
      <c r="G684" s="17" t="s">
        <v>1329</v>
      </c>
      <c r="H684" s="4" t="s">
        <v>83</v>
      </c>
      <c r="I684" s="207" t="s">
        <v>2718</v>
      </c>
      <c r="J684" s="34" t="s">
        <v>90</v>
      </c>
      <c r="K684" s="207" t="s">
        <v>60</v>
      </c>
      <c r="L684" s="133" t="s">
        <v>15</v>
      </c>
      <c r="M684" s="103">
        <v>300000</v>
      </c>
      <c r="N684" s="353" t="s">
        <v>129</v>
      </c>
    </row>
    <row r="685" spans="1:14" hidden="1" x14ac:dyDescent="0.3">
      <c r="A685" s="131">
        <v>8</v>
      </c>
      <c r="B685" s="522" t="s">
        <v>2748</v>
      </c>
      <c r="C685" s="156" t="s">
        <v>2732</v>
      </c>
      <c r="D685" s="156" t="s">
        <v>307</v>
      </c>
      <c r="E685" s="156" t="s">
        <v>323</v>
      </c>
      <c r="F685" s="156" t="s">
        <v>308</v>
      </c>
      <c r="G685" s="157" t="s">
        <v>2733</v>
      </c>
      <c r="H685" s="156" t="s">
        <v>1049</v>
      </c>
      <c r="I685" s="138" t="s">
        <v>2734</v>
      </c>
      <c r="J685" s="137" t="s">
        <v>666</v>
      </c>
      <c r="K685" s="379" t="s">
        <v>2735</v>
      </c>
      <c r="L685" s="137"/>
      <c r="M685" s="137" t="s">
        <v>674</v>
      </c>
      <c r="N685" s="137" t="s">
        <v>2736</v>
      </c>
    </row>
    <row r="686" spans="1:14" hidden="1" x14ac:dyDescent="0.3">
      <c r="A686" s="131">
        <v>8</v>
      </c>
      <c r="B686" s="523"/>
      <c r="C686" s="156" t="s">
        <v>2737</v>
      </c>
      <c r="D686" s="156" t="s">
        <v>307</v>
      </c>
      <c r="E686" s="156" t="s">
        <v>323</v>
      </c>
      <c r="F686" s="156" t="s">
        <v>308</v>
      </c>
      <c r="G686" s="157" t="s">
        <v>2738</v>
      </c>
      <c r="H686" s="156" t="s">
        <v>407</v>
      </c>
      <c r="I686" s="138" t="s">
        <v>2739</v>
      </c>
      <c r="J686" s="137" t="s">
        <v>666</v>
      </c>
      <c r="K686" s="379" t="s">
        <v>2735</v>
      </c>
      <c r="L686" s="137"/>
      <c r="M686" s="137" t="s">
        <v>674</v>
      </c>
      <c r="N686" s="137" t="s">
        <v>667</v>
      </c>
    </row>
    <row r="687" spans="1:14" hidden="1" x14ac:dyDescent="0.3">
      <c r="A687" s="131">
        <v>8</v>
      </c>
      <c r="B687" s="523"/>
      <c r="C687" s="156" t="s">
        <v>2740</v>
      </c>
      <c r="D687" s="538" t="s">
        <v>307</v>
      </c>
      <c r="E687" s="538" t="s">
        <v>323</v>
      </c>
      <c r="F687" s="538" t="s">
        <v>308</v>
      </c>
      <c r="G687" s="543" t="s">
        <v>2733</v>
      </c>
      <c r="H687" s="538" t="s">
        <v>1049</v>
      </c>
      <c r="I687" s="543" t="s">
        <v>706</v>
      </c>
      <c r="J687" s="538" t="s">
        <v>666</v>
      </c>
      <c r="K687" s="632" t="s">
        <v>1772</v>
      </c>
      <c r="L687" s="538"/>
      <c r="M687" s="538" t="s">
        <v>460</v>
      </c>
      <c r="N687" s="538" t="s">
        <v>667</v>
      </c>
    </row>
    <row r="688" spans="1:14" hidden="1" x14ac:dyDescent="0.3">
      <c r="A688" s="131">
        <v>8</v>
      </c>
      <c r="B688" s="523"/>
      <c r="C688" s="156" t="s">
        <v>2741</v>
      </c>
      <c r="D688" s="539"/>
      <c r="E688" s="539"/>
      <c r="F688" s="539"/>
      <c r="G688" s="544"/>
      <c r="H688" s="539"/>
      <c r="I688" s="544"/>
      <c r="J688" s="539"/>
      <c r="K688" s="633"/>
      <c r="L688" s="539"/>
      <c r="M688" s="539"/>
      <c r="N688" s="539"/>
    </row>
    <row r="689" spans="1:14" hidden="1" x14ac:dyDescent="0.3">
      <c r="A689" s="131">
        <v>8</v>
      </c>
      <c r="B689" s="523"/>
      <c r="C689" s="156" t="s">
        <v>2742</v>
      </c>
      <c r="D689" s="156" t="s">
        <v>307</v>
      </c>
      <c r="E689" s="156" t="s">
        <v>323</v>
      </c>
      <c r="F689" s="156" t="s">
        <v>308</v>
      </c>
      <c r="G689" s="157" t="s">
        <v>2733</v>
      </c>
      <c r="H689" s="156" t="s">
        <v>1049</v>
      </c>
      <c r="I689" s="138" t="s">
        <v>2743</v>
      </c>
      <c r="J689" s="137" t="s">
        <v>666</v>
      </c>
      <c r="K689" s="379" t="s">
        <v>2735</v>
      </c>
      <c r="L689" s="137"/>
      <c r="M689" s="137" t="s">
        <v>674</v>
      </c>
      <c r="N689" s="137" t="s">
        <v>667</v>
      </c>
    </row>
    <row r="690" spans="1:14" ht="16.5" hidden="1" customHeight="1" x14ac:dyDescent="0.3">
      <c r="A690" s="131">
        <v>8</v>
      </c>
      <c r="B690" s="523"/>
      <c r="C690" s="156" t="s">
        <v>2744</v>
      </c>
      <c r="D690" s="538" t="s">
        <v>307</v>
      </c>
      <c r="E690" s="538" t="s">
        <v>323</v>
      </c>
      <c r="F690" s="538" t="s">
        <v>308</v>
      </c>
      <c r="G690" s="543" t="s">
        <v>2745</v>
      </c>
      <c r="H690" s="538" t="s">
        <v>642</v>
      </c>
      <c r="I690" s="543" t="s">
        <v>670</v>
      </c>
      <c r="J690" s="538" t="s">
        <v>351</v>
      </c>
      <c r="K690" s="634" t="s">
        <v>2746</v>
      </c>
      <c r="L690" s="538"/>
      <c r="M690" s="538" t="s">
        <v>2783</v>
      </c>
      <c r="N690" s="538" t="s">
        <v>427</v>
      </c>
    </row>
    <row r="691" spans="1:14" hidden="1" x14ac:dyDescent="0.3">
      <c r="A691" s="131">
        <v>8</v>
      </c>
      <c r="B691" s="524"/>
      <c r="C691" s="156" t="s">
        <v>2737</v>
      </c>
      <c r="D691" s="539"/>
      <c r="E691" s="539"/>
      <c r="F691" s="539"/>
      <c r="G691" s="544"/>
      <c r="H691" s="539"/>
      <c r="I691" s="544"/>
      <c r="J691" s="539"/>
      <c r="K691" s="635"/>
      <c r="L691" s="539"/>
      <c r="M691" s="539"/>
      <c r="N691" s="539"/>
    </row>
    <row r="692" spans="1:14" hidden="1" x14ac:dyDescent="0.3">
      <c r="A692" s="131">
        <v>8</v>
      </c>
      <c r="B692" s="522" t="s">
        <v>21</v>
      </c>
      <c r="C692" s="156" t="s">
        <v>2749</v>
      </c>
      <c r="D692" s="156" t="s">
        <v>312</v>
      </c>
      <c r="E692" s="156" t="s">
        <v>321</v>
      </c>
      <c r="F692" s="157" t="s">
        <v>2613</v>
      </c>
      <c r="G692" s="157" t="s">
        <v>1420</v>
      </c>
      <c r="H692" s="157" t="s">
        <v>1421</v>
      </c>
      <c r="I692" s="138" t="s">
        <v>2750</v>
      </c>
      <c r="J692" s="138"/>
      <c r="K692" s="390" t="s">
        <v>1818</v>
      </c>
      <c r="L692" s="137" t="s">
        <v>310</v>
      </c>
      <c r="M692" s="137" t="s">
        <v>674</v>
      </c>
      <c r="N692" s="164" t="s">
        <v>2751</v>
      </c>
    </row>
    <row r="693" spans="1:14" ht="16.5" hidden="1" customHeight="1" x14ac:dyDescent="0.3">
      <c r="A693" s="131">
        <v>8</v>
      </c>
      <c r="B693" s="523"/>
      <c r="C693" s="538" t="s">
        <v>2782</v>
      </c>
      <c r="D693" s="538" t="s">
        <v>312</v>
      </c>
      <c r="E693" s="538" t="s">
        <v>677</v>
      </c>
      <c r="F693" s="157" t="s">
        <v>1815</v>
      </c>
      <c r="G693" s="543" t="s">
        <v>691</v>
      </c>
      <c r="H693" s="543" t="s">
        <v>664</v>
      </c>
      <c r="I693" s="543" t="s">
        <v>2753</v>
      </c>
      <c r="J693" s="543"/>
      <c r="K693" s="543" t="s">
        <v>700</v>
      </c>
      <c r="L693" s="538" t="s">
        <v>310</v>
      </c>
      <c r="M693" s="538" t="s">
        <v>674</v>
      </c>
      <c r="N693" s="538" t="s">
        <v>2754</v>
      </c>
    </row>
    <row r="694" spans="1:14" hidden="1" x14ac:dyDescent="0.3">
      <c r="A694" s="131">
        <v>8</v>
      </c>
      <c r="B694" s="524"/>
      <c r="C694" s="539"/>
      <c r="D694" s="539"/>
      <c r="E694" s="539"/>
      <c r="F694" s="157" t="s">
        <v>2752</v>
      </c>
      <c r="G694" s="544"/>
      <c r="H694" s="544"/>
      <c r="I694" s="544"/>
      <c r="J694" s="544"/>
      <c r="K694" s="544"/>
      <c r="L694" s="539"/>
      <c r="M694" s="539"/>
      <c r="N694" s="603"/>
    </row>
    <row r="695" spans="1:14" hidden="1" x14ac:dyDescent="0.3">
      <c r="A695" s="131">
        <v>9</v>
      </c>
      <c r="B695" s="522" t="s">
        <v>2796</v>
      </c>
      <c r="C695" s="260" t="s">
        <v>2755</v>
      </c>
      <c r="D695" s="260" t="s">
        <v>307</v>
      </c>
      <c r="E695" s="260" t="s">
        <v>323</v>
      </c>
      <c r="F695" s="260" t="s">
        <v>308</v>
      </c>
      <c r="G695" s="294" t="s">
        <v>2733</v>
      </c>
      <c r="H695" s="260" t="s">
        <v>1049</v>
      </c>
      <c r="I695" s="259" t="s">
        <v>2756</v>
      </c>
      <c r="J695" s="258" t="s">
        <v>666</v>
      </c>
      <c r="K695" s="380" t="s">
        <v>2735</v>
      </c>
      <c r="L695" s="258"/>
      <c r="M695" s="378">
        <v>250000</v>
      </c>
      <c r="N695" s="258" t="s">
        <v>667</v>
      </c>
    </row>
    <row r="696" spans="1:14" hidden="1" x14ac:dyDescent="0.3">
      <c r="A696" s="131">
        <v>9</v>
      </c>
      <c r="B696" s="523"/>
      <c r="C696" s="260" t="s">
        <v>2757</v>
      </c>
      <c r="D696" s="260" t="s">
        <v>307</v>
      </c>
      <c r="E696" s="260" t="s">
        <v>323</v>
      </c>
      <c r="F696" s="260" t="s">
        <v>308</v>
      </c>
      <c r="G696" s="294">
        <v>3307</v>
      </c>
      <c r="H696" s="260" t="s">
        <v>1156</v>
      </c>
      <c r="I696" s="259" t="s">
        <v>2758</v>
      </c>
      <c r="J696" s="258" t="s">
        <v>666</v>
      </c>
      <c r="K696" s="380" t="s">
        <v>2735</v>
      </c>
      <c r="L696" s="258"/>
      <c r="M696" s="378">
        <v>250000</v>
      </c>
      <c r="N696" s="258" t="s">
        <v>667</v>
      </c>
    </row>
    <row r="697" spans="1:14" hidden="1" x14ac:dyDescent="0.3">
      <c r="A697" s="131">
        <v>9</v>
      </c>
      <c r="B697" s="523"/>
      <c r="C697" s="260" t="s">
        <v>2759</v>
      </c>
      <c r="D697" s="525" t="s">
        <v>307</v>
      </c>
      <c r="E697" s="525" t="s">
        <v>323</v>
      </c>
      <c r="F697" s="525" t="s">
        <v>308</v>
      </c>
      <c r="G697" s="527" t="s">
        <v>2760</v>
      </c>
      <c r="H697" s="525" t="s">
        <v>407</v>
      </c>
      <c r="I697" s="527" t="s">
        <v>2761</v>
      </c>
      <c r="J697" s="525" t="s">
        <v>666</v>
      </c>
      <c r="K697" s="636" t="s">
        <v>1766</v>
      </c>
      <c r="L697" s="525"/>
      <c r="M697" s="638">
        <v>750000</v>
      </c>
      <c r="N697" s="525" t="s">
        <v>667</v>
      </c>
    </row>
    <row r="698" spans="1:14" hidden="1" x14ac:dyDescent="0.3">
      <c r="A698" s="131">
        <v>9</v>
      </c>
      <c r="B698" s="523"/>
      <c r="C698" s="260" t="s">
        <v>2762</v>
      </c>
      <c r="D698" s="526"/>
      <c r="E698" s="526"/>
      <c r="F698" s="526"/>
      <c r="G698" s="528"/>
      <c r="H698" s="526"/>
      <c r="I698" s="528"/>
      <c r="J698" s="526"/>
      <c r="K698" s="637"/>
      <c r="L698" s="526"/>
      <c r="M698" s="639"/>
      <c r="N698" s="526"/>
    </row>
    <row r="699" spans="1:14" hidden="1" x14ac:dyDescent="0.3">
      <c r="A699" s="131">
        <v>9</v>
      </c>
      <c r="B699" s="523"/>
      <c r="C699" s="260" t="s">
        <v>2759</v>
      </c>
      <c r="D699" s="525" t="s">
        <v>307</v>
      </c>
      <c r="E699" s="525" t="s">
        <v>323</v>
      </c>
      <c r="F699" s="525" t="s">
        <v>308</v>
      </c>
      <c r="G699" s="527" t="s">
        <v>2763</v>
      </c>
      <c r="H699" s="525" t="s">
        <v>664</v>
      </c>
      <c r="I699" s="527" t="s">
        <v>670</v>
      </c>
      <c r="J699" s="525" t="s">
        <v>351</v>
      </c>
      <c r="K699" s="640" t="s">
        <v>2746</v>
      </c>
      <c r="L699" s="525"/>
      <c r="M699" s="638">
        <v>1000000</v>
      </c>
      <c r="N699" s="525" t="s">
        <v>427</v>
      </c>
    </row>
    <row r="700" spans="1:14" hidden="1" x14ac:dyDescent="0.3">
      <c r="A700" s="131">
        <v>9</v>
      </c>
      <c r="B700" s="523"/>
      <c r="C700" s="260" t="s">
        <v>2764</v>
      </c>
      <c r="D700" s="526"/>
      <c r="E700" s="526"/>
      <c r="F700" s="526"/>
      <c r="G700" s="528"/>
      <c r="H700" s="526"/>
      <c r="I700" s="528"/>
      <c r="J700" s="526"/>
      <c r="K700" s="641"/>
      <c r="L700" s="526"/>
      <c r="M700" s="639"/>
      <c r="N700" s="526"/>
    </row>
    <row r="701" spans="1:14" hidden="1" x14ac:dyDescent="0.3">
      <c r="A701" s="131">
        <v>9</v>
      </c>
      <c r="B701" s="524"/>
      <c r="C701" s="260" t="s">
        <v>2762</v>
      </c>
      <c r="D701" s="260" t="s">
        <v>307</v>
      </c>
      <c r="E701" s="260" t="s">
        <v>323</v>
      </c>
      <c r="F701" s="260" t="s">
        <v>308</v>
      </c>
      <c r="G701" s="294" t="s">
        <v>2733</v>
      </c>
      <c r="H701" s="260" t="s">
        <v>1049</v>
      </c>
      <c r="I701" s="259" t="s">
        <v>2765</v>
      </c>
      <c r="J701" s="258" t="s">
        <v>666</v>
      </c>
      <c r="K701" s="258" t="s">
        <v>694</v>
      </c>
      <c r="L701" s="258"/>
      <c r="M701" s="378">
        <v>500000</v>
      </c>
      <c r="N701" s="258" t="s">
        <v>667</v>
      </c>
    </row>
    <row r="702" spans="1:14" hidden="1" x14ac:dyDescent="0.3">
      <c r="A702" s="131">
        <v>10</v>
      </c>
      <c r="B702" s="522" t="s">
        <v>2798</v>
      </c>
      <c r="C702" s="99">
        <v>45720</v>
      </c>
      <c r="D702" s="133" t="s">
        <v>307</v>
      </c>
      <c r="E702" s="133" t="s">
        <v>323</v>
      </c>
      <c r="F702" s="133" t="s">
        <v>308</v>
      </c>
      <c r="G702" s="207" t="s">
        <v>2569</v>
      </c>
      <c r="H702" s="133" t="s">
        <v>149</v>
      </c>
      <c r="I702" s="207" t="s">
        <v>2771</v>
      </c>
      <c r="J702" s="133" t="s">
        <v>169</v>
      </c>
      <c r="K702" s="4" t="s">
        <v>1842</v>
      </c>
      <c r="L702" s="133"/>
      <c r="M702" s="103">
        <v>250000</v>
      </c>
      <c r="N702" s="216" t="s">
        <v>122</v>
      </c>
    </row>
    <row r="703" spans="1:14" ht="27" hidden="1" x14ac:dyDescent="0.3">
      <c r="A703" s="131">
        <v>10</v>
      </c>
      <c r="B703" s="523"/>
      <c r="C703" s="99" t="s">
        <v>2766</v>
      </c>
      <c r="D703" s="133" t="s">
        <v>307</v>
      </c>
      <c r="E703" s="133" t="s">
        <v>323</v>
      </c>
      <c r="F703" s="133" t="s">
        <v>308</v>
      </c>
      <c r="G703" s="207" t="s">
        <v>2700</v>
      </c>
      <c r="H703" s="133" t="s">
        <v>363</v>
      </c>
      <c r="I703" s="207" t="s">
        <v>2772</v>
      </c>
      <c r="J703" s="133" t="s">
        <v>169</v>
      </c>
      <c r="K703" s="4" t="s">
        <v>1878</v>
      </c>
      <c r="L703" s="133"/>
      <c r="M703" s="103">
        <v>750000</v>
      </c>
      <c r="N703" s="216" t="s">
        <v>122</v>
      </c>
    </row>
    <row r="704" spans="1:14" ht="27" hidden="1" x14ac:dyDescent="0.3">
      <c r="A704" s="131">
        <v>10</v>
      </c>
      <c r="B704" s="524"/>
      <c r="C704" s="99" t="s">
        <v>2766</v>
      </c>
      <c r="D704" s="133" t="s">
        <v>307</v>
      </c>
      <c r="E704" s="133" t="s">
        <v>323</v>
      </c>
      <c r="F704" s="133" t="s">
        <v>308</v>
      </c>
      <c r="G704" s="207" t="s">
        <v>2767</v>
      </c>
      <c r="H704" s="133" t="s">
        <v>265</v>
      </c>
      <c r="I704" s="207" t="s">
        <v>2535</v>
      </c>
      <c r="J704" s="133" t="s">
        <v>95</v>
      </c>
      <c r="K704" s="173" t="s">
        <v>1577</v>
      </c>
      <c r="L704" s="133"/>
      <c r="M704" s="103">
        <v>1500000</v>
      </c>
      <c r="N704" s="216" t="s">
        <v>2768</v>
      </c>
    </row>
    <row r="705" spans="1:14" ht="27" hidden="1" x14ac:dyDescent="0.3">
      <c r="A705" s="131">
        <v>10</v>
      </c>
      <c r="B705" s="59" t="s">
        <v>2799</v>
      </c>
      <c r="C705" s="99">
        <v>45720</v>
      </c>
      <c r="D705" s="4" t="s">
        <v>21</v>
      </c>
      <c r="E705" s="4" t="s">
        <v>14</v>
      </c>
      <c r="F705" s="34" t="s">
        <v>212</v>
      </c>
      <c r="G705" s="17" t="s">
        <v>2058</v>
      </c>
      <c r="H705" s="4" t="s">
        <v>18</v>
      </c>
      <c r="I705" s="207" t="s">
        <v>2769</v>
      </c>
      <c r="J705" s="207"/>
      <c r="K705" s="207" t="s">
        <v>688</v>
      </c>
      <c r="L705" s="133" t="s">
        <v>15</v>
      </c>
      <c r="M705" s="103">
        <v>250000</v>
      </c>
      <c r="N705" s="353" t="s">
        <v>2770</v>
      </c>
    </row>
    <row r="706" spans="1:14" ht="27" hidden="1" x14ac:dyDescent="0.3">
      <c r="A706" s="131">
        <v>11</v>
      </c>
      <c r="B706" s="522" t="s">
        <v>2800</v>
      </c>
      <c r="C706" s="99" t="s">
        <v>2774</v>
      </c>
      <c r="D706" s="133" t="s">
        <v>307</v>
      </c>
      <c r="E706" s="133" t="s">
        <v>323</v>
      </c>
      <c r="F706" s="133" t="s">
        <v>308</v>
      </c>
      <c r="G706" s="207">
        <v>3307</v>
      </c>
      <c r="H706" s="133" t="s">
        <v>813</v>
      </c>
      <c r="I706" s="207" t="s">
        <v>2781</v>
      </c>
      <c r="J706" s="133" t="s">
        <v>169</v>
      </c>
      <c r="K706" s="4" t="s">
        <v>2776</v>
      </c>
      <c r="L706" s="133"/>
      <c r="M706" s="103">
        <v>500000</v>
      </c>
      <c r="N706" s="216" t="s">
        <v>122</v>
      </c>
    </row>
    <row r="707" spans="1:14" ht="27" hidden="1" x14ac:dyDescent="0.3">
      <c r="A707" s="131">
        <v>11</v>
      </c>
      <c r="B707" s="523"/>
      <c r="C707" s="99" t="s">
        <v>2775</v>
      </c>
      <c r="D707" s="133" t="s">
        <v>307</v>
      </c>
      <c r="E707" s="133" t="s">
        <v>323</v>
      </c>
      <c r="F707" s="133" t="s">
        <v>308</v>
      </c>
      <c r="G707" s="207" t="s">
        <v>2569</v>
      </c>
      <c r="H707" s="133" t="s">
        <v>149</v>
      </c>
      <c r="I707" s="207" t="s">
        <v>2771</v>
      </c>
      <c r="J707" s="133" t="s">
        <v>169</v>
      </c>
      <c r="K707" s="4" t="s">
        <v>2776</v>
      </c>
      <c r="L707" s="133"/>
      <c r="M707" s="103">
        <v>500000</v>
      </c>
      <c r="N707" s="216" t="s">
        <v>122</v>
      </c>
    </row>
    <row r="708" spans="1:14" ht="27" hidden="1" x14ac:dyDescent="0.3">
      <c r="A708" s="131">
        <v>11</v>
      </c>
      <c r="B708" s="524"/>
      <c r="C708" s="99" t="s">
        <v>2777</v>
      </c>
      <c r="D708" s="133" t="s">
        <v>307</v>
      </c>
      <c r="E708" s="133" t="s">
        <v>323</v>
      </c>
      <c r="F708" s="133" t="s">
        <v>308</v>
      </c>
      <c r="G708" s="207">
        <v>3307</v>
      </c>
      <c r="H708" s="133" t="s">
        <v>813</v>
      </c>
      <c r="I708" s="207" t="s">
        <v>2778</v>
      </c>
      <c r="J708" s="133" t="s">
        <v>95</v>
      </c>
      <c r="K708" s="173" t="s">
        <v>2823</v>
      </c>
      <c r="L708" s="133"/>
      <c r="M708" s="103">
        <v>2750000</v>
      </c>
      <c r="N708" s="216" t="s">
        <v>2768</v>
      </c>
    </row>
    <row r="709" spans="1:14" ht="27" hidden="1" x14ac:dyDescent="0.3">
      <c r="A709" s="131">
        <v>11</v>
      </c>
      <c r="B709" s="59" t="s">
        <v>2824</v>
      </c>
      <c r="C709" s="99" t="s">
        <v>2779</v>
      </c>
      <c r="D709" s="4" t="s">
        <v>21</v>
      </c>
      <c r="E709" s="4" t="s">
        <v>14</v>
      </c>
      <c r="F709" s="34" t="s">
        <v>108</v>
      </c>
      <c r="G709" s="34" t="s">
        <v>1329</v>
      </c>
      <c r="H709" s="17" t="s">
        <v>83</v>
      </c>
      <c r="I709" s="207" t="s">
        <v>2729</v>
      </c>
      <c r="J709" s="34" t="s">
        <v>203</v>
      </c>
      <c r="K709" s="34" t="s">
        <v>442</v>
      </c>
      <c r="L709" s="133" t="s">
        <v>15</v>
      </c>
      <c r="M709" s="103">
        <v>1000000</v>
      </c>
      <c r="N709" s="353" t="s">
        <v>2780</v>
      </c>
    </row>
    <row r="710" spans="1:14" ht="27" hidden="1" x14ac:dyDescent="0.3">
      <c r="A710" s="131">
        <v>12</v>
      </c>
      <c r="B710" s="522" t="s">
        <v>2797</v>
      </c>
      <c r="C710" s="99" t="s">
        <v>2784</v>
      </c>
      <c r="D710" s="133" t="s">
        <v>307</v>
      </c>
      <c r="E710" s="133" t="s">
        <v>323</v>
      </c>
      <c r="F710" s="133" t="s">
        <v>308</v>
      </c>
      <c r="G710" s="207" t="s">
        <v>2700</v>
      </c>
      <c r="H710" s="133" t="s">
        <v>265</v>
      </c>
      <c r="I710" s="207" t="s">
        <v>2785</v>
      </c>
      <c r="J710" s="133" t="s">
        <v>169</v>
      </c>
      <c r="K710" s="4" t="s">
        <v>2776</v>
      </c>
      <c r="L710" s="133"/>
      <c r="M710" s="103">
        <v>500000</v>
      </c>
      <c r="N710" s="216" t="s">
        <v>122</v>
      </c>
    </row>
    <row r="711" spans="1:14" ht="27" hidden="1" x14ac:dyDescent="0.3">
      <c r="A711" s="131">
        <v>12</v>
      </c>
      <c r="B711" s="523"/>
      <c r="C711" s="99" t="s">
        <v>2788</v>
      </c>
      <c r="D711" s="133" t="s">
        <v>307</v>
      </c>
      <c r="E711" s="133" t="s">
        <v>323</v>
      </c>
      <c r="F711" s="133" t="s">
        <v>308</v>
      </c>
      <c r="G711" s="207" t="s">
        <v>2700</v>
      </c>
      <c r="H711" s="133" t="s">
        <v>265</v>
      </c>
      <c r="I711" s="207" t="s">
        <v>380</v>
      </c>
      <c r="J711" s="133" t="s">
        <v>169</v>
      </c>
      <c r="K711" s="4" t="s">
        <v>2787</v>
      </c>
      <c r="L711" s="133"/>
      <c r="M711" s="103">
        <v>750000</v>
      </c>
      <c r="N711" s="216" t="s">
        <v>122</v>
      </c>
    </row>
    <row r="712" spans="1:14" ht="27" hidden="1" x14ac:dyDescent="0.3">
      <c r="A712" s="131">
        <v>12</v>
      </c>
      <c r="B712" s="523"/>
      <c r="C712" s="99" t="s">
        <v>2789</v>
      </c>
      <c r="D712" s="133" t="s">
        <v>307</v>
      </c>
      <c r="E712" s="133" t="s">
        <v>323</v>
      </c>
      <c r="F712" s="133" t="s">
        <v>308</v>
      </c>
      <c r="G712" s="207" t="s">
        <v>2727</v>
      </c>
      <c r="H712" s="133" t="s">
        <v>23</v>
      </c>
      <c r="I712" s="207" t="s">
        <v>2535</v>
      </c>
      <c r="J712" s="133" t="s">
        <v>95</v>
      </c>
      <c r="K712" s="173" t="s">
        <v>1577</v>
      </c>
      <c r="L712" s="133"/>
      <c r="M712" s="103">
        <v>1500000</v>
      </c>
      <c r="N712" s="216" t="s">
        <v>2768</v>
      </c>
    </row>
    <row r="713" spans="1:14" ht="27" hidden="1" x14ac:dyDescent="0.3">
      <c r="A713" s="131">
        <v>12</v>
      </c>
      <c r="B713" s="524"/>
      <c r="C713" s="99" t="s">
        <v>2786</v>
      </c>
      <c r="D713" s="133" t="s">
        <v>307</v>
      </c>
      <c r="E713" s="133" t="s">
        <v>323</v>
      </c>
      <c r="F713" s="133" t="s">
        <v>308</v>
      </c>
      <c r="G713" s="207" t="s">
        <v>2700</v>
      </c>
      <c r="H713" s="133" t="s">
        <v>363</v>
      </c>
      <c r="I713" s="207" t="s">
        <v>2535</v>
      </c>
      <c r="J713" s="133" t="s">
        <v>95</v>
      </c>
      <c r="K713" s="173" t="s">
        <v>1593</v>
      </c>
      <c r="L713" s="133"/>
      <c r="M713" s="103">
        <v>500000</v>
      </c>
      <c r="N713" s="216" t="s">
        <v>2768</v>
      </c>
    </row>
    <row r="714" spans="1:14" hidden="1" x14ac:dyDescent="0.3">
      <c r="A714" s="131">
        <v>13</v>
      </c>
      <c r="B714" s="522" t="s">
        <v>2848</v>
      </c>
      <c r="C714" s="99">
        <v>45740</v>
      </c>
      <c r="D714" s="133" t="s">
        <v>307</v>
      </c>
      <c r="E714" s="133" t="s">
        <v>323</v>
      </c>
      <c r="F714" s="133" t="s">
        <v>308</v>
      </c>
      <c r="G714" s="207" t="s">
        <v>2700</v>
      </c>
      <c r="H714" s="133" t="s">
        <v>265</v>
      </c>
      <c r="I714" s="207" t="s">
        <v>616</v>
      </c>
      <c r="J714" s="133" t="s">
        <v>169</v>
      </c>
      <c r="K714" s="4" t="s">
        <v>2792</v>
      </c>
      <c r="L714" s="133"/>
      <c r="M714" s="103">
        <v>250000</v>
      </c>
      <c r="N714" s="216" t="s">
        <v>122</v>
      </c>
    </row>
    <row r="715" spans="1:14" ht="27" hidden="1" x14ac:dyDescent="0.3">
      <c r="A715" s="131">
        <v>13</v>
      </c>
      <c r="B715" s="524"/>
      <c r="C715" s="99" t="s">
        <v>2794</v>
      </c>
      <c r="D715" s="133" t="s">
        <v>307</v>
      </c>
      <c r="E715" s="133" t="s">
        <v>323</v>
      </c>
      <c r="F715" s="133" t="s">
        <v>308</v>
      </c>
      <c r="G715" s="207" t="s">
        <v>2569</v>
      </c>
      <c r="H715" s="133" t="s">
        <v>149</v>
      </c>
      <c r="I715" s="207" t="s">
        <v>2793</v>
      </c>
      <c r="J715" s="133" t="s">
        <v>169</v>
      </c>
      <c r="K715" s="4" t="s">
        <v>2787</v>
      </c>
      <c r="L715" s="133"/>
      <c r="M715" s="103">
        <v>750000</v>
      </c>
      <c r="N715" s="216" t="s">
        <v>122</v>
      </c>
    </row>
    <row r="716" spans="1:14" ht="27" hidden="1" x14ac:dyDescent="0.3">
      <c r="A716" s="131">
        <v>13</v>
      </c>
      <c r="B716" s="522" t="s">
        <v>2849</v>
      </c>
      <c r="C716" s="99">
        <v>45734</v>
      </c>
      <c r="D716" s="4" t="s">
        <v>21</v>
      </c>
      <c r="E716" s="4" t="s">
        <v>14</v>
      </c>
      <c r="F716" s="34" t="s">
        <v>1902</v>
      </c>
      <c r="G716" s="17" t="s">
        <v>2727</v>
      </c>
      <c r="H716" s="4" t="s">
        <v>103</v>
      </c>
      <c r="I716" s="207" t="s">
        <v>2790</v>
      </c>
      <c r="J716" s="207"/>
      <c r="K716" s="133" t="s">
        <v>489</v>
      </c>
      <c r="L716" s="133" t="s">
        <v>15</v>
      </c>
      <c r="M716" s="103">
        <v>500000</v>
      </c>
      <c r="N716" s="8" t="s">
        <v>2801</v>
      </c>
    </row>
    <row r="717" spans="1:14" ht="27" hidden="1" x14ac:dyDescent="0.3">
      <c r="A717" s="131">
        <v>13</v>
      </c>
      <c r="B717" s="524"/>
      <c r="C717" s="99">
        <v>45743</v>
      </c>
      <c r="D717" s="4" t="s">
        <v>21</v>
      </c>
      <c r="E717" s="4" t="s">
        <v>17</v>
      </c>
      <c r="F717" s="207" t="s">
        <v>1904</v>
      </c>
      <c r="G717" s="34">
        <v>7060</v>
      </c>
      <c r="H717" s="17" t="s">
        <v>2802</v>
      </c>
      <c r="I717" s="207" t="s">
        <v>2795</v>
      </c>
      <c r="J717" s="207"/>
      <c r="K717" s="133" t="s">
        <v>105</v>
      </c>
      <c r="L717" s="133" t="s">
        <v>15</v>
      </c>
      <c r="M717" s="103">
        <v>300000</v>
      </c>
      <c r="N717" s="8" t="s">
        <v>1885</v>
      </c>
    </row>
    <row r="718" spans="1:14" ht="27" hidden="1" x14ac:dyDescent="0.3">
      <c r="A718" s="131">
        <v>14</v>
      </c>
      <c r="B718" s="522" t="s">
        <v>2887</v>
      </c>
      <c r="C718" s="99" t="s">
        <v>2813</v>
      </c>
      <c r="D718" s="133" t="s">
        <v>307</v>
      </c>
      <c r="E718" s="133" t="s">
        <v>323</v>
      </c>
      <c r="F718" s="133" t="s">
        <v>308</v>
      </c>
      <c r="G718" s="207" t="s">
        <v>2569</v>
      </c>
      <c r="H718" s="133" t="s">
        <v>149</v>
      </c>
      <c r="I718" s="207" t="s">
        <v>2807</v>
      </c>
      <c r="J718" s="133" t="s">
        <v>169</v>
      </c>
      <c r="K718" s="197" t="s">
        <v>2806</v>
      </c>
      <c r="L718" s="133"/>
      <c r="M718" s="103">
        <v>500000</v>
      </c>
      <c r="N718" s="216" t="s">
        <v>122</v>
      </c>
    </row>
    <row r="719" spans="1:14" ht="27" hidden="1" x14ac:dyDescent="0.3">
      <c r="A719" s="131">
        <v>14</v>
      </c>
      <c r="B719" s="523"/>
      <c r="C719" s="99" t="s">
        <v>2810</v>
      </c>
      <c r="D719" s="133" t="s">
        <v>307</v>
      </c>
      <c r="E719" s="133" t="s">
        <v>323</v>
      </c>
      <c r="F719" s="133" t="s">
        <v>308</v>
      </c>
      <c r="G719" s="207" t="s">
        <v>2569</v>
      </c>
      <c r="H719" s="133" t="s">
        <v>149</v>
      </c>
      <c r="I719" s="207" t="s">
        <v>2808</v>
      </c>
      <c r="J719" s="133" t="s">
        <v>169</v>
      </c>
      <c r="K719" s="197" t="s">
        <v>2787</v>
      </c>
      <c r="L719" s="133"/>
      <c r="M719" s="103">
        <v>750000</v>
      </c>
      <c r="N719" s="216" t="s">
        <v>122</v>
      </c>
    </row>
    <row r="720" spans="1:14" ht="27" hidden="1" x14ac:dyDescent="0.3">
      <c r="A720" s="131">
        <v>14</v>
      </c>
      <c r="B720" s="523"/>
      <c r="C720" s="99" t="s">
        <v>2813</v>
      </c>
      <c r="D720" s="133" t="s">
        <v>307</v>
      </c>
      <c r="E720" s="133" t="s">
        <v>323</v>
      </c>
      <c r="F720" s="133" t="s">
        <v>308</v>
      </c>
      <c r="G720" s="207" t="s">
        <v>2727</v>
      </c>
      <c r="H720" s="133" t="s">
        <v>23</v>
      </c>
      <c r="I720" s="207" t="s">
        <v>594</v>
      </c>
      <c r="J720" s="133" t="s">
        <v>2809</v>
      </c>
      <c r="K720" s="290" t="s">
        <v>643</v>
      </c>
      <c r="L720" s="133"/>
      <c r="M720" s="103">
        <v>500000</v>
      </c>
      <c r="N720" s="216" t="s">
        <v>2814</v>
      </c>
    </row>
    <row r="721" spans="1:14" ht="27" hidden="1" x14ac:dyDescent="0.3">
      <c r="A721" s="131">
        <v>14</v>
      </c>
      <c r="B721" s="523"/>
      <c r="C721" s="99" t="s">
        <v>2810</v>
      </c>
      <c r="D721" s="133" t="s">
        <v>307</v>
      </c>
      <c r="E721" s="133" t="s">
        <v>323</v>
      </c>
      <c r="F721" s="133" t="s">
        <v>308</v>
      </c>
      <c r="G721" s="207" t="s">
        <v>2899</v>
      </c>
      <c r="H721" s="133" t="s">
        <v>265</v>
      </c>
      <c r="I721" s="207" t="s">
        <v>594</v>
      </c>
      <c r="J721" s="133" t="s">
        <v>2809</v>
      </c>
      <c r="K721" s="290" t="s">
        <v>2820</v>
      </c>
      <c r="L721" s="133"/>
      <c r="M721" s="103">
        <v>750000</v>
      </c>
      <c r="N721" s="216" t="s">
        <v>2814</v>
      </c>
    </row>
    <row r="722" spans="1:14" ht="27" hidden="1" x14ac:dyDescent="0.3">
      <c r="A722" s="131">
        <v>14</v>
      </c>
      <c r="B722" s="524"/>
      <c r="C722" s="99" t="s">
        <v>2810</v>
      </c>
      <c r="D722" s="133" t="s">
        <v>307</v>
      </c>
      <c r="E722" s="133" t="s">
        <v>323</v>
      </c>
      <c r="F722" s="133" t="s">
        <v>308</v>
      </c>
      <c r="G722" s="207" t="s">
        <v>2633</v>
      </c>
      <c r="H722" s="133" t="s">
        <v>265</v>
      </c>
      <c r="I722" s="207" t="s">
        <v>2332</v>
      </c>
      <c r="J722" s="133" t="s">
        <v>2809</v>
      </c>
      <c r="K722" s="4" t="s">
        <v>2811</v>
      </c>
      <c r="L722" s="133"/>
      <c r="M722" s="103">
        <v>1500000</v>
      </c>
      <c r="N722" s="8" t="s">
        <v>427</v>
      </c>
    </row>
    <row r="723" spans="1:14" ht="27" hidden="1" x14ac:dyDescent="0.3">
      <c r="A723" s="131">
        <v>14</v>
      </c>
      <c r="B723" s="522" t="s">
        <v>21</v>
      </c>
      <c r="C723" s="99">
        <v>45743</v>
      </c>
      <c r="D723" s="4" t="s">
        <v>21</v>
      </c>
      <c r="E723" s="4" t="s">
        <v>14</v>
      </c>
      <c r="F723" s="207" t="s">
        <v>212</v>
      </c>
      <c r="G723" s="34" t="s">
        <v>2058</v>
      </c>
      <c r="H723" s="17" t="s">
        <v>18</v>
      </c>
      <c r="I723" s="207" t="s">
        <v>2815</v>
      </c>
      <c r="J723" s="207"/>
      <c r="K723" s="255" t="s">
        <v>643</v>
      </c>
      <c r="L723" s="133" t="s">
        <v>15</v>
      </c>
      <c r="M723" s="103">
        <v>500000</v>
      </c>
      <c r="N723" s="8" t="s">
        <v>2812</v>
      </c>
    </row>
    <row r="724" spans="1:14" ht="27" hidden="1" x14ac:dyDescent="0.3">
      <c r="A724" s="131">
        <v>14</v>
      </c>
      <c r="B724" s="523"/>
      <c r="C724" s="99">
        <v>45744</v>
      </c>
      <c r="D724" s="4" t="s">
        <v>21</v>
      </c>
      <c r="E724" s="4" t="s">
        <v>14</v>
      </c>
      <c r="F724" s="207" t="s">
        <v>212</v>
      </c>
      <c r="G724" s="34" t="s">
        <v>2058</v>
      </c>
      <c r="H724" s="17" t="s">
        <v>18</v>
      </c>
      <c r="I724" s="207" t="s">
        <v>2821</v>
      </c>
      <c r="J724" s="207"/>
      <c r="K724" s="255" t="s">
        <v>643</v>
      </c>
      <c r="L724" s="133" t="s">
        <v>15</v>
      </c>
      <c r="M724" s="103">
        <v>500000</v>
      </c>
      <c r="N724" s="8" t="s">
        <v>2818</v>
      </c>
    </row>
    <row r="725" spans="1:14" ht="40.5" hidden="1" x14ac:dyDescent="0.3">
      <c r="A725" s="131">
        <v>14</v>
      </c>
      <c r="B725" s="523"/>
      <c r="C725" s="99" t="s">
        <v>2816</v>
      </c>
      <c r="D725" s="4" t="s">
        <v>21</v>
      </c>
      <c r="E725" s="4" t="s">
        <v>14</v>
      </c>
      <c r="F725" s="34" t="s">
        <v>921</v>
      </c>
      <c r="G725" s="17" t="s">
        <v>1109</v>
      </c>
      <c r="H725" s="4" t="s">
        <v>2704</v>
      </c>
      <c r="I725" s="207" t="s">
        <v>2819</v>
      </c>
      <c r="J725" s="207" t="s">
        <v>2804</v>
      </c>
      <c r="K725" s="255" t="s">
        <v>785</v>
      </c>
      <c r="L725" s="133" t="s">
        <v>15</v>
      </c>
      <c r="M725" s="103">
        <v>1500000</v>
      </c>
      <c r="N725" s="8" t="s">
        <v>2822</v>
      </c>
    </row>
    <row r="726" spans="1:14" hidden="1" x14ac:dyDescent="0.3">
      <c r="A726" s="131">
        <v>14</v>
      </c>
      <c r="B726" s="524"/>
      <c r="C726" s="135">
        <v>45748</v>
      </c>
      <c r="D726" s="4" t="s">
        <v>21</v>
      </c>
      <c r="E726" s="4" t="s">
        <v>14</v>
      </c>
      <c r="F726" s="34" t="s">
        <v>108</v>
      </c>
      <c r="G726" s="34" t="s">
        <v>1981</v>
      </c>
      <c r="H726" s="17" t="s">
        <v>146</v>
      </c>
      <c r="I726" s="207" t="s">
        <v>2817</v>
      </c>
      <c r="J726" s="34" t="s">
        <v>90</v>
      </c>
      <c r="K726" s="397" t="s">
        <v>2805</v>
      </c>
      <c r="L726" s="133" t="s">
        <v>15</v>
      </c>
      <c r="M726" s="103">
        <v>800000</v>
      </c>
      <c r="N726" s="8" t="s">
        <v>809</v>
      </c>
    </row>
    <row r="727" spans="1:14" ht="27" hidden="1" x14ac:dyDescent="0.3">
      <c r="A727" s="131">
        <v>15</v>
      </c>
      <c r="B727" s="522" t="s">
        <v>2888</v>
      </c>
      <c r="C727" s="99" t="s">
        <v>2840</v>
      </c>
      <c r="D727" s="133" t="s">
        <v>307</v>
      </c>
      <c r="E727" s="133" t="s">
        <v>323</v>
      </c>
      <c r="F727" s="133" t="s">
        <v>308</v>
      </c>
      <c r="G727" s="207" t="s">
        <v>2839</v>
      </c>
      <c r="H727" s="133" t="s">
        <v>23</v>
      </c>
      <c r="I727" s="207" t="s">
        <v>616</v>
      </c>
      <c r="J727" s="133" t="s">
        <v>169</v>
      </c>
      <c r="K727" s="197" t="s">
        <v>2776</v>
      </c>
      <c r="L727" s="133"/>
      <c r="M727" s="103">
        <v>500000</v>
      </c>
      <c r="N727" s="216" t="s">
        <v>122</v>
      </c>
    </row>
    <row r="728" spans="1:14" ht="27" hidden="1" x14ac:dyDescent="0.3">
      <c r="A728" s="131">
        <v>15</v>
      </c>
      <c r="B728" s="523"/>
      <c r="C728" s="99" t="s">
        <v>2841</v>
      </c>
      <c r="D728" s="133" t="s">
        <v>307</v>
      </c>
      <c r="E728" s="133" t="s">
        <v>323</v>
      </c>
      <c r="F728" s="133" t="s">
        <v>308</v>
      </c>
      <c r="G728" s="207" t="s">
        <v>2569</v>
      </c>
      <c r="H728" s="133" t="s">
        <v>149</v>
      </c>
      <c r="I728" s="207" t="s">
        <v>2842</v>
      </c>
      <c r="J728" s="133" t="s">
        <v>169</v>
      </c>
      <c r="K728" s="197" t="s">
        <v>2787</v>
      </c>
      <c r="L728" s="133"/>
      <c r="M728" s="103">
        <v>750000</v>
      </c>
      <c r="N728" s="216" t="s">
        <v>122</v>
      </c>
    </row>
    <row r="729" spans="1:14" ht="27" hidden="1" x14ac:dyDescent="0.3">
      <c r="A729" s="131">
        <v>15</v>
      </c>
      <c r="B729" s="523"/>
      <c r="C729" s="394" t="s">
        <v>2846</v>
      </c>
      <c r="D729" s="328" t="s">
        <v>307</v>
      </c>
      <c r="E729" s="328" t="s">
        <v>323</v>
      </c>
      <c r="F729" s="328" t="s">
        <v>308</v>
      </c>
      <c r="G729" s="329" t="s">
        <v>2569</v>
      </c>
      <c r="H729" s="328" t="s">
        <v>149</v>
      </c>
      <c r="I729" s="329" t="s">
        <v>2842</v>
      </c>
      <c r="J729" s="328" t="s">
        <v>169</v>
      </c>
      <c r="K729" s="63" t="s">
        <v>2847</v>
      </c>
      <c r="L729" s="328"/>
      <c r="M729" s="395">
        <v>2000000</v>
      </c>
      <c r="N729" s="216" t="s">
        <v>122</v>
      </c>
    </row>
    <row r="730" spans="1:14" ht="27" hidden="1" x14ac:dyDescent="0.3">
      <c r="A730" s="131">
        <v>15</v>
      </c>
      <c r="B730" s="523"/>
      <c r="C730" s="99" t="s">
        <v>2900</v>
      </c>
      <c r="D730" s="133" t="s">
        <v>307</v>
      </c>
      <c r="E730" s="133" t="s">
        <v>323</v>
      </c>
      <c r="F730" s="133" t="s">
        <v>308</v>
      </c>
      <c r="G730" s="207">
        <v>593</v>
      </c>
      <c r="H730" s="133" t="s">
        <v>265</v>
      </c>
      <c r="I730" s="207" t="s">
        <v>594</v>
      </c>
      <c r="J730" s="133" t="s">
        <v>1262</v>
      </c>
      <c r="K730" s="290" t="s">
        <v>847</v>
      </c>
      <c r="L730" s="133"/>
      <c r="M730" s="103">
        <v>750000</v>
      </c>
      <c r="N730" s="216" t="s">
        <v>2845</v>
      </c>
    </row>
    <row r="731" spans="1:14" ht="27" hidden="1" x14ac:dyDescent="0.3">
      <c r="A731" s="131">
        <v>15</v>
      </c>
      <c r="B731" s="523"/>
      <c r="C731" s="212">
        <v>45757</v>
      </c>
      <c r="D731" s="133" t="s">
        <v>307</v>
      </c>
      <c r="E731" s="133" t="s">
        <v>323</v>
      </c>
      <c r="F731" s="133" t="s">
        <v>308</v>
      </c>
      <c r="G731" s="207" t="s">
        <v>2700</v>
      </c>
      <c r="H731" s="133" t="s">
        <v>265</v>
      </c>
      <c r="I731" s="207" t="s">
        <v>594</v>
      </c>
      <c r="J731" s="133" t="s">
        <v>1262</v>
      </c>
      <c r="K731" s="290" t="s">
        <v>643</v>
      </c>
      <c r="L731" s="133"/>
      <c r="M731" s="103">
        <v>500000</v>
      </c>
      <c r="N731" s="216" t="s">
        <v>2845</v>
      </c>
    </row>
    <row r="732" spans="1:14" hidden="1" x14ac:dyDescent="0.3">
      <c r="A732" s="131">
        <v>15</v>
      </c>
      <c r="B732" s="523" t="s">
        <v>2889</v>
      </c>
      <c r="C732" s="99">
        <v>45748</v>
      </c>
      <c r="D732" s="4" t="s">
        <v>21</v>
      </c>
      <c r="E732" s="4" t="s">
        <v>17</v>
      </c>
      <c r="F732" s="34" t="s">
        <v>1902</v>
      </c>
      <c r="G732" s="34" t="s">
        <v>364</v>
      </c>
      <c r="H732" s="17" t="s">
        <v>149</v>
      </c>
      <c r="I732" s="207" t="s">
        <v>2825</v>
      </c>
      <c r="J732" s="34"/>
      <c r="K732" s="34" t="s">
        <v>60</v>
      </c>
      <c r="L732" s="133" t="s">
        <v>15</v>
      </c>
      <c r="M732" s="103">
        <v>300000</v>
      </c>
      <c r="N732" s="84" t="s">
        <v>1802</v>
      </c>
    </row>
    <row r="733" spans="1:14" ht="27" hidden="1" x14ac:dyDescent="0.3">
      <c r="A733" s="131">
        <v>15</v>
      </c>
      <c r="B733" s="523"/>
      <c r="C733" s="99">
        <v>45754</v>
      </c>
      <c r="D733" s="4" t="s">
        <v>21</v>
      </c>
      <c r="E733" s="4" t="s">
        <v>17</v>
      </c>
      <c r="F733" s="34" t="s">
        <v>1904</v>
      </c>
      <c r="G733" s="34">
        <v>7060</v>
      </c>
      <c r="H733" s="17" t="s">
        <v>37</v>
      </c>
      <c r="I733" s="207" t="s">
        <v>2826</v>
      </c>
      <c r="J733" s="34" t="s">
        <v>90</v>
      </c>
      <c r="K733" s="397" t="s">
        <v>2890</v>
      </c>
      <c r="L733" s="133" t="s">
        <v>15</v>
      </c>
      <c r="M733" s="103">
        <v>750000</v>
      </c>
      <c r="N733" s="642" t="s">
        <v>2843</v>
      </c>
    </row>
    <row r="734" spans="1:14" ht="27" hidden="1" x14ac:dyDescent="0.3">
      <c r="A734" s="131">
        <v>15</v>
      </c>
      <c r="B734" s="523"/>
      <c r="C734" s="99">
        <v>45756</v>
      </c>
      <c r="D734" s="4" t="s">
        <v>21</v>
      </c>
      <c r="E734" s="4" t="s">
        <v>17</v>
      </c>
      <c r="F734" s="34" t="s">
        <v>1904</v>
      </c>
      <c r="G734" s="34">
        <v>7060</v>
      </c>
      <c r="H734" s="17" t="s">
        <v>37</v>
      </c>
      <c r="I734" s="207" t="s">
        <v>2844</v>
      </c>
      <c r="J734" s="34" t="s">
        <v>90</v>
      </c>
      <c r="K734" s="397" t="s">
        <v>2828</v>
      </c>
      <c r="L734" s="133" t="s">
        <v>15</v>
      </c>
      <c r="M734" s="103">
        <v>750000</v>
      </c>
      <c r="N734" s="643"/>
    </row>
    <row r="735" spans="1:14" hidden="1" x14ac:dyDescent="0.3">
      <c r="A735" s="131">
        <v>15</v>
      </c>
      <c r="B735" s="523"/>
      <c r="C735" s="212">
        <v>45756</v>
      </c>
      <c r="D735" s="4" t="s">
        <v>21</v>
      </c>
      <c r="E735" s="4" t="s">
        <v>14</v>
      </c>
      <c r="F735" s="34" t="s">
        <v>108</v>
      </c>
      <c r="G735" s="17" t="s">
        <v>1981</v>
      </c>
      <c r="H735" s="4" t="s">
        <v>1962</v>
      </c>
      <c r="I735" s="392" t="s">
        <v>303</v>
      </c>
      <c r="J735" s="207" t="s">
        <v>2827</v>
      </c>
      <c r="K735" s="207" t="s">
        <v>256</v>
      </c>
      <c r="L735" s="133" t="s">
        <v>15</v>
      </c>
      <c r="M735" s="103">
        <v>300000</v>
      </c>
      <c r="N735" s="8" t="s">
        <v>129</v>
      </c>
    </row>
    <row r="736" spans="1:14" hidden="1" x14ac:dyDescent="0.3">
      <c r="A736" s="131">
        <v>15</v>
      </c>
      <c r="B736" s="523"/>
      <c r="C736" s="212">
        <v>45759</v>
      </c>
      <c r="D736" s="4" t="s">
        <v>21</v>
      </c>
      <c r="E736" s="4" t="s">
        <v>14</v>
      </c>
      <c r="F736" s="34" t="s">
        <v>108</v>
      </c>
      <c r="G736" s="34" t="s">
        <v>1981</v>
      </c>
      <c r="H736" s="17" t="s">
        <v>146</v>
      </c>
      <c r="I736" s="207" t="s">
        <v>2830</v>
      </c>
      <c r="J736" s="34" t="s">
        <v>90</v>
      </c>
      <c r="K736" s="336" t="s">
        <v>134</v>
      </c>
      <c r="L736" s="133" t="s">
        <v>15</v>
      </c>
      <c r="M736" s="103">
        <v>500000</v>
      </c>
      <c r="N736" s="8" t="s">
        <v>129</v>
      </c>
    </row>
    <row r="737" spans="1:14" hidden="1" x14ac:dyDescent="0.3">
      <c r="A737" s="131">
        <v>16</v>
      </c>
      <c r="B737" s="523" t="s">
        <v>308</v>
      </c>
      <c r="C737" s="99">
        <v>45761</v>
      </c>
      <c r="D737" s="133" t="s">
        <v>307</v>
      </c>
      <c r="E737" s="133" t="s">
        <v>323</v>
      </c>
      <c r="F737" s="133" t="s">
        <v>308</v>
      </c>
      <c r="G737" s="207" t="s">
        <v>2839</v>
      </c>
      <c r="H737" s="133" t="s">
        <v>1396</v>
      </c>
      <c r="I737" s="207" t="s">
        <v>1862</v>
      </c>
      <c r="J737" s="133" t="s">
        <v>169</v>
      </c>
      <c r="K737" s="197" t="s">
        <v>2792</v>
      </c>
      <c r="L737" s="133"/>
      <c r="M737" s="103">
        <v>250000</v>
      </c>
      <c r="N737" s="216" t="s">
        <v>122</v>
      </c>
    </row>
    <row r="738" spans="1:14" hidden="1" x14ac:dyDescent="0.3">
      <c r="A738" s="131">
        <v>16</v>
      </c>
      <c r="B738" s="523"/>
      <c r="C738" s="99">
        <v>45762</v>
      </c>
      <c r="D738" s="133" t="s">
        <v>307</v>
      </c>
      <c r="E738" s="133" t="s">
        <v>323</v>
      </c>
      <c r="F738" s="133" t="s">
        <v>308</v>
      </c>
      <c r="G738" s="207" t="s">
        <v>2856</v>
      </c>
      <c r="H738" s="133" t="s">
        <v>23</v>
      </c>
      <c r="I738" s="207" t="s">
        <v>1862</v>
      </c>
      <c r="J738" s="133" t="s">
        <v>169</v>
      </c>
      <c r="K738" s="197" t="s">
        <v>2792</v>
      </c>
      <c r="L738" s="133"/>
      <c r="M738" s="103">
        <v>250000</v>
      </c>
      <c r="N738" s="216" t="s">
        <v>122</v>
      </c>
    </row>
    <row r="739" spans="1:14" hidden="1" x14ac:dyDescent="0.3">
      <c r="A739" s="131">
        <v>16</v>
      </c>
      <c r="B739" s="523"/>
      <c r="C739" s="99">
        <v>45762</v>
      </c>
      <c r="D739" s="133" t="s">
        <v>307</v>
      </c>
      <c r="E739" s="133" t="s">
        <v>323</v>
      </c>
      <c r="F739" s="133" t="s">
        <v>308</v>
      </c>
      <c r="G739" s="207">
        <v>222003</v>
      </c>
      <c r="H739" s="133" t="s">
        <v>23</v>
      </c>
      <c r="I739" s="207" t="s">
        <v>2857</v>
      </c>
      <c r="J739" s="133" t="s">
        <v>169</v>
      </c>
      <c r="K739" s="197" t="s">
        <v>2787</v>
      </c>
      <c r="L739" s="133"/>
      <c r="M739" s="103">
        <v>750000</v>
      </c>
      <c r="N739" s="216" t="s">
        <v>122</v>
      </c>
    </row>
    <row r="740" spans="1:14" ht="27" hidden="1" x14ac:dyDescent="0.3">
      <c r="A740" s="131">
        <v>16</v>
      </c>
      <c r="B740" s="523"/>
      <c r="C740" s="99" t="s">
        <v>2852</v>
      </c>
      <c r="D740" s="133" t="s">
        <v>307</v>
      </c>
      <c r="E740" s="133" t="s">
        <v>323</v>
      </c>
      <c r="F740" s="133" t="s">
        <v>308</v>
      </c>
      <c r="G740" s="207">
        <v>222003</v>
      </c>
      <c r="H740" s="133" t="s">
        <v>103</v>
      </c>
      <c r="I740" s="207" t="s">
        <v>594</v>
      </c>
      <c r="J740" s="133" t="s">
        <v>1262</v>
      </c>
      <c r="K740" s="290" t="s">
        <v>847</v>
      </c>
      <c r="L740" s="133"/>
      <c r="M740" s="103">
        <v>750000</v>
      </c>
      <c r="N740" s="216" t="s">
        <v>2858</v>
      </c>
    </row>
    <row r="741" spans="1:14" ht="27" hidden="1" x14ac:dyDescent="0.3">
      <c r="A741" s="131">
        <v>16</v>
      </c>
      <c r="B741" s="523"/>
      <c r="C741" s="99" t="s">
        <v>2853</v>
      </c>
      <c r="D741" s="133" t="s">
        <v>307</v>
      </c>
      <c r="E741" s="133" t="s">
        <v>323</v>
      </c>
      <c r="F741" s="133" t="s">
        <v>308</v>
      </c>
      <c r="G741" s="207" t="s">
        <v>2839</v>
      </c>
      <c r="H741" s="133" t="s">
        <v>1396</v>
      </c>
      <c r="I741" s="207" t="s">
        <v>594</v>
      </c>
      <c r="J741" s="133" t="s">
        <v>1262</v>
      </c>
      <c r="K741" s="402" t="s">
        <v>2901</v>
      </c>
      <c r="L741" s="133"/>
      <c r="M741" s="103">
        <v>500000</v>
      </c>
      <c r="N741" s="216" t="s">
        <v>2859</v>
      </c>
    </row>
    <row r="742" spans="1:14" ht="27" hidden="1" x14ac:dyDescent="0.3">
      <c r="A742" s="131">
        <v>16</v>
      </c>
      <c r="B742" s="523"/>
      <c r="C742" s="99" t="s">
        <v>2854</v>
      </c>
      <c r="D742" s="133" t="s">
        <v>307</v>
      </c>
      <c r="E742" s="133" t="s">
        <v>323</v>
      </c>
      <c r="F742" s="133" t="s">
        <v>308</v>
      </c>
      <c r="G742" s="207">
        <v>222003</v>
      </c>
      <c r="H742" s="133" t="s">
        <v>103</v>
      </c>
      <c r="I742" s="207" t="s">
        <v>2332</v>
      </c>
      <c r="J742" s="133" t="s">
        <v>1262</v>
      </c>
      <c r="K742" s="4" t="s">
        <v>1754</v>
      </c>
      <c r="L742" s="133"/>
      <c r="M742" s="103">
        <v>1000000</v>
      </c>
      <c r="N742" s="8" t="s">
        <v>427</v>
      </c>
    </row>
    <row r="743" spans="1:14" ht="27" hidden="1" x14ac:dyDescent="0.3">
      <c r="A743" s="131">
        <v>16</v>
      </c>
      <c r="B743" s="523"/>
      <c r="C743" s="99" t="s">
        <v>2855</v>
      </c>
      <c r="D743" s="133" t="s">
        <v>307</v>
      </c>
      <c r="E743" s="133" t="s">
        <v>323</v>
      </c>
      <c r="F743" s="133" t="s">
        <v>308</v>
      </c>
      <c r="G743" s="207" t="s">
        <v>2839</v>
      </c>
      <c r="H743" s="133" t="s">
        <v>1396</v>
      </c>
      <c r="I743" s="207" t="s">
        <v>2332</v>
      </c>
      <c r="J743" s="133" t="s">
        <v>1262</v>
      </c>
      <c r="K743" s="4" t="s">
        <v>1754</v>
      </c>
      <c r="L743" s="133"/>
      <c r="M743" s="103">
        <v>1000000</v>
      </c>
      <c r="N743" s="8" t="s">
        <v>427</v>
      </c>
    </row>
    <row r="744" spans="1:14" hidden="1" x14ac:dyDescent="0.3">
      <c r="A744" s="131">
        <v>16</v>
      </c>
      <c r="B744" s="523" t="s">
        <v>2889</v>
      </c>
      <c r="C744" s="212">
        <v>45761</v>
      </c>
      <c r="D744" s="4" t="s">
        <v>21</v>
      </c>
      <c r="E744" s="4" t="s">
        <v>14</v>
      </c>
      <c r="F744" s="34" t="s">
        <v>108</v>
      </c>
      <c r="G744" s="34" t="s">
        <v>1981</v>
      </c>
      <c r="H744" s="17" t="s">
        <v>146</v>
      </c>
      <c r="I744" s="207" t="s">
        <v>2803</v>
      </c>
      <c r="J744" s="34" t="s">
        <v>90</v>
      </c>
      <c r="K744" s="336" t="s">
        <v>643</v>
      </c>
      <c r="L744" s="133" t="s">
        <v>15</v>
      </c>
      <c r="M744" s="103">
        <v>500000</v>
      </c>
      <c r="N744" s="393" t="s">
        <v>129</v>
      </c>
    </row>
    <row r="745" spans="1:14" ht="40.5" hidden="1" x14ac:dyDescent="0.3">
      <c r="A745" s="248">
        <v>16</v>
      </c>
      <c r="B745" s="524"/>
      <c r="C745" s="212">
        <v>45763</v>
      </c>
      <c r="D745" s="10" t="s">
        <v>21</v>
      </c>
      <c r="E745" s="10" t="s">
        <v>14</v>
      </c>
      <c r="F745" s="356" t="s">
        <v>108</v>
      </c>
      <c r="G745" s="356" t="s">
        <v>1981</v>
      </c>
      <c r="H745" s="7" t="s">
        <v>146</v>
      </c>
      <c r="I745" s="169" t="s">
        <v>214</v>
      </c>
      <c r="J745" s="169" t="s">
        <v>2851</v>
      </c>
      <c r="K745" s="169" t="s">
        <v>68</v>
      </c>
      <c r="L745" s="353" t="s">
        <v>15</v>
      </c>
      <c r="M745" s="247">
        <v>300000</v>
      </c>
      <c r="N745" s="393" t="s">
        <v>129</v>
      </c>
    </row>
    <row r="746" spans="1:14" ht="27" hidden="1" x14ac:dyDescent="0.3">
      <c r="A746" s="131">
        <v>17</v>
      </c>
      <c r="B746" s="522" t="s">
        <v>2896</v>
      </c>
      <c r="C746" s="99" t="s">
        <v>2869</v>
      </c>
      <c r="D746" s="133" t="s">
        <v>307</v>
      </c>
      <c r="E746" s="133" t="s">
        <v>323</v>
      </c>
      <c r="F746" s="133" t="s">
        <v>308</v>
      </c>
      <c r="G746" s="207" t="s">
        <v>2569</v>
      </c>
      <c r="H746" s="133" t="s">
        <v>149</v>
      </c>
      <c r="I746" s="207" t="s">
        <v>2871</v>
      </c>
      <c r="J746" s="133" t="s">
        <v>169</v>
      </c>
      <c r="K746" s="197" t="s">
        <v>2787</v>
      </c>
      <c r="L746" s="133"/>
      <c r="M746" s="103">
        <v>750000</v>
      </c>
      <c r="N746" s="133" t="s">
        <v>122</v>
      </c>
    </row>
    <row r="747" spans="1:14" ht="27" hidden="1" x14ac:dyDescent="0.3">
      <c r="A747" s="131">
        <v>17</v>
      </c>
      <c r="B747" s="523"/>
      <c r="C747" s="99" t="s">
        <v>2870</v>
      </c>
      <c r="D747" s="133" t="s">
        <v>307</v>
      </c>
      <c r="E747" s="133" t="s">
        <v>323</v>
      </c>
      <c r="F747" s="133" t="s">
        <v>308</v>
      </c>
      <c r="G747" s="207" t="s">
        <v>2569</v>
      </c>
      <c r="H747" s="133" t="s">
        <v>149</v>
      </c>
      <c r="I747" s="207" t="s">
        <v>2872</v>
      </c>
      <c r="J747" s="133" t="s">
        <v>169</v>
      </c>
      <c r="K747" s="197" t="s">
        <v>2776</v>
      </c>
      <c r="L747" s="133"/>
      <c r="M747" s="103">
        <v>500000</v>
      </c>
      <c r="N747" s="133" t="s">
        <v>122</v>
      </c>
    </row>
    <row r="748" spans="1:14" ht="27" hidden="1" x14ac:dyDescent="0.3">
      <c r="A748" s="131">
        <v>17</v>
      </c>
      <c r="B748" s="523"/>
      <c r="C748" s="99" t="s">
        <v>2869</v>
      </c>
      <c r="D748" s="133" t="s">
        <v>307</v>
      </c>
      <c r="E748" s="133" t="s">
        <v>323</v>
      </c>
      <c r="F748" s="133" t="s">
        <v>308</v>
      </c>
      <c r="G748" s="207" t="s">
        <v>2856</v>
      </c>
      <c r="H748" s="133" t="s">
        <v>23</v>
      </c>
      <c r="I748" s="207" t="s">
        <v>594</v>
      </c>
      <c r="J748" s="133" t="s">
        <v>1262</v>
      </c>
      <c r="K748" s="290" t="s">
        <v>847</v>
      </c>
      <c r="L748" s="133"/>
      <c r="M748" s="103">
        <v>750000</v>
      </c>
      <c r="N748" s="133" t="s">
        <v>2858</v>
      </c>
    </row>
    <row r="749" spans="1:14" ht="27" hidden="1" x14ac:dyDescent="0.3">
      <c r="A749" s="131">
        <v>17</v>
      </c>
      <c r="B749" s="523"/>
      <c r="C749" s="99" t="s">
        <v>2870</v>
      </c>
      <c r="D749" s="133" t="s">
        <v>307</v>
      </c>
      <c r="E749" s="133" t="s">
        <v>323</v>
      </c>
      <c r="F749" s="133" t="s">
        <v>308</v>
      </c>
      <c r="G749" s="207">
        <v>222003</v>
      </c>
      <c r="H749" s="133" t="s">
        <v>23</v>
      </c>
      <c r="I749" s="207" t="s">
        <v>594</v>
      </c>
      <c r="J749" s="133" t="s">
        <v>1262</v>
      </c>
      <c r="K749" s="290" t="s">
        <v>643</v>
      </c>
      <c r="L749" s="133"/>
      <c r="M749" s="103">
        <v>500000</v>
      </c>
      <c r="N749" s="133" t="s">
        <v>2859</v>
      </c>
    </row>
    <row r="750" spans="1:14" ht="27" hidden="1" x14ac:dyDescent="0.3">
      <c r="A750" s="131">
        <v>17</v>
      </c>
      <c r="B750" s="524"/>
      <c r="C750" s="99" t="s">
        <v>2865</v>
      </c>
      <c r="D750" s="133" t="s">
        <v>307</v>
      </c>
      <c r="E750" s="133" t="s">
        <v>323</v>
      </c>
      <c r="F750" s="133" t="s">
        <v>308</v>
      </c>
      <c r="G750" s="207" t="s">
        <v>2856</v>
      </c>
      <c r="H750" s="133" t="s">
        <v>23</v>
      </c>
      <c r="I750" s="207" t="s">
        <v>2332</v>
      </c>
      <c r="J750" s="133" t="s">
        <v>1262</v>
      </c>
      <c r="K750" s="4" t="s">
        <v>1754</v>
      </c>
      <c r="L750" s="133"/>
      <c r="M750" s="103">
        <v>1000000</v>
      </c>
      <c r="N750" s="8" t="s">
        <v>427</v>
      </c>
    </row>
    <row r="751" spans="1:14" ht="27" hidden="1" x14ac:dyDescent="0.3">
      <c r="A751" s="131">
        <v>17</v>
      </c>
      <c r="B751" s="522" t="s">
        <v>21</v>
      </c>
      <c r="C751" s="396">
        <v>45765</v>
      </c>
      <c r="D751" s="4" t="s">
        <v>21</v>
      </c>
      <c r="E751" s="4" t="s">
        <v>14</v>
      </c>
      <c r="F751" s="34" t="s">
        <v>2725</v>
      </c>
      <c r="G751" s="34" t="s">
        <v>2590</v>
      </c>
      <c r="H751" s="17" t="s">
        <v>23</v>
      </c>
      <c r="I751" s="207" t="s">
        <v>2873</v>
      </c>
      <c r="J751" s="34"/>
      <c r="K751" s="397" t="s">
        <v>489</v>
      </c>
      <c r="L751" s="133" t="s">
        <v>15</v>
      </c>
      <c r="M751" s="103">
        <v>500000</v>
      </c>
      <c r="N751" s="133" t="s">
        <v>129</v>
      </c>
    </row>
    <row r="752" spans="1:14" ht="27" hidden="1" x14ac:dyDescent="0.3">
      <c r="A752" s="131">
        <v>17</v>
      </c>
      <c r="B752" s="523"/>
      <c r="C752" s="135">
        <v>45768</v>
      </c>
      <c r="D752" s="4" t="s">
        <v>21</v>
      </c>
      <c r="E752" s="4" t="s">
        <v>17</v>
      </c>
      <c r="F752" s="34" t="s">
        <v>78</v>
      </c>
      <c r="G752" s="34">
        <v>7060</v>
      </c>
      <c r="H752" s="17" t="s">
        <v>36</v>
      </c>
      <c r="I752" s="207" t="s">
        <v>2863</v>
      </c>
      <c r="J752" s="34" t="s">
        <v>90</v>
      </c>
      <c r="K752" s="397" t="s">
        <v>41</v>
      </c>
      <c r="L752" s="133" t="s">
        <v>15</v>
      </c>
      <c r="M752" s="103">
        <v>250000</v>
      </c>
      <c r="N752" s="8" t="s">
        <v>1802</v>
      </c>
    </row>
    <row r="753" spans="1:17" ht="27" hidden="1" x14ac:dyDescent="0.3">
      <c r="A753" s="131">
        <v>17</v>
      </c>
      <c r="B753" s="523"/>
      <c r="C753" s="135" t="s">
        <v>2866</v>
      </c>
      <c r="D753" s="4" t="s">
        <v>21</v>
      </c>
      <c r="E753" s="4" t="s">
        <v>14</v>
      </c>
      <c r="F753" s="34" t="s">
        <v>2861</v>
      </c>
      <c r="G753" s="34" t="s">
        <v>1959</v>
      </c>
      <c r="H753" s="17" t="s">
        <v>2862</v>
      </c>
      <c r="I753" s="207" t="s">
        <v>2875</v>
      </c>
      <c r="J753" s="34"/>
      <c r="K753" s="34" t="s">
        <v>2867</v>
      </c>
      <c r="L753" s="133" t="s">
        <v>15</v>
      </c>
      <c r="M753" s="103">
        <v>1500000</v>
      </c>
      <c r="N753" s="8" t="s">
        <v>129</v>
      </c>
    </row>
    <row r="754" spans="1:17" ht="27" hidden="1" x14ac:dyDescent="0.3">
      <c r="A754" s="131">
        <v>17</v>
      </c>
      <c r="B754" s="523"/>
      <c r="C754" s="135">
        <v>45769</v>
      </c>
      <c r="D754" s="4" t="s">
        <v>21</v>
      </c>
      <c r="E754" s="4" t="s">
        <v>14</v>
      </c>
      <c r="F754" s="34" t="s">
        <v>78</v>
      </c>
      <c r="G754" s="34">
        <v>7060</v>
      </c>
      <c r="H754" s="17" t="s">
        <v>37</v>
      </c>
      <c r="I754" s="207" t="s">
        <v>2868</v>
      </c>
      <c r="J754" s="207" t="s">
        <v>2791</v>
      </c>
      <c r="K754" s="207" t="s">
        <v>2860</v>
      </c>
      <c r="L754" s="133" t="s">
        <v>15</v>
      </c>
      <c r="M754" s="103">
        <v>500000</v>
      </c>
      <c r="N754" s="8" t="s">
        <v>2874</v>
      </c>
    </row>
    <row r="755" spans="1:17" ht="27" hidden="1" x14ac:dyDescent="0.3">
      <c r="A755" s="131">
        <v>17</v>
      </c>
      <c r="B755" s="524"/>
      <c r="C755" s="135">
        <v>45770</v>
      </c>
      <c r="D755" s="4" t="s">
        <v>21</v>
      </c>
      <c r="E755" s="4" t="s">
        <v>14</v>
      </c>
      <c r="F755" s="34" t="s">
        <v>78</v>
      </c>
      <c r="G755" s="34">
        <v>7060</v>
      </c>
      <c r="H755" s="17" t="s">
        <v>71</v>
      </c>
      <c r="I755" s="207" t="s">
        <v>2864</v>
      </c>
      <c r="J755" s="207" t="s">
        <v>90</v>
      </c>
      <c r="K755" s="207" t="s">
        <v>60</v>
      </c>
      <c r="L755" s="133" t="s">
        <v>15</v>
      </c>
      <c r="M755" s="103">
        <v>300000</v>
      </c>
      <c r="N755" s="8" t="s">
        <v>1802</v>
      </c>
    </row>
    <row r="756" spans="1:17" ht="27" hidden="1" x14ac:dyDescent="0.3">
      <c r="A756" s="131">
        <v>18</v>
      </c>
      <c r="B756" s="522" t="s">
        <v>2964</v>
      </c>
      <c r="C756" s="99" t="s">
        <v>2878</v>
      </c>
      <c r="D756" s="133" t="s">
        <v>307</v>
      </c>
      <c r="E756" s="133" t="s">
        <v>323</v>
      </c>
      <c r="F756" s="133" t="s">
        <v>308</v>
      </c>
      <c r="G756" s="207" t="s">
        <v>2569</v>
      </c>
      <c r="H756" s="133" t="s">
        <v>511</v>
      </c>
      <c r="I756" s="207" t="s">
        <v>2877</v>
      </c>
      <c r="J756" s="133" t="s">
        <v>169</v>
      </c>
      <c r="K756" s="197" t="s">
        <v>2881</v>
      </c>
      <c r="L756" s="133"/>
      <c r="M756" s="103">
        <v>500000</v>
      </c>
      <c r="N756" s="216" t="s">
        <v>122</v>
      </c>
    </row>
    <row r="757" spans="1:17" ht="27" hidden="1" x14ac:dyDescent="0.3">
      <c r="A757" s="131">
        <v>18</v>
      </c>
      <c r="B757" s="523"/>
      <c r="C757" s="99" t="s">
        <v>2879</v>
      </c>
      <c r="D757" s="133" t="s">
        <v>307</v>
      </c>
      <c r="E757" s="133" t="s">
        <v>323</v>
      </c>
      <c r="F757" s="133" t="s">
        <v>308</v>
      </c>
      <c r="G757" s="207" t="s">
        <v>2569</v>
      </c>
      <c r="H757" s="133" t="s">
        <v>511</v>
      </c>
      <c r="I757" s="207" t="s">
        <v>2883</v>
      </c>
      <c r="J757" s="133" t="s">
        <v>169</v>
      </c>
      <c r="K757" s="357" t="s">
        <v>2881</v>
      </c>
      <c r="L757" s="133"/>
      <c r="M757" s="103">
        <v>500000</v>
      </c>
      <c r="N757" s="216" t="s">
        <v>122</v>
      </c>
    </row>
    <row r="758" spans="1:17" ht="27" hidden="1" x14ac:dyDescent="0.3">
      <c r="A758" s="131">
        <v>18</v>
      </c>
      <c r="B758" s="523"/>
      <c r="C758" s="99" t="s">
        <v>2878</v>
      </c>
      <c r="D758" s="133" t="s">
        <v>307</v>
      </c>
      <c r="E758" s="133" t="s">
        <v>323</v>
      </c>
      <c r="F758" s="133" t="s">
        <v>308</v>
      </c>
      <c r="G758" s="207">
        <v>222003</v>
      </c>
      <c r="H758" s="133" t="s">
        <v>2880</v>
      </c>
      <c r="I758" s="207" t="s">
        <v>594</v>
      </c>
      <c r="J758" s="133" t="s">
        <v>1262</v>
      </c>
      <c r="K758" s="402" t="s">
        <v>2902</v>
      </c>
      <c r="L758" s="133"/>
      <c r="M758" s="103">
        <v>500000</v>
      </c>
      <c r="N758" s="216" t="s">
        <v>2858</v>
      </c>
    </row>
    <row r="759" spans="1:17" ht="27" hidden="1" x14ac:dyDescent="0.3">
      <c r="A759" s="131">
        <v>18</v>
      </c>
      <c r="B759" s="524"/>
      <c r="C759" s="99" t="s">
        <v>2885</v>
      </c>
      <c r="D759" s="133" t="s">
        <v>307</v>
      </c>
      <c r="E759" s="133" t="s">
        <v>323</v>
      </c>
      <c r="F759" s="133" t="s">
        <v>308</v>
      </c>
      <c r="G759" s="207">
        <v>222003</v>
      </c>
      <c r="H759" s="133" t="s">
        <v>2880</v>
      </c>
      <c r="I759" s="207" t="s">
        <v>2882</v>
      </c>
      <c r="J759" s="133" t="s">
        <v>1262</v>
      </c>
      <c r="K759" s="4" t="s">
        <v>1955</v>
      </c>
      <c r="L759" s="133"/>
      <c r="M759" s="103">
        <v>1500000</v>
      </c>
      <c r="N759" s="8" t="s">
        <v>427</v>
      </c>
    </row>
    <row r="760" spans="1:17" hidden="1" x14ac:dyDescent="0.3">
      <c r="A760" s="131">
        <v>18</v>
      </c>
      <c r="B760" s="59" t="s">
        <v>2966</v>
      </c>
      <c r="C760" s="135">
        <v>45776</v>
      </c>
      <c r="D760" s="4" t="s">
        <v>21</v>
      </c>
      <c r="E760" s="4" t="s">
        <v>14</v>
      </c>
      <c r="F760" s="34" t="s">
        <v>1904</v>
      </c>
      <c r="G760" s="34" t="s">
        <v>1978</v>
      </c>
      <c r="H760" s="17" t="s">
        <v>1904</v>
      </c>
      <c r="I760" s="207" t="s">
        <v>2886</v>
      </c>
      <c r="J760" s="207"/>
      <c r="K760" s="404" t="s">
        <v>489</v>
      </c>
      <c r="L760" s="133"/>
      <c r="M760" s="103">
        <v>500000</v>
      </c>
      <c r="N760" s="353" t="s">
        <v>1210</v>
      </c>
    </row>
    <row r="761" spans="1:17" ht="27" hidden="1" x14ac:dyDescent="0.3">
      <c r="A761" s="131">
        <v>19</v>
      </c>
      <c r="B761" s="522" t="s">
        <v>20</v>
      </c>
      <c r="C761" s="99" t="s">
        <v>2895</v>
      </c>
      <c r="D761" s="133" t="s">
        <v>307</v>
      </c>
      <c r="E761" s="133" t="s">
        <v>323</v>
      </c>
      <c r="F761" s="133" t="s">
        <v>308</v>
      </c>
      <c r="G761" s="207" t="s">
        <v>2569</v>
      </c>
      <c r="H761" s="133" t="s">
        <v>149</v>
      </c>
      <c r="I761" s="207" t="s">
        <v>2883</v>
      </c>
      <c r="J761" s="133" t="s">
        <v>169</v>
      </c>
      <c r="K761" s="357" t="s">
        <v>2894</v>
      </c>
      <c r="L761" s="133"/>
      <c r="M761" s="103">
        <v>750000</v>
      </c>
      <c r="N761" s="216" t="s">
        <v>122</v>
      </c>
    </row>
    <row r="762" spans="1:17" ht="27" hidden="1" x14ac:dyDescent="0.3">
      <c r="A762" s="131">
        <v>19</v>
      </c>
      <c r="B762" s="523"/>
      <c r="C762" s="99">
        <v>45779</v>
      </c>
      <c r="D762" s="133" t="s">
        <v>307</v>
      </c>
      <c r="E762" s="133" t="s">
        <v>323</v>
      </c>
      <c r="F762" s="133" t="s">
        <v>308</v>
      </c>
      <c r="G762" s="207">
        <v>593</v>
      </c>
      <c r="H762" s="133" t="s">
        <v>265</v>
      </c>
      <c r="I762" s="207" t="s">
        <v>2892</v>
      </c>
      <c r="J762" s="133" t="s">
        <v>1359</v>
      </c>
      <c r="K762" s="235" t="s">
        <v>688</v>
      </c>
      <c r="L762" s="408"/>
      <c r="M762" s="103">
        <v>250000</v>
      </c>
      <c r="N762" s="216" t="s">
        <v>2858</v>
      </c>
    </row>
    <row r="763" spans="1:17" ht="27" hidden="1" x14ac:dyDescent="0.3">
      <c r="A763" s="131">
        <v>19</v>
      </c>
      <c r="B763" s="523"/>
      <c r="C763" s="99" t="s">
        <v>2893</v>
      </c>
      <c r="D763" s="133" t="s">
        <v>307</v>
      </c>
      <c r="E763" s="133" t="s">
        <v>323</v>
      </c>
      <c r="F763" s="133" t="s">
        <v>308</v>
      </c>
      <c r="G763" s="207">
        <v>222003</v>
      </c>
      <c r="H763" s="133" t="s">
        <v>23</v>
      </c>
      <c r="I763" s="207" t="s">
        <v>1107</v>
      </c>
      <c r="J763" s="133" t="s">
        <v>1359</v>
      </c>
      <c r="K763" s="235" t="s">
        <v>643</v>
      </c>
      <c r="L763" s="408"/>
      <c r="M763" s="103">
        <v>500000</v>
      </c>
      <c r="N763" s="216" t="s">
        <v>2858</v>
      </c>
    </row>
    <row r="764" spans="1:17" ht="27" hidden="1" x14ac:dyDescent="0.3">
      <c r="A764" s="131">
        <v>20</v>
      </c>
      <c r="B764" s="523" t="s">
        <v>2967</v>
      </c>
      <c r="C764" s="99" t="s">
        <v>2903</v>
      </c>
      <c r="D764" s="133" t="s">
        <v>307</v>
      </c>
      <c r="E764" s="133" t="s">
        <v>323</v>
      </c>
      <c r="F764" s="133" t="s">
        <v>308</v>
      </c>
      <c r="G764" s="207" t="s">
        <v>2913</v>
      </c>
      <c r="H764" s="133" t="s">
        <v>83</v>
      </c>
      <c r="I764" s="207" t="s">
        <v>2906</v>
      </c>
      <c r="J764" s="133" t="s">
        <v>169</v>
      </c>
      <c r="K764" s="357" t="s">
        <v>2894</v>
      </c>
      <c r="L764" s="133"/>
      <c r="M764" s="103">
        <v>750000</v>
      </c>
      <c r="N764" s="216" t="s">
        <v>122</v>
      </c>
    </row>
    <row r="765" spans="1:17" ht="27" hidden="1" x14ac:dyDescent="0.3">
      <c r="A765" s="131">
        <v>20</v>
      </c>
      <c r="B765" s="523"/>
      <c r="C765" s="99" t="s">
        <v>2904</v>
      </c>
      <c r="D765" s="133" t="s">
        <v>307</v>
      </c>
      <c r="E765" s="133" t="s">
        <v>323</v>
      </c>
      <c r="F765" s="133" t="s">
        <v>308</v>
      </c>
      <c r="G765" s="207" t="s">
        <v>2905</v>
      </c>
      <c r="H765" s="133" t="s">
        <v>34</v>
      </c>
      <c r="I765" s="207" t="s">
        <v>2906</v>
      </c>
      <c r="J765" s="133" t="s">
        <v>169</v>
      </c>
      <c r="K765" s="357" t="s">
        <v>2881</v>
      </c>
      <c r="L765" s="133"/>
      <c r="M765" s="103">
        <v>500000</v>
      </c>
      <c r="N765" s="216" t="s">
        <v>122</v>
      </c>
    </row>
    <row r="766" spans="1:17" ht="27" hidden="1" x14ac:dyDescent="0.3">
      <c r="A766" s="131">
        <v>20</v>
      </c>
      <c r="B766" s="523"/>
      <c r="C766" s="99" t="s">
        <v>2907</v>
      </c>
      <c r="D766" s="133" t="s">
        <v>307</v>
      </c>
      <c r="E766" s="133" t="s">
        <v>323</v>
      </c>
      <c r="F766" s="133" t="s">
        <v>308</v>
      </c>
      <c r="G766" s="207">
        <v>222003</v>
      </c>
      <c r="H766" s="133" t="s">
        <v>23</v>
      </c>
      <c r="I766" s="207" t="s">
        <v>594</v>
      </c>
      <c r="J766" s="133" t="s">
        <v>1262</v>
      </c>
      <c r="K766" s="235" t="s">
        <v>134</v>
      </c>
      <c r="L766" s="408"/>
      <c r="M766" s="364">
        <v>500000</v>
      </c>
      <c r="N766" s="216" t="s">
        <v>2858</v>
      </c>
      <c r="P766">
        <v>1</v>
      </c>
      <c r="Q766" s="409"/>
    </row>
    <row r="767" spans="1:17" ht="27" hidden="1" x14ac:dyDescent="0.3">
      <c r="A767" s="131">
        <v>20</v>
      </c>
      <c r="B767" s="523"/>
      <c r="C767" s="99" t="s">
        <v>2908</v>
      </c>
      <c r="D767" s="133" t="s">
        <v>307</v>
      </c>
      <c r="E767" s="133" t="s">
        <v>323</v>
      </c>
      <c r="F767" s="133" t="s">
        <v>308</v>
      </c>
      <c r="G767" s="207" t="s">
        <v>2569</v>
      </c>
      <c r="H767" s="133" t="s">
        <v>149</v>
      </c>
      <c r="I767" s="207" t="s">
        <v>2909</v>
      </c>
      <c r="J767" s="133" t="s">
        <v>1262</v>
      </c>
      <c r="K767" s="235" t="s">
        <v>205</v>
      </c>
      <c r="L767" s="408"/>
      <c r="M767" s="364">
        <v>750000</v>
      </c>
      <c r="N767" s="216" t="s">
        <v>2858</v>
      </c>
      <c r="P767">
        <v>2</v>
      </c>
    </row>
    <row r="768" spans="1:17" hidden="1" x14ac:dyDescent="0.3">
      <c r="A768" s="131">
        <v>20</v>
      </c>
      <c r="B768" s="523" t="s">
        <v>2968</v>
      </c>
      <c r="C768" s="212">
        <v>45786</v>
      </c>
      <c r="D768" s="4" t="s">
        <v>21</v>
      </c>
      <c r="E768" s="4" t="s">
        <v>14</v>
      </c>
      <c r="F768" s="34" t="s">
        <v>141</v>
      </c>
      <c r="G768" s="34" t="s">
        <v>1978</v>
      </c>
      <c r="H768" s="17" t="s">
        <v>1904</v>
      </c>
      <c r="I768" s="207" t="s">
        <v>2884</v>
      </c>
      <c r="J768" s="34" t="s">
        <v>2897</v>
      </c>
      <c r="K768" s="404" t="s">
        <v>41</v>
      </c>
      <c r="L768" s="133" t="s">
        <v>15</v>
      </c>
      <c r="M768" s="103">
        <v>250000</v>
      </c>
      <c r="N768" s="353" t="s">
        <v>129</v>
      </c>
    </row>
    <row r="769" spans="1:17" hidden="1" x14ac:dyDescent="0.3">
      <c r="A769" s="131">
        <v>20</v>
      </c>
      <c r="B769" s="523"/>
      <c r="C769" s="212">
        <v>45791</v>
      </c>
      <c r="D769" s="4" t="s">
        <v>21</v>
      </c>
      <c r="E769" s="4" t="s">
        <v>14</v>
      </c>
      <c r="F769" s="34" t="s">
        <v>212</v>
      </c>
      <c r="G769" s="34" t="s">
        <v>2058</v>
      </c>
      <c r="H769" s="17" t="s">
        <v>2669</v>
      </c>
      <c r="I769" s="207" t="s">
        <v>2910</v>
      </c>
      <c r="J769" s="34" t="s">
        <v>2898</v>
      </c>
      <c r="K769" s="407" t="s">
        <v>688</v>
      </c>
      <c r="L769" s="133" t="s">
        <v>15</v>
      </c>
      <c r="M769" s="103">
        <v>250000</v>
      </c>
      <c r="N769" s="353" t="s">
        <v>129</v>
      </c>
    </row>
    <row r="770" spans="1:17" ht="27" hidden="1" x14ac:dyDescent="0.3">
      <c r="A770" s="248">
        <v>20</v>
      </c>
      <c r="B770" s="524"/>
      <c r="C770" s="212" t="s">
        <v>2904</v>
      </c>
      <c r="D770" s="10" t="s">
        <v>21</v>
      </c>
      <c r="E770" s="10" t="s">
        <v>14</v>
      </c>
      <c r="F770" s="356" t="s">
        <v>2861</v>
      </c>
      <c r="G770" s="356" t="s">
        <v>1959</v>
      </c>
      <c r="H770" s="7" t="s">
        <v>2862</v>
      </c>
      <c r="I770" s="169" t="s">
        <v>2911</v>
      </c>
      <c r="J770" s="356"/>
      <c r="K770" s="405" t="s">
        <v>442</v>
      </c>
      <c r="L770" s="353"/>
      <c r="M770" s="247">
        <v>1000000</v>
      </c>
      <c r="N770" s="353" t="s">
        <v>2912</v>
      </c>
    </row>
    <row r="771" spans="1:17" ht="27" hidden="1" x14ac:dyDescent="0.3">
      <c r="A771" s="131">
        <v>21</v>
      </c>
      <c r="B771" s="522" t="s">
        <v>2969</v>
      </c>
      <c r="C771" s="99" t="s">
        <v>2920</v>
      </c>
      <c r="D771" s="133" t="s">
        <v>307</v>
      </c>
      <c r="E771" s="133" t="s">
        <v>323</v>
      </c>
      <c r="F771" s="133" t="s">
        <v>308</v>
      </c>
      <c r="G771" s="207" t="s">
        <v>2923</v>
      </c>
      <c r="H771" s="133" t="s">
        <v>144</v>
      </c>
      <c r="I771" s="207" t="s">
        <v>2906</v>
      </c>
      <c r="J771" s="133" t="s">
        <v>169</v>
      </c>
      <c r="K771" s="357" t="s">
        <v>2894</v>
      </c>
      <c r="L771" s="133"/>
      <c r="M771" s="103">
        <v>750000</v>
      </c>
      <c r="N771" s="133" t="s">
        <v>122</v>
      </c>
    </row>
    <row r="772" spans="1:17" ht="27" hidden="1" x14ac:dyDescent="0.3">
      <c r="A772" s="131">
        <v>21</v>
      </c>
      <c r="B772" s="523"/>
      <c r="C772" s="99" t="s">
        <v>2922</v>
      </c>
      <c r="D772" s="133" t="s">
        <v>307</v>
      </c>
      <c r="E772" s="133" t="s">
        <v>323</v>
      </c>
      <c r="F772" s="133" t="s">
        <v>308</v>
      </c>
      <c r="G772" s="207">
        <v>1566</v>
      </c>
      <c r="H772" s="133" t="s">
        <v>484</v>
      </c>
      <c r="I772" s="207" t="s">
        <v>1972</v>
      </c>
      <c r="J772" s="133" t="s">
        <v>169</v>
      </c>
      <c r="K772" s="357" t="s">
        <v>2881</v>
      </c>
      <c r="L772" s="133"/>
      <c r="M772" s="103">
        <v>500000</v>
      </c>
      <c r="N772" s="133" t="s">
        <v>122</v>
      </c>
    </row>
    <row r="773" spans="1:17" ht="27" hidden="1" x14ac:dyDescent="0.3">
      <c r="A773" s="131">
        <v>21</v>
      </c>
      <c r="B773" s="524"/>
      <c r="C773" s="99" t="s">
        <v>2921</v>
      </c>
      <c r="D773" s="133" t="s">
        <v>307</v>
      </c>
      <c r="E773" s="133" t="s">
        <v>323</v>
      </c>
      <c r="F773" s="133" t="s">
        <v>308</v>
      </c>
      <c r="G773" s="207" t="s">
        <v>2569</v>
      </c>
      <c r="H773" s="133" t="s">
        <v>149</v>
      </c>
      <c r="I773" s="207" t="s">
        <v>2909</v>
      </c>
      <c r="J773" s="133" t="s">
        <v>1262</v>
      </c>
      <c r="K773" s="235" t="s">
        <v>2919</v>
      </c>
      <c r="L773" s="408"/>
      <c r="M773" s="364">
        <v>1250000</v>
      </c>
      <c r="N773" s="133" t="s">
        <v>2858</v>
      </c>
      <c r="P773">
        <v>3</v>
      </c>
      <c r="Q773">
        <v>4</v>
      </c>
    </row>
    <row r="774" spans="1:17" hidden="1" x14ac:dyDescent="0.3">
      <c r="A774" s="410">
        <v>21</v>
      </c>
      <c r="B774" s="522" t="s">
        <v>2966</v>
      </c>
      <c r="C774" s="135">
        <v>45791</v>
      </c>
      <c r="D774" s="4" t="s">
        <v>21</v>
      </c>
      <c r="E774" s="4" t="s">
        <v>14</v>
      </c>
      <c r="F774" s="34" t="s">
        <v>141</v>
      </c>
      <c r="G774" s="34" t="s">
        <v>1978</v>
      </c>
      <c r="H774" s="17" t="s">
        <v>1904</v>
      </c>
      <c r="I774" s="207" t="s">
        <v>2917</v>
      </c>
      <c r="J774" s="34" t="s">
        <v>90</v>
      </c>
      <c r="K774" s="404" t="s">
        <v>489</v>
      </c>
      <c r="L774" s="133" t="s">
        <v>15</v>
      </c>
      <c r="M774" s="103">
        <v>500000</v>
      </c>
      <c r="N774" s="133" t="s">
        <v>129</v>
      </c>
    </row>
    <row r="775" spans="1:17" ht="67.5" hidden="1" x14ac:dyDescent="0.3">
      <c r="A775" s="410">
        <v>21</v>
      </c>
      <c r="B775" s="523"/>
      <c r="C775" s="135">
        <v>45793</v>
      </c>
      <c r="D775" s="4" t="s">
        <v>21</v>
      </c>
      <c r="E775" s="4" t="s">
        <v>14</v>
      </c>
      <c r="F775" s="34" t="s">
        <v>2861</v>
      </c>
      <c r="G775" s="34" t="s">
        <v>1959</v>
      </c>
      <c r="H775" s="17" t="s">
        <v>2862</v>
      </c>
      <c r="I775" s="207" t="s">
        <v>2918</v>
      </c>
      <c r="J775" s="34"/>
      <c r="K775" s="406" t="s">
        <v>489</v>
      </c>
      <c r="L775" s="133" t="s">
        <v>15</v>
      </c>
      <c r="M775" s="103">
        <v>500000</v>
      </c>
      <c r="N775" s="133" t="s">
        <v>2924</v>
      </c>
    </row>
    <row r="776" spans="1:17" hidden="1" x14ac:dyDescent="0.3">
      <c r="A776" s="131">
        <v>21</v>
      </c>
      <c r="B776" s="524"/>
      <c r="C776" s="135">
        <v>45800</v>
      </c>
      <c r="D776" s="4" t="s">
        <v>21</v>
      </c>
      <c r="E776" s="4" t="s">
        <v>17</v>
      </c>
      <c r="F776" s="34" t="s">
        <v>78</v>
      </c>
      <c r="G776" s="34">
        <v>7060</v>
      </c>
      <c r="H776" s="17" t="s">
        <v>2876</v>
      </c>
      <c r="I776" s="207" t="s">
        <v>2916</v>
      </c>
      <c r="J776" s="34" t="s">
        <v>90</v>
      </c>
      <c r="K776" s="207" t="s">
        <v>60</v>
      </c>
      <c r="L776" s="133" t="s">
        <v>15</v>
      </c>
      <c r="M776" s="103">
        <v>300000</v>
      </c>
      <c r="N776" s="133" t="s">
        <v>129</v>
      </c>
    </row>
    <row r="777" spans="1:17" ht="27" hidden="1" x14ac:dyDescent="0.3">
      <c r="A777" s="131">
        <v>22</v>
      </c>
      <c r="B777" s="522" t="s">
        <v>2965</v>
      </c>
      <c r="C777" s="99" t="s">
        <v>2928</v>
      </c>
      <c r="D777" s="133" t="s">
        <v>307</v>
      </c>
      <c r="E777" s="133" t="s">
        <v>323</v>
      </c>
      <c r="F777" s="133" t="s">
        <v>308</v>
      </c>
      <c r="G777" s="207">
        <v>1566</v>
      </c>
      <c r="H777" s="133" t="s">
        <v>484</v>
      </c>
      <c r="I777" s="207" t="s">
        <v>1972</v>
      </c>
      <c r="J777" s="133" t="s">
        <v>169</v>
      </c>
      <c r="K777" s="357" t="s">
        <v>2894</v>
      </c>
      <c r="L777" s="133"/>
      <c r="M777" s="103">
        <v>750000</v>
      </c>
      <c r="N777" s="133" t="s">
        <v>122</v>
      </c>
    </row>
    <row r="778" spans="1:17" ht="27" hidden="1" x14ac:dyDescent="0.3">
      <c r="A778" s="131">
        <v>22</v>
      </c>
      <c r="B778" s="523"/>
      <c r="C778" s="99" t="s">
        <v>2929</v>
      </c>
      <c r="D778" s="133" t="s">
        <v>307</v>
      </c>
      <c r="E778" s="133" t="s">
        <v>323</v>
      </c>
      <c r="F778" s="133" t="s">
        <v>308</v>
      </c>
      <c r="G778" s="207" t="s">
        <v>2727</v>
      </c>
      <c r="H778" s="133" t="s">
        <v>23</v>
      </c>
      <c r="I778" s="207" t="s">
        <v>2930</v>
      </c>
      <c r="J778" s="133" t="s">
        <v>169</v>
      </c>
      <c r="K778" s="357" t="s">
        <v>2881</v>
      </c>
      <c r="L778" s="133"/>
      <c r="M778" s="103">
        <v>500000</v>
      </c>
      <c r="N778" s="133" t="s">
        <v>122</v>
      </c>
    </row>
    <row r="779" spans="1:17" ht="40.5" hidden="1" x14ac:dyDescent="0.3">
      <c r="A779" s="131">
        <v>22</v>
      </c>
      <c r="B779" s="523"/>
      <c r="C779" s="99" t="s">
        <v>2931</v>
      </c>
      <c r="D779" s="133" t="s">
        <v>307</v>
      </c>
      <c r="E779" s="133" t="s">
        <v>323</v>
      </c>
      <c r="F779" s="133" t="s">
        <v>308</v>
      </c>
      <c r="G779" s="207" t="s">
        <v>2934</v>
      </c>
      <c r="H779" s="133" t="s">
        <v>2935</v>
      </c>
      <c r="I779" s="207" t="s">
        <v>2936</v>
      </c>
      <c r="J779" s="133" t="s">
        <v>1262</v>
      </c>
      <c r="K779" s="235" t="s">
        <v>2919</v>
      </c>
      <c r="L779" s="256"/>
      <c r="M779" s="103">
        <v>1250000</v>
      </c>
      <c r="N779" s="133" t="s">
        <v>2858</v>
      </c>
    </row>
    <row r="780" spans="1:17" ht="27" hidden="1" x14ac:dyDescent="0.3">
      <c r="A780" s="131">
        <v>22</v>
      </c>
      <c r="B780" s="524"/>
      <c r="C780" s="99" t="s">
        <v>2933</v>
      </c>
      <c r="D780" s="133" t="s">
        <v>307</v>
      </c>
      <c r="E780" s="133" t="s">
        <v>323</v>
      </c>
      <c r="F780" s="133" t="s">
        <v>308</v>
      </c>
      <c r="G780" s="207" t="s">
        <v>2932</v>
      </c>
      <c r="H780" s="133" t="s">
        <v>23</v>
      </c>
      <c r="I780" s="207" t="s">
        <v>2535</v>
      </c>
      <c r="J780" s="133" t="s">
        <v>1262</v>
      </c>
      <c r="K780" s="4" t="s">
        <v>1754</v>
      </c>
      <c r="L780" s="133"/>
      <c r="M780" s="103">
        <v>1000000</v>
      </c>
      <c r="N780" s="8" t="s">
        <v>427</v>
      </c>
    </row>
    <row r="781" spans="1:17" hidden="1" x14ac:dyDescent="0.3">
      <c r="A781" s="131">
        <v>22</v>
      </c>
      <c r="B781" s="59" t="s">
        <v>2970</v>
      </c>
      <c r="C781" s="135">
        <v>45806</v>
      </c>
      <c r="D781" s="4" t="s">
        <v>21</v>
      </c>
      <c r="E781" s="4" t="s">
        <v>17</v>
      </c>
      <c r="F781" s="34" t="s">
        <v>1796</v>
      </c>
      <c r="G781" s="34" t="s">
        <v>606</v>
      </c>
      <c r="H781" s="17" t="s">
        <v>264</v>
      </c>
      <c r="I781" s="207" t="s">
        <v>2927</v>
      </c>
      <c r="J781" s="34"/>
      <c r="K781" s="207" t="s">
        <v>688</v>
      </c>
      <c r="L781" s="133" t="s">
        <v>15</v>
      </c>
      <c r="M781" s="103">
        <v>250000</v>
      </c>
      <c r="N781" s="133" t="s">
        <v>2937</v>
      </c>
    </row>
    <row r="782" spans="1:17" hidden="1" x14ac:dyDescent="0.3">
      <c r="A782" s="131">
        <v>23</v>
      </c>
      <c r="B782" s="522" t="s">
        <v>2963</v>
      </c>
      <c r="C782" s="99" t="s">
        <v>2945</v>
      </c>
      <c r="D782" s="133" t="s">
        <v>307</v>
      </c>
      <c r="E782" s="133" t="s">
        <v>323</v>
      </c>
      <c r="F782" s="133" t="s">
        <v>308</v>
      </c>
      <c r="G782" s="207">
        <v>1566</v>
      </c>
      <c r="H782" s="133" t="s">
        <v>484</v>
      </c>
      <c r="I782" s="207" t="s">
        <v>1972</v>
      </c>
      <c r="J782" s="133" t="s">
        <v>169</v>
      </c>
      <c r="K782" s="193" t="s">
        <v>3115</v>
      </c>
      <c r="L782" s="133"/>
      <c r="M782" s="103">
        <v>250000</v>
      </c>
      <c r="N782" s="133" t="s">
        <v>122</v>
      </c>
    </row>
    <row r="783" spans="1:17" ht="27" hidden="1" x14ac:dyDescent="0.3">
      <c r="A783" s="131">
        <v>23</v>
      </c>
      <c r="B783" s="523"/>
      <c r="C783" s="99" t="s">
        <v>2944</v>
      </c>
      <c r="D783" s="133" t="s">
        <v>307</v>
      </c>
      <c r="E783" s="133" t="s">
        <v>323</v>
      </c>
      <c r="F783" s="133" t="s">
        <v>308</v>
      </c>
      <c r="G783" s="207" t="s">
        <v>2923</v>
      </c>
      <c r="H783" s="133" t="s">
        <v>144</v>
      </c>
      <c r="I783" s="207" t="s">
        <v>2947</v>
      </c>
      <c r="J783" s="133" t="s">
        <v>169</v>
      </c>
      <c r="K783" s="193" t="s">
        <v>2881</v>
      </c>
      <c r="L783" s="133"/>
      <c r="M783" s="103">
        <v>500000</v>
      </c>
      <c r="N783" s="133" t="s">
        <v>122</v>
      </c>
    </row>
    <row r="784" spans="1:17" ht="27" hidden="1" x14ac:dyDescent="0.3">
      <c r="A784" s="131">
        <v>23</v>
      </c>
      <c r="B784" s="523"/>
      <c r="C784" s="99" t="s">
        <v>2949</v>
      </c>
      <c r="D784" s="133" t="s">
        <v>307</v>
      </c>
      <c r="E784" s="133" t="s">
        <v>323</v>
      </c>
      <c r="F784" s="133" t="s">
        <v>308</v>
      </c>
      <c r="G784" s="207" t="s">
        <v>2940</v>
      </c>
      <c r="H784" s="133" t="s">
        <v>2939</v>
      </c>
      <c r="I784" s="207" t="s">
        <v>2948</v>
      </c>
      <c r="J784" s="133" t="s">
        <v>1262</v>
      </c>
      <c r="K784" s="4" t="s">
        <v>205</v>
      </c>
      <c r="L784" s="256"/>
      <c r="M784" s="103">
        <v>750000</v>
      </c>
      <c r="N784" s="133" t="s">
        <v>2858</v>
      </c>
    </row>
    <row r="785" spans="1:14" hidden="1" x14ac:dyDescent="0.3">
      <c r="A785" s="131">
        <v>23</v>
      </c>
      <c r="B785" s="524"/>
      <c r="C785" s="135">
        <v>45815</v>
      </c>
      <c r="D785" s="133" t="s">
        <v>307</v>
      </c>
      <c r="E785" s="133" t="s">
        <v>323</v>
      </c>
      <c r="F785" s="133" t="s">
        <v>308</v>
      </c>
      <c r="G785" s="34" t="s">
        <v>2941</v>
      </c>
      <c r="H785" s="17" t="s">
        <v>2942</v>
      </c>
      <c r="I785" s="207" t="s">
        <v>2943</v>
      </c>
      <c r="J785" s="207"/>
      <c r="K785" s="207" t="s">
        <v>442</v>
      </c>
      <c r="L785" s="133"/>
      <c r="M785" s="103">
        <v>1000000</v>
      </c>
      <c r="N785" s="133" t="s">
        <v>122</v>
      </c>
    </row>
    <row r="786" spans="1:14" ht="27" hidden="1" x14ac:dyDescent="0.3">
      <c r="A786" s="131">
        <v>23</v>
      </c>
      <c r="B786" s="522" t="s">
        <v>312</v>
      </c>
      <c r="C786" s="135">
        <v>45808</v>
      </c>
      <c r="D786" s="4" t="s">
        <v>29</v>
      </c>
      <c r="E786" s="4" t="s">
        <v>17</v>
      </c>
      <c r="F786" s="207" t="s">
        <v>2915</v>
      </c>
      <c r="G786" s="34">
        <v>3011</v>
      </c>
      <c r="H786" s="17" t="s">
        <v>23</v>
      </c>
      <c r="I786" s="207" t="s">
        <v>2938</v>
      </c>
      <c r="J786" s="207" t="s">
        <v>203</v>
      </c>
      <c r="K786" s="417" t="s">
        <v>41</v>
      </c>
      <c r="L786" s="133" t="s">
        <v>15</v>
      </c>
      <c r="M786" s="103">
        <v>250000</v>
      </c>
      <c r="N786" s="133" t="s">
        <v>2950</v>
      </c>
    </row>
    <row r="787" spans="1:14" ht="40.5" hidden="1" x14ac:dyDescent="0.3">
      <c r="A787" s="131">
        <v>23</v>
      </c>
      <c r="B787" s="524"/>
      <c r="C787" s="135" t="s">
        <v>2951</v>
      </c>
      <c r="D787" s="4" t="s">
        <v>21</v>
      </c>
      <c r="E787" s="4" t="s">
        <v>14</v>
      </c>
      <c r="F787" s="34" t="s">
        <v>2861</v>
      </c>
      <c r="G787" s="34" t="s">
        <v>1959</v>
      </c>
      <c r="H787" s="17" t="s">
        <v>2862</v>
      </c>
      <c r="I787" s="334" t="s">
        <v>2952</v>
      </c>
      <c r="J787" s="34" t="s">
        <v>2804</v>
      </c>
      <c r="K787" s="355" t="s">
        <v>2728</v>
      </c>
      <c r="L787" s="133" t="s">
        <v>15</v>
      </c>
      <c r="M787" s="103">
        <v>1100000</v>
      </c>
      <c r="N787" s="133" t="s">
        <v>2953</v>
      </c>
    </row>
    <row r="788" spans="1:14" hidden="1" x14ac:dyDescent="0.3">
      <c r="A788" s="131">
        <v>24</v>
      </c>
      <c r="B788" s="522" t="s">
        <v>20</v>
      </c>
      <c r="C788" s="99">
        <v>45817</v>
      </c>
      <c r="D788" s="133" t="s">
        <v>307</v>
      </c>
      <c r="E788" s="133" t="s">
        <v>323</v>
      </c>
      <c r="F788" s="133" t="s">
        <v>308</v>
      </c>
      <c r="G788" s="207">
        <v>222003</v>
      </c>
      <c r="H788" s="133" t="s">
        <v>23</v>
      </c>
      <c r="I788" s="207" t="s">
        <v>2957</v>
      </c>
      <c r="J788" s="133" t="s">
        <v>169</v>
      </c>
      <c r="K788" s="193" t="s">
        <v>2946</v>
      </c>
      <c r="L788" s="133"/>
      <c r="M788" s="103">
        <v>250000</v>
      </c>
      <c r="N788" s="216" t="s">
        <v>122</v>
      </c>
    </row>
    <row r="789" spans="1:14" ht="47.25" hidden="1" customHeight="1" x14ac:dyDescent="0.3">
      <c r="A789" s="131">
        <v>24</v>
      </c>
      <c r="B789" s="523"/>
      <c r="C789" s="99" t="s">
        <v>2956</v>
      </c>
      <c r="D789" s="133" t="s">
        <v>307</v>
      </c>
      <c r="E789" s="133" t="s">
        <v>323</v>
      </c>
      <c r="F789" s="133" t="s">
        <v>308</v>
      </c>
      <c r="G789" s="207" t="s">
        <v>2913</v>
      </c>
      <c r="H789" s="133" t="s">
        <v>83</v>
      </c>
      <c r="I789" s="207" t="s">
        <v>2947</v>
      </c>
      <c r="J789" s="133" t="s">
        <v>169</v>
      </c>
      <c r="K789" s="193" t="s">
        <v>2881</v>
      </c>
      <c r="L789" s="133"/>
      <c r="M789" s="103">
        <v>500000</v>
      </c>
      <c r="N789" s="216" t="s">
        <v>122</v>
      </c>
    </row>
    <row r="790" spans="1:14" ht="27" hidden="1" x14ac:dyDescent="0.3">
      <c r="A790" s="131">
        <v>24</v>
      </c>
      <c r="B790" s="523"/>
      <c r="C790" s="99" t="s">
        <v>2958</v>
      </c>
      <c r="D790" s="133" t="s">
        <v>307</v>
      </c>
      <c r="E790" s="133" t="s">
        <v>323</v>
      </c>
      <c r="F790" s="133" t="s">
        <v>308</v>
      </c>
      <c r="G790" s="207">
        <v>1566</v>
      </c>
      <c r="H790" s="133" t="s">
        <v>484</v>
      </c>
      <c r="I790" s="207" t="s">
        <v>380</v>
      </c>
      <c r="J790" s="133" t="s">
        <v>169</v>
      </c>
      <c r="K790" s="193" t="s">
        <v>2881</v>
      </c>
      <c r="L790" s="133"/>
      <c r="M790" s="103">
        <v>500000</v>
      </c>
      <c r="N790" s="216" t="s">
        <v>122</v>
      </c>
    </row>
    <row r="791" spans="1:14" ht="27" hidden="1" x14ac:dyDescent="0.3">
      <c r="A791" s="131">
        <v>24</v>
      </c>
      <c r="B791" s="524"/>
      <c r="C791" s="99" t="s">
        <v>2959</v>
      </c>
      <c r="D791" s="133" t="s">
        <v>307</v>
      </c>
      <c r="E791" s="133" t="s">
        <v>323</v>
      </c>
      <c r="F791" s="133" t="s">
        <v>308</v>
      </c>
      <c r="G791" s="310" t="s">
        <v>2960</v>
      </c>
      <c r="H791" s="133" t="s">
        <v>2961</v>
      </c>
      <c r="I791" s="207" t="s">
        <v>2962</v>
      </c>
      <c r="J791" s="133" t="s">
        <v>1262</v>
      </c>
      <c r="K791" s="4" t="s">
        <v>247</v>
      </c>
      <c r="L791" s="256"/>
      <c r="M791" s="103">
        <v>1000000</v>
      </c>
      <c r="N791" s="216" t="s">
        <v>2858</v>
      </c>
    </row>
    <row r="792" spans="1:14" hidden="1" x14ac:dyDescent="0.3">
      <c r="A792" s="131">
        <v>24</v>
      </c>
      <c r="B792" s="522" t="s">
        <v>312</v>
      </c>
      <c r="C792" s="212">
        <v>45817</v>
      </c>
      <c r="D792" s="4" t="s">
        <v>21</v>
      </c>
      <c r="E792" s="4" t="s">
        <v>14</v>
      </c>
      <c r="F792" s="34" t="s">
        <v>1902</v>
      </c>
      <c r="G792" s="34" t="s">
        <v>2727</v>
      </c>
      <c r="H792" s="34" t="s">
        <v>23</v>
      </c>
      <c r="I792" s="207" t="s">
        <v>2954</v>
      </c>
      <c r="J792" s="34"/>
      <c r="K792" s="355" t="s">
        <v>489</v>
      </c>
      <c r="L792" s="133" t="s">
        <v>15</v>
      </c>
      <c r="M792" s="103">
        <v>500000</v>
      </c>
      <c r="N792" s="353" t="s">
        <v>980</v>
      </c>
    </row>
    <row r="793" spans="1:14" ht="27" hidden="1" x14ac:dyDescent="0.3">
      <c r="A793" s="131">
        <v>24</v>
      </c>
      <c r="B793" s="524"/>
      <c r="C793" s="212">
        <v>45818</v>
      </c>
      <c r="D793" s="4" t="s">
        <v>21</v>
      </c>
      <c r="E793" s="4" t="s">
        <v>14</v>
      </c>
      <c r="F793" s="34" t="s">
        <v>108</v>
      </c>
      <c r="G793" s="34" t="s">
        <v>1978</v>
      </c>
      <c r="H793" s="17" t="s">
        <v>144</v>
      </c>
      <c r="I793" s="207" t="s">
        <v>2955</v>
      </c>
      <c r="J793" s="34" t="s">
        <v>2829</v>
      </c>
      <c r="K793" s="355" t="s">
        <v>41</v>
      </c>
      <c r="L793" s="133" t="s">
        <v>15</v>
      </c>
      <c r="M793" s="103">
        <v>250000</v>
      </c>
      <c r="N793" s="353" t="s">
        <v>1887</v>
      </c>
    </row>
    <row r="794" spans="1:14" ht="27" hidden="1" x14ac:dyDescent="0.3">
      <c r="A794" s="131">
        <v>25</v>
      </c>
      <c r="B794" s="547" t="s">
        <v>308</v>
      </c>
      <c r="C794" s="99" t="s">
        <v>2975</v>
      </c>
      <c r="D794" s="133" t="s">
        <v>307</v>
      </c>
      <c r="E794" s="133" t="s">
        <v>323</v>
      </c>
      <c r="F794" s="133" t="s">
        <v>308</v>
      </c>
      <c r="G794" s="207" t="s">
        <v>2913</v>
      </c>
      <c r="H794" s="133" t="s">
        <v>83</v>
      </c>
      <c r="I794" s="207" t="s">
        <v>2983</v>
      </c>
      <c r="J794" s="133" t="s">
        <v>169</v>
      </c>
      <c r="K794" s="193" t="s">
        <v>2894</v>
      </c>
      <c r="L794" s="133"/>
      <c r="M794" s="103">
        <v>750000</v>
      </c>
      <c r="N794" s="216" t="s">
        <v>122</v>
      </c>
    </row>
    <row r="795" spans="1:14" ht="27" hidden="1" x14ac:dyDescent="0.3">
      <c r="A795" s="131">
        <v>25</v>
      </c>
      <c r="B795" s="548"/>
      <c r="C795" s="99" t="s">
        <v>2976</v>
      </c>
      <c r="D795" s="133" t="s">
        <v>307</v>
      </c>
      <c r="E795" s="133" t="s">
        <v>323</v>
      </c>
      <c r="F795" s="133" t="s">
        <v>308</v>
      </c>
      <c r="G795" s="207" t="s">
        <v>2977</v>
      </c>
      <c r="H795" s="133" t="s">
        <v>34</v>
      </c>
      <c r="I795" s="207" t="s">
        <v>380</v>
      </c>
      <c r="J795" s="133" t="s">
        <v>169</v>
      </c>
      <c r="K795" s="193" t="s">
        <v>2881</v>
      </c>
      <c r="L795" s="133"/>
      <c r="M795" s="103">
        <v>500000</v>
      </c>
      <c r="N795" s="216" t="s">
        <v>122</v>
      </c>
    </row>
    <row r="796" spans="1:14" ht="27" hidden="1" x14ac:dyDescent="0.3">
      <c r="A796" s="131">
        <v>25</v>
      </c>
      <c r="B796" s="549"/>
      <c r="C796" s="99" t="s">
        <v>2978</v>
      </c>
      <c r="D796" s="133" t="s">
        <v>307</v>
      </c>
      <c r="E796" s="133" t="s">
        <v>323</v>
      </c>
      <c r="F796" s="133" t="s">
        <v>308</v>
      </c>
      <c r="G796" s="207" t="s">
        <v>2569</v>
      </c>
      <c r="H796" s="133" t="s">
        <v>2974</v>
      </c>
      <c r="I796" s="207" t="s">
        <v>2973</v>
      </c>
      <c r="J796" s="133" t="s">
        <v>1262</v>
      </c>
      <c r="K796" s="4" t="s">
        <v>2979</v>
      </c>
      <c r="L796" s="256"/>
      <c r="M796" s="103">
        <v>1000000</v>
      </c>
      <c r="N796" s="216" t="s">
        <v>2858</v>
      </c>
    </row>
    <row r="797" spans="1:14" ht="40.5" hidden="1" x14ac:dyDescent="0.3">
      <c r="A797" s="131">
        <v>25</v>
      </c>
      <c r="B797" s="59" t="s">
        <v>312</v>
      </c>
      <c r="C797" s="212">
        <v>45826</v>
      </c>
      <c r="D797" s="4" t="s">
        <v>21</v>
      </c>
      <c r="E797" s="4" t="s">
        <v>14</v>
      </c>
      <c r="F797" s="34" t="s">
        <v>141</v>
      </c>
      <c r="G797" s="34" t="s">
        <v>1978</v>
      </c>
      <c r="H797" s="17" t="s">
        <v>144</v>
      </c>
      <c r="I797" s="207" t="s">
        <v>2981</v>
      </c>
      <c r="J797" s="34" t="s">
        <v>90</v>
      </c>
      <c r="K797" s="34" t="s">
        <v>688</v>
      </c>
      <c r="L797" s="133" t="s">
        <v>15</v>
      </c>
      <c r="M797" s="103">
        <v>250000</v>
      </c>
      <c r="N797" s="353" t="s">
        <v>2980</v>
      </c>
    </row>
    <row r="798" spans="1:14" hidden="1" x14ac:dyDescent="0.3">
      <c r="A798" s="131">
        <v>26</v>
      </c>
      <c r="B798" s="522" t="s">
        <v>3110</v>
      </c>
      <c r="C798" s="99">
        <v>45828</v>
      </c>
      <c r="D798" s="133" t="s">
        <v>307</v>
      </c>
      <c r="E798" s="133" t="s">
        <v>323</v>
      </c>
      <c r="F798" s="133" t="s">
        <v>308</v>
      </c>
      <c r="G798" s="207" t="s">
        <v>2941</v>
      </c>
      <c r="H798" s="133" t="s">
        <v>2992</v>
      </c>
      <c r="I798" s="207" t="s">
        <v>2993</v>
      </c>
      <c r="J798" s="133" t="s">
        <v>169</v>
      </c>
      <c r="K798" s="34" t="s">
        <v>688</v>
      </c>
      <c r="L798" s="133"/>
      <c r="M798" s="103">
        <v>250000</v>
      </c>
      <c r="N798" s="216" t="s">
        <v>122</v>
      </c>
    </row>
    <row r="799" spans="1:14" ht="27" hidden="1" x14ac:dyDescent="0.3">
      <c r="A799" s="131">
        <v>26</v>
      </c>
      <c r="B799" s="523"/>
      <c r="C799" s="99" t="s">
        <v>2987</v>
      </c>
      <c r="D799" s="133" t="s">
        <v>307</v>
      </c>
      <c r="E799" s="133" t="s">
        <v>323</v>
      </c>
      <c r="F799" s="133" t="s">
        <v>308</v>
      </c>
      <c r="G799" s="207" t="s">
        <v>2986</v>
      </c>
      <c r="H799" s="133" t="s">
        <v>1904</v>
      </c>
      <c r="I799" s="207" t="s">
        <v>380</v>
      </c>
      <c r="J799" s="133" t="s">
        <v>169</v>
      </c>
      <c r="K799" s="4" t="s">
        <v>2894</v>
      </c>
      <c r="L799" s="133"/>
      <c r="M799" s="103">
        <v>750000</v>
      </c>
      <c r="N799" s="216" t="s">
        <v>122</v>
      </c>
    </row>
    <row r="800" spans="1:14" ht="27" hidden="1" x14ac:dyDescent="0.3">
      <c r="A800" s="131">
        <v>26</v>
      </c>
      <c r="B800" s="523"/>
      <c r="C800" s="99" t="s">
        <v>2988</v>
      </c>
      <c r="D800" s="133" t="s">
        <v>307</v>
      </c>
      <c r="E800" s="133" t="s">
        <v>323</v>
      </c>
      <c r="F800" s="133" t="s">
        <v>308</v>
      </c>
      <c r="G800" s="207">
        <v>1566</v>
      </c>
      <c r="H800" s="133" t="s">
        <v>484</v>
      </c>
      <c r="I800" s="207" t="s">
        <v>2989</v>
      </c>
      <c r="J800" s="133" t="s">
        <v>169</v>
      </c>
      <c r="K800" s="4" t="s">
        <v>2881</v>
      </c>
      <c r="L800" s="133"/>
      <c r="M800" s="103">
        <v>500000</v>
      </c>
      <c r="N800" s="216" t="s">
        <v>122</v>
      </c>
    </row>
    <row r="801" spans="1:14" ht="27" hidden="1" x14ac:dyDescent="0.3">
      <c r="A801" s="131">
        <v>26</v>
      </c>
      <c r="B801" s="523"/>
      <c r="C801" s="99" t="s">
        <v>2991</v>
      </c>
      <c r="D801" s="133" t="s">
        <v>307</v>
      </c>
      <c r="E801" s="133" t="s">
        <v>323</v>
      </c>
      <c r="F801" s="133" t="s">
        <v>308</v>
      </c>
      <c r="G801" s="207" t="s">
        <v>2941</v>
      </c>
      <c r="H801" s="133" t="s">
        <v>2992</v>
      </c>
      <c r="I801" s="207" t="s">
        <v>2994</v>
      </c>
      <c r="J801" s="133" t="s">
        <v>169</v>
      </c>
      <c r="K801" s="4" t="s">
        <v>205</v>
      </c>
      <c r="L801" s="133"/>
      <c r="M801" s="103">
        <v>750000</v>
      </c>
      <c r="N801" s="216" t="s">
        <v>122</v>
      </c>
    </row>
    <row r="802" spans="1:14" ht="27" hidden="1" x14ac:dyDescent="0.3">
      <c r="A802" s="131">
        <v>26</v>
      </c>
      <c r="B802" s="524"/>
      <c r="C802" s="99" t="s">
        <v>2999</v>
      </c>
      <c r="D802" s="133" t="s">
        <v>307</v>
      </c>
      <c r="E802" s="133" t="s">
        <v>323</v>
      </c>
      <c r="F802" s="133" t="s">
        <v>2998</v>
      </c>
      <c r="G802" s="207" t="s">
        <v>2913</v>
      </c>
      <c r="H802" s="133" t="s">
        <v>2990</v>
      </c>
      <c r="I802" s="207" t="s">
        <v>3000</v>
      </c>
      <c r="J802" s="133" t="s">
        <v>1262</v>
      </c>
      <c r="K802" s="4" t="s">
        <v>205</v>
      </c>
      <c r="L802" s="133"/>
      <c r="M802" s="103">
        <v>750000</v>
      </c>
      <c r="N802" s="216" t="s">
        <v>2858</v>
      </c>
    </row>
    <row r="803" spans="1:14" ht="27" hidden="1" x14ac:dyDescent="0.3">
      <c r="A803" s="131">
        <v>26</v>
      </c>
      <c r="B803" s="522" t="s">
        <v>3111</v>
      </c>
      <c r="C803" s="396">
        <v>45831</v>
      </c>
      <c r="D803" s="4" t="s">
        <v>21</v>
      </c>
      <c r="E803" s="4" t="s">
        <v>14</v>
      </c>
      <c r="F803" s="34" t="s">
        <v>108</v>
      </c>
      <c r="G803" s="34" t="s">
        <v>1978</v>
      </c>
      <c r="H803" s="17" t="s">
        <v>1904</v>
      </c>
      <c r="I803" s="207" t="s">
        <v>2984</v>
      </c>
      <c r="J803" s="34" t="s">
        <v>90</v>
      </c>
      <c r="K803" s="34" t="s">
        <v>688</v>
      </c>
      <c r="L803" s="133" t="s">
        <v>15</v>
      </c>
      <c r="M803" s="103">
        <v>250000</v>
      </c>
      <c r="N803" s="353" t="s">
        <v>129</v>
      </c>
    </row>
    <row r="804" spans="1:14" hidden="1" x14ac:dyDescent="0.3">
      <c r="A804" s="131">
        <v>26</v>
      </c>
      <c r="B804" s="523"/>
      <c r="C804" s="396">
        <v>45832</v>
      </c>
      <c r="D804" s="4" t="s">
        <v>21</v>
      </c>
      <c r="E804" s="4" t="s">
        <v>14</v>
      </c>
      <c r="F804" s="34" t="s">
        <v>1796</v>
      </c>
      <c r="G804" s="34" t="s">
        <v>2145</v>
      </c>
      <c r="H804" s="17" t="s">
        <v>1396</v>
      </c>
      <c r="I804" s="207" t="s">
        <v>1390</v>
      </c>
      <c r="J804" s="34" t="s">
        <v>90</v>
      </c>
      <c r="K804" s="34" t="s">
        <v>412</v>
      </c>
      <c r="L804" s="133" t="s">
        <v>15</v>
      </c>
      <c r="M804" s="103" t="s">
        <v>2997</v>
      </c>
      <c r="N804" s="353" t="s">
        <v>2996</v>
      </c>
    </row>
    <row r="805" spans="1:14" hidden="1" x14ac:dyDescent="0.3">
      <c r="A805" s="131">
        <v>26</v>
      </c>
      <c r="B805" s="523"/>
      <c r="C805" s="396">
        <v>45834</v>
      </c>
      <c r="D805" s="9" t="s">
        <v>21</v>
      </c>
      <c r="E805" s="9" t="s">
        <v>14</v>
      </c>
      <c r="F805" s="34" t="s">
        <v>108</v>
      </c>
      <c r="G805" s="34" t="s">
        <v>1978</v>
      </c>
      <c r="H805" s="17" t="s">
        <v>144</v>
      </c>
      <c r="I805" s="207" t="s">
        <v>2985</v>
      </c>
      <c r="J805" s="34" t="s">
        <v>90</v>
      </c>
      <c r="K805" s="34" t="s">
        <v>688</v>
      </c>
      <c r="L805" s="133" t="s">
        <v>15</v>
      </c>
      <c r="M805" s="103">
        <v>250000</v>
      </c>
      <c r="N805" s="353" t="s">
        <v>2995</v>
      </c>
    </row>
    <row r="806" spans="1:14" hidden="1" x14ac:dyDescent="0.3">
      <c r="A806" s="131">
        <v>26</v>
      </c>
      <c r="B806" s="524"/>
      <c r="C806" s="396">
        <v>45835</v>
      </c>
      <c r="D806" s="9" t="s">
        <v>21</v>
      </c>
      <c r="E806" s="9" t="s">
        <v>14</v>
      </c>
      <c r="F806" s="34" t="s">
        <v>108</v>
      </c>
      <c r="G806" s="34" t="s">
        <v>1978</v>
      </c>
      <c r="H806" s="17" t="s">
        <v>144</v>
      </c>
      <c r="I806" s="207" t="s">
        <v>1390</v>
      </c>
      <c r="J806" s="34" t="s">
        <v>90</v>
      </c>
      <c r="K806" s="34" t="s">
        <v>688</v>
      </c>
      <c r="L806" s="133" t="s">
        <v>15</v>
      </c>
      <c r="M806" s="103" t="s">
        <v>2997</v>
      </c>
      <c r="N806" s="353" t="s">
        <v>129</v>
      </c>
    </row>
    <row r="807" spans="1:14" ht="45" hidden="1" x14ac:dyDescent="0.3">
      <c r="A807" s="131">
        <v>27</v>
      </c>
      <c r="B807" s="522" t="s">
        <v>3110</v>
      </c>
      <c r="C807" s="273" t="s">
        <v>3058</v>
      </c>
      <c r="D807" s="133" t="s">
        <v>307</v>
      </c>
      <c r="E807" s="133" t="s">
        <v>323</v>
      </c>
      <c r="F807" s="133" t="s">
        <v>308</v>
      </c>
      <c r="G807" s="207" t="s">
        <v>3024</v>
      </c>
      <c r="H807" s="133" t="s">
        <v>1396</v>
      </c>
      <c r="I807" s="207" t="s">
        <v>3028</v>
      </c>
      <c r="J807" s="133" t="s">
        <v>169</v>
      </c>
      <c r="K807" s="193" t="s">
        <v>3027</v>
      </c>
      <c r="L807" s="133"/>
      <c r="M807" s="103">
        <v>1000000</v>
      </c>
      <c r="N807" s="133" t="s">
        <v>122</v>
      </c>
    </row>
    <row r="808" spans="1:14" hidden="1" x14ac:dyDescent="0.3">
      <c r="A808" s="131">
        <v>27</v>
      </c>
      <c r="B808" s="523"/>
      <c r="C808" s="99">
        <v>45840</v>
      </c>
      <c r="D808" s="133" t="s">
        <v>307</v>
      </c>
      <c r="E808" s="133" t="s">
        <v>323</v>
      </c>
      <c r="F808" s="133" t="s">
        <v>308</v>
      </c>
      <c r="G808" s="207" t="s">
        <v>2913</v>
      </c>
      <c r="H808" s="133" t="s">
        <v>83</v>
      </c>
      <c r="I808" s="207" t="s">
        <v>3026</v>
      </c>
      <c r="J808" s="133" t="s">
        <v>169</v>
      </c>
      <c r="K808" s="4" t="s">
        <v>2946</v>
      </c>
      <c r="L808" s="133"/>
      <c r="M808" s="103">
        <v>250000</v>
      </c>
      <c r="N808" s="133" t="s">
        <v>122</v>
      </c>
    </row>
    <row r="809" spans="1:14" ht="27" hidden="1" x14ac:dyDescent="0.3">
      <c r="A809" s="131">
        <v>27</v>
      </c>
      <c r="B809" s="524"/>
      <c r="C809" s="99" t="s">
        <v>3051</v>
      </c>
      <c r="D809" s="133" t="s">
        <v>307</v>
      </c>
      <c r="E809" s="133" t="s">
        <v>323</v>
      </c>
      <c r="F809" s="133" t="s">
        <v>3068</v>
      </c>
      <c r="G809" s="207" t="s">
        <v>3037</v>
      </c>
      <c r="H809" s="133" t="s">
        <v>3038</v>
      </c>
      <c r="I809" s="207" t="s">
        <v>3067</v>
      </c>
      <c r="J809" s="133" t="s">
        <v>1262</v>
      </c>
      <c r="K809" s="4" t="s">
        <v>136</v>
      </c>
      <c r="L809" s="133"/>
      <c r="M809" s="103">
        <v>1000000</v>
      </c>
      <c r="N809" s="133" t="s">
        <v>2858</v>
      </c>
    </row>
    <row r="810" spans="1:14" ht="27" hidden="1" x14ac:dyDescent="0.3">
      <c r="A810" s="131">
        <v>27</v>
      </c>
      <c r="B810" s="522" t="s">
        <v>3113</v>
      </c>
      <c r="C810" s="135">
        <v>45832</v>
      </c>
      <c r="D810" s="4" t="s">
        <v>21</v>
      </c>
      <c r="E810" s="4" t="s">
        <v>14</v>
      </c>
      <c r="F810" s="34" t="s">
        <v>108</v>
      </c>
      <c r="G810" s="34" t="s">
        <v>1978</v>
      </c>
      <c r="H810" s="17" t="s">
        <v>1904</v>
      </c>
      <c r="I810" s="207" t="s">
        <v>3062</v>
      </c>
      <c r="J810" s="34"/>
      <c r="K810" s="355" t="s">
        <v>489</v>
      </c>
      <c r="L810" s="133" t="s">
        <v>15</v>
      </c>
      <c r="M810" s="103">
        <v>500000</v>
      </c>
      <c r="N810" s="133" t="s">
        <v>3064</v>
      </c>
    </row>
    <row r="811" spans="1:14" ht="27" hidden="1" x14ac:dyDescent="0.3">
      <c r="A811" s="131">
        <v>27</v>
      </c>
      <c r="B811" s="523"/>
      <c r="C811" s="135">
        <v>45833</v>
      </c>
      <c r="D811" s="4" t="s">
        <v>21</v>
      </c>
      <c r="E811" s="4" t="s">
        <v>14</v>
      </c>
      <c r="F811" s="34" t="s">
        <v>108</v>
      </c>
      <c r="G811" s="34" t="s">
        <v>1978</v>
      </c>
      <c r="H811" s="17" t="s">
        <v>1904</v>
      </c>
      <c r="I811" s="207" t="s">
        <v>3063</v>
      </c>
      <c r="J811" s="34"/>
      <c r="K811" s="355" t="s">
        <v>489</v>
      </c>
      <c r="L811" s="133" t="s">
        <v>15</v>
      </c>
      <c r="M811" s="103">
        <v>500000</v>
      </c>
      <c r="N811" s="133" t="s">
        <v>3064</v>
      </c>
    </row>
    <row r="812" spans="1:14" ht="27" hidden="1" x14ac:dyDescent="0.3">
      <c r="A812" s="131">
        <v>27</v>
      </c>
      <c r="B812" s="523"/>
      <c r="C812" s="135">
        <v>45835</v>
      </c>
      <c r="D812" s="9" t="s">
        <v>21</v>
      </c>
      <c r="E812" s="9" t="s">
        <v>14</v>
      </c>
      <c r="F812" s="34" t="s">
        <v>108</v>
      </c>
      <c r="G812" s="34" t="s">
        <v>1978</v>
      </c>
      <c r="H812" s="17" t="s">
        <v>144</v>
      </c>
      <c r="I812" s="207" t="s">
        <v>3056</v>
      </c>
      <c r="J812" s="34" t="s">
        <v>90</v>
      </c>
      <c r="K812" s="34" t="s">
        <v>2926</v>
      </c>
      <c r="L812" s="133" t="s">
        <v>15</v>
      </c>
      <c r="M812" s="103">
        <v>550000</v>
      </c>
      <c r="N812" s="133" t="s">
        <v>3059</v>
      </c>
    </row>
    <row r="813" spans="1:14" hidden="1" x14ac:dyDescent="0.3">
      <c r="A813" s="131">
        <v>27</v>
      </c>
      <c r="B813" s="524"/>
      <c r="C813" s="135">
        <v>45835</v>
      </c>
      <c r="D813" s="4" t="s">
        <v>21</v>
      </c>
      <c r="E813" s="4" t="s">
        <v>17</v>
      </c>
      <c r="F813" s="34" t="s">
        <v>3009</v>
      </c>
      <c r="G813" s="34" t="s">
        <v>364</v>
      </c>
      <c r="H813" s="17" t="s">
        <v>149</v>
      </c>
      <c r="I813" s="207" t="s">
        <v>3054</v>
      </c>
      <c r="J813" s="34"/>
      <c r="K813" s="34" t="s">
        <v>597</v>
      </c>
      <c r="L813" s="133" t="s">
        <v>15</v>
      </c>
      <c r="M813" s="103">
        <v>600000</v>
      </c>
      <c r="N813" s="133" t="s">
        <v>129</v>
      </c>
    </row>
    <row r="814" spans="1:14" hidden="1" x14ac:dyDescent="0.3">
      <c r="A814" s="131">
        <v>27</v>
      </c>
      <c r="B814" s="522" t="s">
        <v>3112</v>
      </c>
      <c r="C814" s="99">
        <v>45836</v>
      </c>
      <c r="D814" s="133" t="s">
        <v>307</v>
      </c>
      <c r="E814" s="133" t="s">
        <v>323</v>
      </c>
      <c r="F814" s="133" t="s">
        <v>2998</v>
      </c>
      <c r="G814" s="207" t="s">
        <v>2913</v>
      </c>
      <c r="H814" s="133" t="s">
        <v>83</v>
      </c>
      <c r="I814" s="207" t="s">
        <v>3066</v>
      </c>
      <c r="J814" s="133" t="s">
        <v>1262</v>
      </c>
      <c r="K814" s="4" t="s">
        <v>643</v>
      </c>
      <c r="L814" s="133"/>
      <c r="M814" s="103">
        <v>500000</v>
      </c>
      <c r="N814" s="133" t="s">
        <v>3057</v>
      </c>
    </row>
    <row r="815" spans="1:14" hidden="1" x14ac:dyDescent="0.3">
      <c r="A815" s="131">
        <v>27</v>
      </c>
      <c r="B815" s="523"/>
      <c r="C815" s="99">
        <v>45836</v>
      </c>
      <c r="D815" s="133" t="s">
        <v>307</v>
      </c>
      <c r="E815" s="133" t="s">
        <v>323</v>
      </c>
      <c r="F815" s="133" t="s">
        <v>2998</v>
      </c>
      <c r="G815" s="207" t="s">
        <v>3044</v>
      </c>
      <c r="H815" s="133" t="s">
        <v>3045</v>
      </c>
      <c r="I815" s="207" t="s">
        <v>3046</v>
      </c>
      <c r="J815" s="133" t="s">
        <v>169</v>
      </c>
      <c r="K815" s="4" t="s">
        <v>3047</v>
      </c>
      <c r="L815" s="133"/>
      <c r="M815" s="103">
        <v>500000</v>
      </c>
      <c r="N815" s="133" t="s">
        <v>3055</v>
      </c>
    </row>
    <row r="816" spans="1:14" hidden="1" x14ac:dyDescent="0.3">
      <c r="A816" s="131">
        <v>27</v>
      </c>
      <c r="B816" s="523" t="s">
        <v>3114</v>
      </c>
      <c r="C816" s="135">
        <v>45833</v>
      </c>
      <c r="D816" s="4" t="s">
        <v>21</v>
      </c>
      <c r="E816" s="4" t="s">
        <v>14</v>
      </c>
      <c r="F816" s="34" t="s">
        <v>1902</v>
      </c>
      <c r="G816" s="34" t="s">
        <v>2773</v>
      </c>
      <c r="H816" s="17" t="s">
        <v>1387</v>
      </c>
      <c r="I816" s="207" t="s">
        <v>3003</v>
      </c>
      <c r="J816" s="34" t="s">
        <v>203</v>
      </c>
      <c r="K816" s="34" t="s">
        <v>688</v>
      </c>
      <c r="L816" s="133" t="s">
        <v>15</v>
      </c>
      <c r="M816" s="103">
        <v>250000</v>
      </c>
      <c r="N816" s="133" t="s">
        <v>3065</v>
      </c>
    </row>
    <row r="817" spans="1:14" hidden="1" x14ac:dyDescent="0.3">
      <c r="A817" s="131">
        <v>27</v>
      </c>
      <c r="B817" s="523"/>
      <c r="C817" s="135">
        <v>45834</v>
      </c>
      <c r="D817" s="4" t="s">
        <v>21</v>
      </c>
      <c r="E817" s="4" t="s">
        <v>14</v>
      </c>
      <c r="F817" s="34" t="s">
        <v>1796</v>
      </c>
      <c r="G817" s="34" t="s">
        <v>2145</v>
      </c>
      <c r="H817" s="17" t="s">
        <v>1396</v>
      </c>
      <c r="I817" s="207" t="s">
        <v>3053</v>
      </c>
      <c r="J817" s="34"/>
      <c r="K817" s="355" t="s">
        <v>257</v>
      </c>
      <c r="L817" s="133" t="s">
        <v>15</v>
      </c>
      <c r="M817" s="103">
        <v>550000</v>
      </c>
      <c r="N817" s="133" t="s">
        <v>3064</v>
      </c>
    </row>
    <row r="818" spans="1:14" hidden="1" x14ac:dyDescent="0.3">
      <c r="A818" s="131">
        <v>27</v>
      </c>
      <c r="B818" s="523"/>
      <c r="C818" s="135">
        <v>45835</v>
      </c>
      <c r="D818" s="4" t="s">
        <v>21</v>
      </c>
      <c r="E818" s="4" t="s">
        <v>14</v>
      </c>
      <c r="F818" s="34" t="s">
        <v>1796</v>
      </c>
      <c r="G818" s="34" t="s">
        <v>2145</v>
      </c>
      <c r="H818" s="17" t="s">
        <v>1396</v>
      </c>
      <c r="I818" s="207" t="s">
        <v>3052</v>
      </c>
      <c r="J818" s="34"/>
      <c r="K818" s="355" t="s">
        <v>489</v>
      </c>
      <c r="L818" s="133" t="s">
        <v>15</v>
      </c>
      <c r="M818" s="103">
        <v>500000</v>
      </c>
      <c r="N818" s="133" t="s">
        <v>129</v>
      </c>
    </row>
    <row r="819" spans="1:14" hidden="1" x14ac:dyDescent="0.3">
      <c r="A819" s="131">
        <v>27</v>
      </c>
      <c r="B819" s="524"/>
      <c r="C819" s="135">
        <v>45840</v>
      </c>
      <c r="D819" s="4" t="s">
        <v>21</v>
      </c>
      <c r="E819" s="4" t="s">
        <v>14</v>
      </c>
      <c r="F819" s="34" t="s">
        <v>1796</v>
      </c>
      <c r="G819" s="34" t="s">
        <v>2145</v>
      </c>
      <c r="H819" s="17" t="s">
        <v>1396</v>
      </c>
      <c r="I819" s="207" t="s">
        <v>2971</v>
      </c>
      <c r="J819" s="34" t="s">
        <v>90</v>
      </c>
      <c r="K819" s="34" t="s">
        <v>2850</v>
      </c>
      <c r="L819" s="133" t="s">
        <v>15</v>
      </c>
      <c r="M819" s="103">
        <v>250000</v>
      </c>
      <c r="N819" s="133" t="s">
        <v>129</v>
      </c>
    </row>
    <row r="820" spans="1:14" ht="27" hidden="1" x14ac:dyDescent="0.3">
      <c r="A820" s="425">
        <v>28</v>
      </c>
      <c r="B820" s="522" t="s">
        <v>20</v>
      </c>
      <c r="C820" s="99" t="s">
        <v>3095</v>
      </c>
      <c r="D820" s="133" t="s">
        <v>307</v>
      </c>
      <c r="E820" s="133" t="s">
        <v>323</v>
      </c>
      <c r="F820" s="133" t="s">
        <v>308</v>
      </c>
      <c r="G820" s="207" t="s">
        <v>2941</v>
      </c>
      <c r="H820" s="133" t="s">
        <v>2942</v>
      </c>
      <c r="I820" s="207" t="s">
        <v>3094</v>
      </c>
      <c r="J820" s="133" t="s">
        <v>169</v>
      </c>
      <c r="K820" s="4" t="s">
        <v>2860</v>
      </c>
      <c r="L820" s="133"/>
      <c r="M820" s="103">
        <v>500000</v>
      </c>
      <c r="N820" s="133" t="s">
        <v>3096</v>
      </c>
    </row>
    <row r="821" spans="1:14" hidden="1" x14ac:dyDescent="0.3">
      <c r="A821" s="131">
        <v>28</v>
      </c>
      <c r="B821" s="523"/>
      <c r="C821" s="99">
        <v>45843</v>
      </c>
      <c r="D821" s="133" t="s">
        <v>307</v>
      </c>
      <c r="E821" s="133" t="s">
        <v>323</v>
      </c>
      <c r="F821" s="133" t="s">
        <v>308</v>
      </c>
      <c r="G821" s="207" t="s">
        <v>2913</v>
      </c>
      <c r="H821" s="133" t="s">
        <v>83</v>
      </c>
      <c r="I821" s="207" t="s">
        <v>3082</v>
      </c>
      <c r="J821" s="133" t="s">
        <v>1262</v>
      </c>
      <c r="K821" s="4" t="s">
        <v>3081</v>
      </c>
      <c r="L821" s="133"/>
      <c r="M821" s="103">
        <v>250000</v>
      </c>
      <c r="N821" s="133" t="s">
        <v>3083</v>
      </c>
    </row>
    <row r="822" spans="1:14" hidden="1" x14ac:dyDescent="0.3">
      <c r="A822" s="131">
        <v>28</v>
      </c>
      <c r="B822" s="523"/>
      <c r="C822" s="99">
        <v>45845</v>
      </c>
      <c r="D822" s="133" t="s">
        <v>307</v>
      </c>
      <c r="E822" s="133" t="s">
        <v>323</v>
      </c>
      <c r="F822" s="133" t="s">
        <v>308</v>
      </c>
      <c r="G822" s="207" t="s">
        <v>2941</v>
      </c>
      <c r="H822" s="133" t="s">
        <v>2942</v>
      </c>
      <c r="I822" s="207" t="s">
        <v>3116</v>
      </c>
      <c r="J822" s="133" t="s">
        <v>169</v>
      </c>
      <c r="K822" s="4" t="s">
        <v>3081</v>
      </c>
      <c r="L822" s="133"/>
      <c r="M822" s="103">
        <v>250000</v>
      </c>
      <c r="N822" s="133" t="s">
        <v>3097</v>
      </c>
    </row>
    <row r="823" spans="1:14" ht="27" hidden="1" x14ac:dyDescent="0.3">
      <c r="A823" s="131">
        <v>28</v>
      </c>
      <c r="B823" s="523"/>
      <c r="C823" s="99">
        <v>45846</v>
      </c>
      <c r="D823" s="133" t="s">
        <v>307</v>
      </c>
      <c r="E823" s="133" t="s">
        <v>323</v>
      </c>
      <c r="F823" s="133" t="s">
        <v>308</v>
      </c>
      <c r="G823" s="207" t="s">
        <v>2913</v>
      </c>
      <c r="H823" s="133" t="s">
        <v>3092</v>
      </c>
      <c r="I823" s="207" t="s">
        <v>3093</v>
      </c>
      <c r="J823" s="133" t="s">
        <v>169</v>
      </c>
      <c r="K823" s="4" t="s">
        <v>3081</v>
      </c>
      <c r="L823" s="133"/>
      <c r="M823" s="103">
        <v>250000</v>
      </c>
      <c r="N823" s="133" t="s">
        <v>3104</v>
      </c>
    </row>
    <row r="824" spans="1:14" ht="22.5" hidden="1" x14ac:dyDescent="0.3">
      <c r="A824" s="131">
        <v>28</v>
      </c>
      <c r="B824" s="523"/>
      <c r="C824" s="273" t="s">
        <v>3088</v>
      </c>
      <c r="D824" s="133" t="s">
        <v>307</v>
      </c>
      <c r="E824" s="133" t="s">
        <v>323</v>
      </c>
      <c r="F824" s="133" t="s">
        <v>308</v>
      </c>
      <c r="G824" s="207" t="s">
        <v>3024</v>
      </c>
      <c r="H824" s="133" t="s">
        <v>1396</v>
      </c>
      <c r="I824" s="207" t="s">
        <v>3087</v>
      </c>
      <c r="J824" s="133" t="s">
        <v>169</v>
      </c>
      <c r="K824" s="4" t="s">
        <v>2881</v>
      </c>
      <c r="L824" s="133"/>
      <c r="M824" s="103">
        <v>500000</v>
      </c>
      <c r="N824" s="133" t="s">
        <v>3086</v>
      </c>
    </row>
    <row r="825" spans="1:14" hidden="1" x14ac:dyDescent="0.3">
      <c r="A825" s="131">
        <v>28</v>
      </c>
      <c r="B825" s="523"/>
      <c r="C825" s="273" t="s">
        <v>3101</v>
      </c>
      <c r="D825" s="133" t="s">
        <v>307</v>
      </c>
      <c r="E825" s="133" t="s">
        <v>323</v>
      </c>
      <c r="F825" s="133" t="s">
        <v>308</v>
      </c>
      <c r="G825" s="207">
        <v>1566</v>
      </c>
      <c r="H825" s="133" t="s">
        <v>484</v>
      </c>
      <c r="I825" s="207" t="s">
        <v>3089</v>
      </c>
      <c r="J825" s="133" t="s">
        <v>169</v>
      </c>
      <c r="K825" s="4" t="s">
        <v>2946</v>
      </c>
      <c r="L825" s="133"/>
      <c r="M825" s="103">
        <v>250000</v>
      </c>
      <c r="N825" s="133" t="s">
        <v>122</v>
      </c>
    </row>
    <row r="826" spans="1:14" ht="40.5" hidden="1" x14ac:dyDescent="0.3">
      <c r="A826" s="131">
        <v>28</v>
      </c>
      <c r="B826" s="523"/>
      <c r="C826" s="273" t="s">
        <v>3102</v>
      </c>
      <c r="D826" s="133" t="s">
        <v>307</v>
      </c>
      <c r="E826" s="133" t="s">
        <v>323</v>
      </c>
      <c r="F826" s="133" t="s">
        <v>308</v>
      </c>
      <c r="G826" s="207" t="s">
        <v>3090</v>
      </c>
      <c r="H826" s="133" t="s">
        <v>265</v>
      </c>
      <c r="I826" s="207" t="s">
        <v>3091</v>
      </c>
      <c r="J826" s="133" t="s">
        <v>169</v>
      </c>
      <c r="K826" s="4" t="s">
        <v>3103</v>
      </c>
      <c r="L826" s="133"/>
      <c r="M826" s="422">
        <v>1000000</v>
      </c>
      <c r="N826" s="133" t="s">
        <v>3121</v>
      </c>
    </row>
    <row r="827" spans="1:14" ht="27" hidden="1" x14ac:dyDescent="0.3">
      <c r="A827" s="131">
        <v>28</v>
      </c>
      <c r="B827" s="523"/>
      <c r="C827" s="99" t="s">
        <v>3084</v>
      </c>
      <c r="D827" s="133" t="s">
        <v>307</v>
      </c>
      <c r="E827" s="133" t="s">
        <v>323</v>
      </c>
      <c r="F827" s="133" t="s">
        <v>3085</v>
      </c>
      <c r="G827" s="207" t="s">
        <v>3098</v>
      </c>
      <c r="H827" s="133" t="s">
        <v>3099</v>
      </c>
      <c r="I827" s="207" t="s">
        <v>3100</v>
      </c>
      <c r="J827" s="133" t="s">
        <v>1262</v>
      </c>
      <c r="K827" s="4" t="s">
        <v>192</v>
      </c>
      <c r="L827" s="133"/>
      <c r="M827" s="103">
        <v>1500000</v>
      </c>
      <c r="N827" s="133" t="s">
        <v>2858</v>
      </c>
    </row>
    <row r="828" spans="1:14" hidden="1" x14ac:dyDescent="0.3">
      <c r="A828" s="131">
        <v>28</v>
      </c>
      <c r="B828" s="524"/>
      <c r="C828" s="99">
        <v>45849</v>
      </c>
      <c r="D828" s="133" t="s">
        <v>307</v>
      </c>
      <c r="E828" s="133" t="s">
        <v>323</v>
      </c>
      <c r="F828" s="133" t="s">
        <v>1070</v>
      </c>
      <c r="G828" s="207" t="s">
        <v>2913</v>
      </c>
      <c r="H828" s="133" t="s">
        <v>83</v>
      </c>
      <c r="I828" s="207" t="s">
        <v>3118</v>
      </c>
      <c r="J828" s="133" t="s">
        <v>1076</v>
      </c>
      <c r="K828" s="4" t="s">
        <v>3117</v>
      </c>
      <c r="L828" s="133"/>
      <c r="M828" s="422">
        <v>250000</v>
      </c>
      <c r="N828" s="133" t="s">
        <v>3119</v>
      </c>
    </row>
    <row r="829" spans="1:14" hidden="1" x14ac:dyDescent="0.3">
      <c r="A829" s="131">
        <v>28</v>
      </c>
      <c r="B829" s="522" t="s">
        <v>21</v>
      </c>
      <c r="C829" s="135">
        <v>45845</v>
      </c>
      <c r="D829" s="4" t="s">
        <v>21</v>
      </c>
      <c r="E829" s="4" t="s">
        <v>14</v>
      </c>
      <c r="F829" s="34" t="s">
        <v>1796</v>
      </c>
      <c r="G829" s="34" t="s">
        <v>2145</v>
      </c>
      <c r="H829" s="17" t="s">
        <v>206</v>
      </c>
      <c r="I829" s="207" t="s">
        <v>3108</v>
      </c>
      <c r="J829" s="34"/>
      <c r="K829" s="34" t="s">
        <v>41</v>
      </c>
      <c r="L829" s="133" t="s">
        <v>15</v>
      </c>
      <c r="M829" s="422">
        <v>250000</v>
      </c>
      <c r="N829" s="133" t="s">
        <v>3120</v>
      </c>
    </row>
    <row r="830" spans="1:14" ht="27" hidden="1" x14ac:dyDescent="0.3">
      <c r="A830" s="131">
        <v>28</v>
      </c>
      <c r="B830" s="523"/>
      <c r="C830" s="135" t="s">
        <v>3105</v>
      </c>
      <c r="D830" s="4" t="s">
        <v>21</v>
      </c>
      <c r="E830" s="4" t="s">
        <v>14</v>
      </c>
      <c r="F830" s="34" t="s">
        <v>2140</v>
      </c>
      <c r="G830" s="34" t="s">
        <v>3078</v>
      </c>
      <c r="H830" s="17" t="s">
        <v>1387</v>
      </c>
      <c r="I830" s="207" t="s">
        <v>3079</v>
      </c>
      <c r="J830" s="34" t="s">
        <v>203</v>
      </c>
      <c r="K830" s="34" t="s">
        <v>3106</v>
      </c>
      <c r="L830" s="133" t="s">
        <v>15</v>
      </c>
      <c r="M830" s="422">
        <v>1500000</v>
      </c>
      <c r="N830" s="133" t="s">
        <v>3120</v>
      </c>
    </row>
    <row r="831" spans="1:14" hidden="1" x14ac:dyDescent="0.3">
      <c r="A831" s="131">
        <v>28</v>
      </c>
      <c r="B831" s="523"/>
      <c r="C831" s="135">
        <v>45846</v>
      </c>
      <c r="D831" s="9" t="s">
        <v>21</v>
      </c>
      <c r="E831" s="9" t="s">
        <v>3006</v>
      </c>
      <c r="F831" s="34" t="s">
        <v>1389</v>
      </c>
      <c r="G831" s="34" t="s">
        <v>1028</v>
      </c>
      <c r="H831" s="34" t="s">
        <v>23</v>
      </c>
      <c r="I831" s="207" t="s">
        <v>3005</v>
      </c>
      <c r="J831" s="34" t="s">
        <v>90</v>
      </c>
      <c r="K831" s="34" t="s">
        <v>823</v>
      </c>
      <c r="L831" s="133" t="s">
        <v>15</v>
      </c>
      <c r="M831" s="103">
        <v>250000</v>
      </c>
      <c r="N831" s="133" t="s">
        <v>1802</v>
      </c>
    </row>
    <row r="832" spans="1:14" hidden="1" x14ac:dyDescent="0.3">
      <c r="A832" s="131">
        <v>28</v>
      </c>
      <c r="B832" s="523"/>
      <c r="C832" s="135">
        <v>45846</v>
      </c>
      <c r="D832" s="4" t="s">
        <v>21</v>
      </c>
      <c r="E832" s="4" t="s">
        <v>14</v>
      </c>
      <c r="F832" s="34" t="s">
        <v>1796</v>
      </c>
      <c r="G832" s="34" t="s">
        <v>2145</v>
      </c>
      <c r="H832" s="17" t="s">
        <v>206</v>
      </c>
      <c r="I832" s="207" t="s">
        <v>3107</v>
      </c>
      <c r="J832" s="34"/>
      <c r="K832" s="34" t="s">
        <v>3074</v>
      </c>
      <c r="L832" s="133" t="s">
        <v>15</v>
      </c>
      <c r="M832" s="422">
        <v>550000</v>
      </c>
      <c r="N832" s="133" t="s">
        <v>3120</v>
      </c>
    </row>
    <row r="833" spans="1:14" hidden="1" x14ac:dyDescent="0.3">
      <c r="A833" s="131">
        <v>28</v>
      </c>
      <c r="B833" s="523"/>
      <c r="C833" s="135">
        <v>45848</v>
      </c>
      <c r="D833" s="4" t="s">
        <v>21</v>
      </c>
      <c r="E833" s="4" t="s">
        <v>14</v>
      </c>
      <c r="F833" s="34" t="s">
        <v>108</v>
      </c>
      <c r="G833" s="34" t="s">
        <v>1978</v>
      </c>
      <c r="H833" s="17" t="s">
        <v>3075</v>
      </c>
      <c r="I833" s="207" t="s">
        <v>3076</v>
      </c>
      <c r="J833" s="34" t="s">
        <v>90</v>
      </c>
      <c r="K833" s="34" t="s">
        <v>823</v>
      </c>
      <c r="L833" s="133" t="s">
        <v>15</v>
      </c>
      <c r="M833" s="103">
        <v>250000</v>
      </c>
      <c r="N833" s="133" t="s">
        <v>1660</v>
      </c>
    </row>
    <row r="834" spans="1:14" hidden="1" x14ac:dyDescent="0.3">
      <c r="A834" s="131">
        <v>28</v>
      </c>
      <c r="B834" s="524"/>
      <c r="C834" s="135">
        <v>45849</v>
      </c>
      <c r="D834" s="4" t="s">
        <v>21</v>
      </c>
      <c r="E834" s="4" t="s">
        <v>14</v>
      </c>
      <c r="F834" s="34" t="s">
        <v>108</v>
      </c>
      <c r="G834" s="34" t="s">
        <v>1978</v>
      </c>
      <c r="H834" s="17" t="s">
        <v>1979</v>
      </c>
      <c r="I834" s="207" t="s">
        <v>304</v>
      </c>
      <c r="J834" s="34" t="s">
        <v>90</v>
      </c>
      <c r="K834" s="34" t="s">
        <v>823</v>
      </c>
      <c r="L834" s="133" t="s">
        <v>15</v>
      </c>
      <c r="M834" s="103">
        <v>250000</v>
      </c>
      <c r="N834" s="133" t="s">
        <v>129</v>
      </c>
    </row>
    <row r="835" spans="1:14" hidden="1" x14ac:dyDescent="0.3">
      <c r="A835" s="131">
        <v>29</v>
      </c>
      <c r="B835" s="522" t="s">
        <v>3183</v>
      </c>
      <c r="C835" s="156" t="s">
        <v>3165</v>
      </c>
      <c r="D835" s="538" t="s">
        <v>307</v>
      </c>
      <c r="E835" s="538" t="s">
        <v>323</v>
      </c>
      <c r="F835" s="538" t="s">
        <v>308</v>
      </c>
      <c r="G835" s="543" t="s">
        <v>3133</v>
      </c>
      <c r="H835" s="538" t="s">
        <v>2003</v>
      </c>
      <c r="I835" s="543" t="s">
        <v>3134</v>
      </c>
      <c r="J835" s="538" t="s">
        <v>666</v>
      </c>
      <c r="K835" s="156" t="s">
        <v>3167</v>
      </c>
      <c r="L835" s="538"/>
      <c r="M835" s="645" t="s">
        <v>3168</v>
      </c>
      <c r="N835" s="156" t="s">
        <v>3169</v>
      </c>
    </row>
    <row r="836" spans="1:14" hidden="1" x14ac:dyDescent="0.3">
      <c r="A836" s="131">
        <v>29</v>
      </c>
      <c r="B836" s="523"/>
      <c r="C836" s="156" t="s">
        <v>3166</v>
      </c>
      <c r="D836" s="603"/>
      <c r="E836" s="603"/>
      <c r="F836" s="603"/>
      <c r="G836" s="644"/>
      <c r="H836" s="603"/>
      <c r="I836" s="644"/>
      <c r="J836" s="603"/>
      <c r="K836" s="156" t="s">
        <v>709</v>
      </c>
      <c r="L836" s="603"/>
      <c r="M836" s="646"/>
      <c r="N836" s="156"/>
    </row>
    <row r="837" spans="1:14" hidden="1" x14ac:dyDescent="0.3">
      <c r="A837" s="131">
        <v>29</v>
      </c>
      <c r="B837" s="523"/>
      <c r="C837" s="156"/>
      <c r="D837" s="539"/>
      <c r="E837" s="539"/>
      <c r="F837" s="539"/>
      <c r="G837" s="544"/>
      <c r="H837" s="539"/>
      <c r="I837" s="544"/>
      <c r="J837" s="539"/>
      <c r="K837" s="156"/>
      <c r="L837" s="539"/>
      <c r="M837" s="647"/>
      <c r="N837" s="156" t="s">
        <v>3170</v>
      </c>
    </row>
    <row r="838" spans="1:14" hidden="1" x14ac:dyDescent="0.3">
      <c r="A838" s="131">
        <v>29</v>
      </c>
      <c r="B838" s="523"/>
      <c r="C838" s="156" t="s">
        <v>3135</v>
      </c>
      <c r="D838" s="156" t="s">
        <v>307</v>
      </c>
      <c r="E838" s="156" t="s">
        <v>323</v>
      </c>
      <c r="F838" s="156" t="s">
        <v>308</v>
      </c>
      <c r="G838" s="157" t="s">
        <v>3136</v>
      </c>
      <c r="H838" s="156" t="s">
        <v>356</v>
      </c>
      <c r="I838" s="157" t="s">
        <v>3137</v>
      </c>
      <c r="J838" s="156"/>
      <c r="K838" s="156" t="s">
        <v>673</v>
      </c>
      <c r="L838" s="156"/>
      <c r="M838" s="426" t="s">
        <v>1819</v>
      </c>
      <c r="N838" s="156" t="s">
        <v>3171</v>
      </c>
    </row>
    <row r="839" spans="1:14" hidden="1" x14ac:dyDescent="0.3">
      <c r="A839" s="131">
        <v>29</v>
      </c>
      <c r="B839" s="524"/>
      <c r="C839" s="156" t="s">
        <v>3135</v>
      </c>
      <c r="D839" s="156" t="s">
        <v>307</v>
      </c>
      <c r="E839" s="156" t="s">
        <v>323</v>
      </c>
      <c r="F839" s="156" t="s">
        <v>3138</v>
      </c>
      <c r="G839" s="157" t="s">
        <v>3136</v>
      </c>
      <c r="H839" s="156" t="s">
        <v>3139</v>
      </c>
      <c r="I839" s="157" t="s">
        <v>3140</v>
      </c>
      <c r="J839" s="156" t="s">
        <v>3132</v>
      </c>
      <c r="K839" s="156" t="s">
        <v>673</v>
      </c>
      <c r="L839" s="156"/>
      <c r="M839" s="426" t="s">
        <v>1819</v>
      </c>
      <c r="N839" s="156" t="s">
        <v>3172</v>
      </c>
    </row>
    <row r="840" spans="1:14" hidden="1" x14ac:dyDescent="0.3">
      <c r="A840" s="131">
        <v>29</v>
      </c>
      <c r="B840" s="522" t="s">
        <v>21</v>
      </c>
      <c r="C840" s="119" t="s">
        <v>3173</v>
      </c>
      <c r="D840" s="538" t="s">
        <v>312</v>
      </c>
      <c r="E840" s="538" t="s">
        <v>321</v>
      </c>
      <c r="F840" s="543" t="s">
        <v>2613</v>
      </c>
      <c r="G840" s="543" t="s">
        <v>3141</v>
      </c>
      <c r="H840" s="543" t="s">
        <v>3142</v>
      </c>
      <c r="I840" s="543" t="s">
        <v>3143</v>
      </c>
      <c r="J840" s="543" t="s">
        <v>704</v>
      </c>
      <c r="K840" s="543" t="s">
        <v>3144</v>
      </c>
      <c r="L840" s="538" t="s">
        <v>310</v>
      </c>
      <c r="M840" s="645" t="s">
        <v>1825</v>
      </c>
      <c r="N840" s="538" t="s">
        <v>3174</v>
      </c>
    </row>
    <row r="841" spans="1:14" hidden="1" x14ac:dyDescent="0.3">
      <c r="A841" s="131">
        <v>29</v>
      </c>
      <c r="B841" s="523"/>
      <c r="C841" s="119" t="s">
        <v>3147</v>
      </c>
      <c r="D841" s="539"/>
      <c r="E841" s="539"/>
      <c r="F841" s="544"/>
      <c r="G841" s="544"/>
      <c r="H841" s="544"/>
      <c r="I841" s="544"/>
      <c r="J841" s="544"/>
      <c r="K841" s="544"/>
      <c r="L841" s="539"/>
      <c r="M841" s="647"/>
      <c r="N841" s="539"/>
    </row>
    <row r="842" spans="1:14" hidden="1" x14ac:dyDescent="0.3">
      <c r="A842" s="131">
        <v>29</v>
      </c>
      <c r="B842" s="523"/>
      <c r="C842" s="119" t="s">
        <v>3145</v>
      </c>
      <c r="D842" s="156" t="s">
        <v>312</v>
      </c>
      <c r="E842" s="156" t="s">
        <v>321</v>
      </c>
      <c r="F842" s="157" t="s">
        <v>2613</v>
      </c>
      <c r="G842" s="157" t="s">
        <v>1420</v>
      </c>
      <c r="H842" s="157" t="s">
        <v>1241</v>
      </c>
      <c r="I842" s="157" t="s">
        <v>3146</v>
      </c>
      <c r="J842" s="157"/>
      <c r="K842" s="157" t="s">
        <v>733</v>
      </c>
      <c r="L842" s="156" t="s">
        <v>310</v>
      </c>
      <c r="M842" s="426" t="s">
        <v>1837</v>
      </c>
      <c r="N842" s="156" t="s">
        <v>3174</v>
      </c>
    </row>
    <row r="843" spans="1:14" hidden="1" x14ac:dyDescent="0.3">
      <c r="A843" s="131">
        <v>29</v>
      </c>
      <c r="B843" s="523"/>
      <c r="C843" s="119" t="s">
        <v>3147</v>
      </c>
      <c r="D843" s="157" t="s">
        <v>312</v>
      </c>
      <c r="E843" s="157" t="s">
        <v>321</v>
      </c>
      <c r="F843" s="157" t="s">
        <v>692</v>
      </c>
      <c r="G843" s="157" t="s">
        <v>3148</v>
      </c>
      <c r="H843" s="157" t="s">
        <v>1201</v>
      </c>
      <c r="I843" s="157" t="s">
        <v>3149</v>
      </c>
      <c r="J843" s="157"/>
      <c r="K843" s="157" t="s">
        <v>1780</v>
      </c>
      <c r="L843" s="156" t="s">
        <v>310</v>
      </c>
      <c r="M843" s="426" t="s">
        <v>1540</v>
      </c>
      <c r="N843" s="156" t="s">
        <v>3174</v>
      </c>
    </row>
    <row r="844" spans="1:14" hidden="1" x14ac:dyDescent="0.3">
      <c r="A844" s="131">
        <v>29</v>
      </c>
      <c r="B844" s="523"/>
      <c r="C844" s="119" t="s">
        <v>3165</v>
      </c>
      <c r="D844" s="538" t="s">
        <v>312</v>
      </c>
      <c r="E844" s="538" t="s">
        <v>321</v>
      </c>
      <c r="F844" s="543" t="s">
        <v>3150</v>
      </c>
      <c r="G844" s="543" t="s">
        <v>1928</v>
      </c>
      <c r="H844" s="543" t="s">
        <v>3151</v>
      </c>
      <c r="I844" s="157" t="s">
        <v>3176</v>
      </c>
      <c r="J844" s="543"/>
      <c r="K844" s="543" t="s">
        <v>3152</v>
      </c>
      <c r="L844" s="538" t="s">
        <v>310</v>
      </c>
      <c r="M844" s="543" t="s">
        <v>3178</v>
      </c>
      <c r="N844" s="538" t="s">
        <v>1209</v>
      </c>
    </row>
    <row r="845" spans="1:14" hidden="1" x14ac:dyDescent="0.3">
      <c r="A845" s="131">
        <v>29</v>
      </c>
      <c r="B845" s="523"/>
      <c r="C845" s="119" t="s">
        <v>3175</v>
      </c>
      <c r="D845" s="539"/>
      <c r="E845" s="539"/>
      <c r="F845" s="544"/>
      <c r="G845" s="544"/>
      <c r="H845" s="544"/>
      <c r="I845" s="157" t="s">
        <v>3177</v>
      </c>
      <c r="J845" s="544"/>
      <c r="K845" s="544"/>
      <c r="L845" s="539"/>
      <c r="M845" s="544"/>
      <c r="N845" s="539"/>
    </row>
    <row r="846" spans="1:14" hidden="1" x14ac:dyDescent="0.3">
      <c r="A846" s="131">
        <v>29</v>
      </c>
      <c r="B846" s="523"/>
      <c r="C846" s="119" t="s">
        <v>3165</v>
      </c>
      <c r="D846" s="538" t="s">
        <v>312</v>
      </c>
      <c r="E846" s="538" t="s">
        <v>321</v>
      </c>
      <c r="F846" s="543" t="s">
        <v>2613</v>
      </c>
      <c r="G846" s="543" t="s">
        <v>3141</v>
      </c>
      <c r="H846" s="543" t="s">
        <v>3142</v>
      </c>
      <c r="I846" s="543" t="s">
        <v>3153</v>
      </c>
      <c r="J846" s="543" t="s">
        <v>704</v>
      </c>
      <c r="K846" s="543" t="s">
        <v>1056</v>
      </c>
      <c r="L846" s="538" t="s">
        <v>310</v>
      </c>
      <c r="M846" s="645" t="s">
        <v>3180</v>
      </c>
      <c r="N846" s="538" t="s">
        <v>3181</v>
      </c>
    </row>
    <row r="847" spans="1:14" hidden="1" x14ac:dyDescent="0.3">
      <c r="A847" s="131">
        <v>29</v>
      </c>
      <c r="B847" s="523"/>
      <c r="C847" s="119"/>
      <c r="D847" s="603"/>
      <c r="E847" s="603"/>
      <c r="F847" s="644"/>
      <c r="G847" s="644"/>
      <c r="H847" s="644"/>
      <c r="I847" s="644"/>
      <c r="J847" s="644"/>
      <c r="K847" s="644"/>
      <c r="L847" s="603"/>
      <c r="M847" s="646"/>
      <c r="N847" s="603"/>
    </row>
    <row r="848" spans="1:14" hidden="1" x14ac:dyDescent="0.3">
      <c r="A848" s="131">
        <v>29</v>
      </c>
      <c r="B848" s="523"/>
      <c r="C848" s="119" t="s">
        <v>3179</v>
      </c>
      <c r="D848" s="539"/>
      <c r="E848" s="539"/>
      <c r="F848" s="544"/>
      <c r="G848" s="544"/>
      <c r="H848" s="544"/>
      <c r="I848" s="544"/>
      <c r="J848" s="544"/>
      <c r="K848" s="544"/>
      <c r="L848" s="539"/>
      <c r="M848" s="647"/>
      <c r="N848" s="539"/>
    </row>
    <row r="849" spans="1:14" hidden="1" x14ac:dyDescent="0.3">
      <c r="A849" s="131">
        <v>29</v>
      </c>
      <c r="B849" s="523"/>
      <c r="C849" s="119" t="s">
        <v>3182</v>
      </c>
      <c r="D849" s="538" t="s">
        <v>312</v>
      </c>
      <c r="E849" s="538" t="s">
        <v>321</v>
      </c>
      <c r="F849" s="543" t="s">
        <v>338</v>
      </c>
      <c r="G849" s="543" t="s">
        <v>3154</v>
      </c>
      <c r="H849" s="543" t="s">
        <v>356</v>
      </c>
      <c r="I849" s="543" t="s">
        <v>311</v>
      </c>
      <c r="J849" s="543" t="s">
        <v>640</v>
      </c>
      <c r="K849" s="543" t="s">
        <v>3155</v>
      </c>
      <c r="L849" s="538" t="s">
        <v>310</v>
      </c>
      <c r="M849" s="645" t="s">
        <v>1825</v>
      </c>
      <c r="N849" s="538" t="s">
        <v>3181</v>
      </c>
    </row>
    <row r="850" spans="1:14" hidden="1" x14ac:dyDescent="0.3">
      <c r="A850" s="131">
        <v>29</v>
      </c>
      <c r="B850" s="524"/>
      <c r="C850" s="119" t="s">
        <v>3175</v>
      </c>
      <c r="D850" s="539"/>
      <c r="E850" s="539"/>
      <c r="F850" s="544"/>
      <c r="G850" s="544"/>
      <c r="H850" s="544"/>
      <c r="I850" s="544"/>
      <c r="J850" s="544"/>
      <c r="K850" s="544"/>
      <c r="L850" s="539"/>
      <c r="M850" s="647"/>
      <c r="N850" s="539"/>
    </row>
    <row r="851" spans="1:14" hidden="1" x14ac:dyDescent="0.3">
      <c r="A851" s="131">
        <v>30</v>
      </c>
      <c r="B851" s="650" t="s">
        <v>20</v>
      </c>
      <c r="C851" s="156" t="s">
        <v>3175</v>
      </c>
      <c r="D851" s="156" t="s">
        <v>307</v>
      </c>
      <c r="E851" s="156" t="s">
        <v>323</v>
      </c>
      <c r="F851" s="156" t="s">
        <v>308</v>
      </c>
      <c r="G851" s="157" t="s">
        <v>3184</v>
      </c>
      <c r="H851" s="156" t="s">
        <v>3185</v>
      </c>
      <c r="I851" s="157" t="s">
        <v>3186</v>
      </c>
      <c r="J851" s="156" t="s">
        <v>666</v>
      </c>
      <c r="K851" s="156" t="s">
        <v>3187</v>
      </c>
      <c r="L851" s="156"/>
      <c r="M851" s="156" t="s">
        <v>1540</v>
      </c>
      <c r="N851" s="156" t="s">
        <v>667</v>
      </c>
    </row>
    <row r="852" spans="1:14" hidden="1" x14ac:dyDescent="0.3">
      <c r="A852" s="131">
        <v>30</v>
      </c>
      <c r="B852" s="651"/>
      <c r="C852" s="156" t="s">
        <v>3188</v>
      </c>
      <c r="D852" s="156" t="s">
        <v>307</v>
      </c>
      <c r="E852" s="156" t="s">
        <v>323</v>
      </c>
      <c r="F852" s="156" t="s">
        <v>308</v>
      </c>
      <c r="G852" s="157" t="s">
        <v>3189</v>
      </c>
      <c r="H852" s="156" t="s">
        <v>1241</v>
      </c>
      <c r="I852" s="157" t="s">
        <v>3190</v>
      </c>
      <c r="J852" s="156" t="s">
        <v>1539</v>
      </c>
      <c r="K852" s="156" t="s">
        <v>3191</v>
      </c>
      <c r="L852" s="156"/>
      <c r="M852" s="156" t="s">
        <v>1819</v>
      </c>
      <c r="N852" s="156" t="s">
        <v>427</v>
      </c>
    </row>
    <row r="853" spans="1:14" hidden="1" x14ac:dyDescent="0.3">
      <c r="A853" s="131">
        <v>30</v>
      </c>
      <c r="B853" s="651"/>
      <c r="C853" s="156" t="s">
        <v>3192</v>
      </c>
      <c r="D853" s="538" t="s">
        <v>307</v>
      </c>
      <c r="E853" s="538" t="s">
        <v>323</v>
      </c>
      <c r="F853" s="538" t="s">
        <v>308</v>
      </c>
      <c r="G853" s="543" t="s">
        <v>3133</v>
      </c>
      <c r="H853" s="538" t="s">
        <v>2003</v>
      </c>
      <c r="I853" s="543" t="s">
        <v>3194</v>
      </c>
      <c r="J853" s="538" t="s">
        <v>666</v>
      </c>
      <c r="K853" s="156" t="s">
        <v>3195</v>
      </c>
      <c r="L853" s="538"/>
      <c r="M853" s="538" t="s">
        <v>3196</v>
      </c>
      <c r="N853" s="538" t="s">
        <v>667</v>
      </c>
    </row>
    <row r="854" spans="1:14" hidden="1" x14ac:dyDescent="0.3">
      <c r="A854" s="131">
        <v>30</v>
      </c>
      <c r="B854" s="651"/>
      <c r="C854" s="156" t="s">
        <v>3193</v>
      </c>
      <c r="D854" s="539"/>
      <c r="E854" s="539"/>
      <c r="F854" s="539"/>
      <c r="G854" s="544"/>
      <c r="H854" s="539"/>
      <c r="I854" s="544"/>
      <c r="J854" s="539"/>
      <c r="K854" s="156" t="s">
        <v>657</v>
      </c>
      <c r="L854" s="539"/>
      <c r="M854" s="539"/>
      <c r="N854" s="539"/>
    </row>
    <row r="855" spans="1:14" hidden="1" x14ac:dyDescent="0.3">
      <c r="A855" s="131">
        <v>30</v>
      </c>
      <c r="B855" s="652"/>
      <c r="C855" s="156" t="s">
        <v>3197</v>
      </c>
      <c r="D855" s="156" t="s">
        <v>307</v>
      </c>
      <c r="E855" s="156" t="s">
        <v>323</v>
      </c>
      <c r="F855" s="156" t="s">
        <v>308</v>
      </c>
      <c r="G855" s="157" t="s">
        <v>3198</v>
      </c>
      <c r="H855" s="156" t="s">
        <v>3199</v>
      </c>
      <c r="I855" s="157" t="s">
        <v>3200</v>
      </c>
      <c r="J855" s="156" t="s">
        <v>666</v>
      </c>
      <c r="K855" s="156" t="s">
        <v>3201</v>
      </c>
      <c r="L855" s="156"/>
      <c r="M855" s="156" t="s">
        <v>1819</v>
      </c>
      <c r="N855" s="156" t="s">
        <v>667</v>
      </c>
    </row>
    <row r="856" spans="1:14" hidden="1" x14ac:dyDescent="0.3">
      <c r="A856" s="131">
        <v>30</v>
      </c>
      <c r="B856" s="522" t="s">
        <v>3202</v>
      </c>
      <c r="C856" s="648" t="s">
        <v>3203</v>
      </c>
      <c r="D856" s="538" t="s">
        <v>312</v>
      </c>
      <c r="E856" s="538" t="s">
        <v>321</v>
      </c>
      <c r="F856" s="543" t="s">
        <v>2613</v>
      </c>
      <c r="G856" s="543" t="s">
        <v>2763</v>
      </c>
      <c r="H856" s="543" t="s">
        <v>349</v>
      </c>
      <c r="I856" s="543" t="s">
        <v>3204</v>
      </c>
      <c r="J856" s="543" t="s">
        <v>640</v>
      </c>
      <c r="K856" s="543" t="s">
        <v>700</v>
      </c>
      <c r="L856" s="538" t="s">
        <v>310</v>
      </c>
      <c r="M856" s="538" t="s">
        <v>1819</v>
      </c>
      <c r="N856" s="156" t="s">
        <v>3205</v>
      </c>
    </row>
    <row r="857" spans="1:14" hidden="1" x14ac:dyDescent="0.3">
      <c r="A857" s="131">
        <v>30</v>
      </c>
      <c r="B857" s="523"/>
      <c r="C857" s="649"/>
      <c r="D857" s="539"/>
      <c r="E857" s="539"/>
      <c r="F857" s="544"/>
      <c r="G857" s="544"/>
      <c r="H857" s="544"/>
      <c r="I857" s="544"/>
      <c r="J857" s="544"/>
      <c r="K857" s="544"/>
      <c r="L857" s="539"/>
      <c r="M857" s="539"/>
      <c r="N857" s="156" t="s">
        <v>3206</v>
      </c>
    </row>
    <row r="858" spans="1:14" ht="16.5" hidden="1" customHeight="1" x14ac:dyDescent="0.3">
      <c r="A858" s="131">
        <v>30</v>
      </c>
      <c r="B858" s="523"/>
      <c r="C858" s="648" t="s">
        <v>3203</v>
      </c>
      <c r="D858" s="538" t="s">
        <v>312</v>
      </c>
      <c r="E858" s="538" t="s">
        <v>321</v>
      </c>
      <c r="F858" s="543" t="s">
        <v>711</v>
      </c>
      <c r="G858" s="157" t="s">
        <v>3207</v>
      </c>
      <c r="H858" s="543" t="s">
        <v>642</v>
      </c>
      <c r="I858" s="543" t="s">
        <v>3208</v>
      </c>
      <c r="J858" s="543"/>
      <c r="K858" s="543" t="s">
        <v>694</v>
      </c>
      <c r="L858" s="538" t="s">
        <v>310</v>
      </c>
      <c r="M858" s="538" t="s">
        <v>1540</v>
      </c>
      <c r="N858" s="538" t="s">
        <v>1781</v>
      </c>
    </row>
    <row r="859" spans="1:14" hidden="1" x14ac:dyDescent="0.3">
      <c r="A859" s="131">
        <v>30</v>
      </c>
      <c r="B859" s="523"/>
      <c r="C859" s="649"/>
      <c r="D859" s="539"/>
      <c r="E859" s="539"/>
      <c r="F859" s="544"/>
      <c r="G859" s="157">
        <v>2651</v>
      </c>
      <c r="H859" s="544"/>
      <c r="I859" s="544"/>
      <c r="J859" s="544"/>
      <c r="K859" s="544"/>
      <c r="L859" s="539"/>
      <c r="M859" s="539"/>
      <c r="N859" s="539"/>
    </row>
    <row r="860" spans="1:14" hidden="1" x14ac:dyDescent="0.3">
      <c r="A860" s="131">
        <v>30</v>
      </c>
      <c r="B860" s="523"/>
      <c r="C860" s="648" t="s">
        <v>3209</v>
      </c>
      <c r="D860" s="538" t="s">
        <v>312</v>
      </c>
      <c r="E860" s="538" t="s">
        <v>321</v>
      </c>
      <c r="F860" s="543" t="s">
        <v>722</v>
      </c>
      <c r="G860" s="543" t="s">
        <v>1765</v>
      </c>
      <c r="H860" s="543" t="s">
        <v>349</v>
      </c>
      <c r="I860" s="157" t="s">
        <v>3210</v>
      </c>
      <c r="J860" s="543"/>
      <c r="K860" s="543" t="s">
        <v>3212</v>
      </c>
      <c r="L860" s="538" t="s">
        <v>310</v>
      </c>
      <c r="M860" s="538" t="s">
        <v>1942</v>
      </c>
      <c r="N860" s="538" t="s">
        <v>1209</v>
      </c>
    </row>
    <row r="861" spans="1:14" hidden="1" x14ac:dyDescent="0.3">
      <c r="A861" s="131">
        <v>30</v>
      </c>
      <c r="B861" s="523"/>
      <c r="C861" s="649"/>
      <c r="D861" s="539"/>
      <c r="E861" s="539"/>
      <c r="F861" s="544"/>
      <c r="G861" s="544"/>
      <c r="H861" s="544"/>
      <c r="I861" s="157" t="s">
        <v>3211</v>
      </c>
      <c r="J861" s="544"/>
      <c r="K861" s="544"/>
      <c r="L861" s="539"/>
      <c r="M861" s="539"/>
      <c r="N861" s="539"/>
    </row>
    <row r="862" spans="1:14" hidden="1" x14ac:dyDescent="0.3">
      <c r="A862" s="131">
        <v>30</v>
      </c>
      <c r="B862" s="523"/>
      <c r="C862" s="119" t="s">
        <v>3213</v>
      </c>
      <c r="D862" s="538" t="s">
        <v>312</v>
      </c>
      <c r="E862" s="538" t="s">
        <v>321</v>
      </c>
      <c r="F862" s="543" t="s">
        <v>692</v>
      </c>
      <c r="G862" s="543" t="s">
        <v>3148</v>
      </c>
      <c r="H862" s="543" t="s">
        <v>356</v>
      </c>
      <c r="I862" s="543" t="s">
        <v>3215</v>
      </c>
      <c r="J862" s="543" t="s">
        <v>640</v>
      </c>
      <c r="K862" s="543" t="s">
        <v>657</v>
      </c>
      <c r="L862" s="538" t="s">
        <v>310</v>
      </c>
      <c r="M862" s="538" t="s">
        <v>1540</v>
      </c>
      <c r="N862" s="538" t="s">
        <v>1209</v>
      </c>
    </row>
    <row r="863" spans="1:14" hidden="1" x14ac:dyDescent="0.3">
      <c r="A863" s="131">
        <v>30</v>
      </c>
      <c r="B863" s="523"/>
      <c r="C863" s="119" t="s">
        <v>3214</v>
      </c>
      <c r="D863" s="539"/>
      <c r="E863" s="539"/>
      <c r="F863" s="544"/>
      <c r="G863" s="544"/>
      <c r="H863" s="544"/>
      <c r="I863" s="544"/>
      <c r="J863" s="544"/>
      <c r="K863" s="544"/>
      <c r="L863" s="539"/>
      <c r="M863" s="539"/>
      <c r="N863" s="539"/>
    </row>
    <row r="864" spans="1:14" hidden="1" x14ac:dyDescent="0.3">
      <c r="A864" s="131">
        <v>30</v>
      </c>
      <c r="B864" s="523"/>
      <c r="C864" s="119" t="s">
        <v>3216</v>
      </c>
      <c r="D864" s="538" t="s">
        <v>312</v>
      </c>
      <c r="E864" s="538" t="s">
        <v>321</v>
      </c>
      <c r="F864" s="543" t="s">
        <v>338</v>
      </c>
      <c r="G864" s="543" t="s">
        <v>3154</v>
      </c>
      <c r="H864" s="543" t="s">
        <v>356</v>
      </c>
      <c r="I864" s="543" t="s">
        <v>3217</v>
      </c>
      <c r="J864" s="543" t="s">
        <v>640</v>
      </c>
      <c r="K864" s="543" t="s">
        <v>715</v>
      </c>
      <c r="L864" s="538" t="s">
        <v>310</v>
      </c>
      <c r="M864" s="538" t="s">
        <v>1819</v>
      </c>
      <c r="N864" s="538" t="s">
        <v>1209</v>
      </c>
    </row>
    <row r="865" spans="1:14" hidden="1" x14ac:dyDescent="0.3">
      <c r="A865" s="131">
        <v>30</v>
      </c>
      <c r="B865" s="523"/>
      <c r="C865" s="119" t="s">
        <v>3193</v>
      </c>
      <c r="D865" s="539"/>
      <c r="E865" s="539"/>
      <c r="F865" s="544"/>
      <c r="G865" s="544"/>
      <c r="H865" s="544"/>
      <c r="I865" s="544"/>
      <c r="J865" s="544"/>
      <c r="K865" s="544"/>
      <c r="L865" s="539"/>
      <c r="M865" s="539"/>
      <c r="N865" s="539"/>
    </row>
    <row r="866" spans="1:14" ht="25.5" hidden="1" x14ac:dyDescent="0.3">
      <c r="A866" s="131">
        <v>30</v>
      </c>
      <c r="B866" s="523"/>
      <c r="C866" s="119" t="s">
        <v>3214</v>
      </c>
      <c r="D866" s="156" t="s">
        <v>312</v>
      </c>
      <c r="E866" s="156" t="s">
        <v>321</v>
      </c>
      <c r="F866" s="157" t="s">
        <v>2613</v>
      </c>
      <c r="G866" s="157" t="s">
        <v>1420</v>
      </c>
      <c r="H866" s="157" t="s">
        <v>1241</v>
      </c>
      <c r="I866" s="157" t="s">
        <v>3218</v>
      </c>
      <c r="J866" s="157" t="s">
        <v>3219</v>
      </c>
      <c r="K866" s="157" t="s">
        <v>733</v>
      </c>
      <c r="L866" s="156" t="s">
        <v>310</v>
      </c>
      <c r="M866" s="156" t="s">
        <v>1837</v>
      </c>
      <c r="N866" s="156" t="s">
        <v>1209</v>
      </c>
    </row>
    <row r="867" spans="1:14" hidden="1" x14ac:dyDescent="0.3">
      <c r="A867" s="131">
        <v>30</v>
      </c>
      <c r="B867" s="523"/>
      <c r="C867" s="648" t="s">
        <v>3197</v>
      </c>
      <c r="D867" s="538" t="s">
        <v>312</v>
      </c>
      <c r="E867" s="538" t="s">
        <v>677</v>
      </c>
      <c r="F867" s="543" t="s">
        <v>662</v>
      </c>
      <c r="G867" s="543" t="s">
        <v>663</v>
      </c>
      <c r="H867" s="543" t="s">
        <v>664</v>
      </c>
      <c r="I867" s="157" t="s">
        <v>3220</v>
      </c>
      <c r="J867" s="543" t="s">
        <v>640</v>
      </c>
      <c r="K867" s="543" t="s">
        <v>733</v>
      </c>
      <c r="L867" s="538" t="s">
        <v>310</v>
      </c>
      <c r="M867" s="538" t="s">
        <v>1837</v>
      </c>
      <c r="N867" s="538" t="s">
        <v>3222</v>
      </c>
    </row>
    <row r="868" spans="1:14" hidden="1" x14ac:dyDescent="0.3">
      <c r="A868" s="131">
        <v>30</v>
      </c>
      <c r="B868" s="524"/>
      <c r="C868" s="649"/>
      <c r="D868" s="539"/>
      <c r="E868" s="539"/>
      <c r="F868" s="544"/>
      <c r="G868" s="544"/>
      <c r="H868" s="544"/>
      <c r="I868" s="157" t="s">
        <v>3221</v>
      </c>
      <c r="J868" s="544"/>
      <c r="K868" s="544"/>
      <c r="L868" s="539"/>
      <c r="M868" s="539"/>
      <c r="N868" s="539"/>
    </row>
    <row r="869" spans="1:14" ht="25.5" hidden="1" x14ac:dyDescent="0.3">
      <c r="A869" s="131">
        <v>31</v>
      </c>
      <c r="B869" s="522" t="s">
        <v>308</v>
      </c>
      <c r="C869" s="156" t="s">
        <v>3223</v>
      </c>
      <c r="D869" s="156" t="s">
        <v>307</v>
      </c>
      <c r="E869" s="156" t="s">
        <v>323</v>
      </c>
      <c r="F869" s="156" t="s">
        <v>308</v>
      </c>
      <c r="G869" s="157" t="s">
        <v>3184</v>
      </c>
      <c r="H869" s="156" t="s">
        <v>3185</v>
      </c>
      <c r="I869" s="157" t="s">
        <v>3224</v>
      </c>
      <c r="J869" s="156" t="s">
        <v>666</v>
      </c>
      <c r="K869" s="156" t="s">
        <v>3191</v>
      </c>
      <c r="L869" s="156"/>
      <c r="M869" s="156" t="s">
        <v>3225</v>
      </c>
      <c r="N869" s="156" t="s">
        <v>667</v>
      </c>
    </row>
    <row r="870" spans="1:14" ht="16.5" hidden="1" customHeight="1" x14ac:dyDescent="0.3">
      <c r="A870" s="131">
        <v>31</v>
      </c>
      <c r="B870" s="523"/>
      <c r="C870" s="156" t="s">
        <v>3226</v>
      </c>
      <c r="D870" s="538" t="s">
        <v>307</v>
      </c>
      <c r="E870" s="538" t="s">
        <v>323</v>
      </c>
      <c r="F870" s="538" t="s">
        <v>308</v>
      </c>
      <c r="G870" s="543">
        <v>1566</v>
      </c>
      <c r="H870" s="538" t="s">
        <v>1920</v>
      </c>
      <c r="I870" s="543" t="s">
        <v>3228</v>
      </c>
      <c r="J870" s="538" t="s">
        <v>666</v>
      </c>
      <c r="K870" s="538" t="s">
        <v>3229</v>
      </c>
      <c r="L870" s="538"/>
      <c r="M870" s="538" t="s">
        <v>3230</v>
      </c>
      <c r="N870" s="538" t="s">
        <v>667</v>
      </c>
    </row>
    <row r="871" spans="1:14" hidden="1" x14ac:dyDescent="0.3">
      <c r="A871" s="131">
        <v>31</v>
      </c>
      <c r="B871" s="523"/>
      <c r="C871" s="156" t="s">
        <v>3227</v>
      </c>
      <c r="D871" s="539"/>
      <c r="E871" s="539"/>
      <c r="F871" s="539"/>
      <c r="G871" s="544"/>
      <c r="H871" s="539"/>
      <c r="I871" s="544"/>
      <c r="J871" s="539"/>
      <c r="K871" s="539"/>
      <c r="L871" s="539"/>
      <c r="M871" s="539"/>
      <c r="N871" s="539"/>
    </row>
    <row r="872" spans="1:14" ht="25.5" hidden="1" x14ac:dyDescent="0.3">
      <c r="A872" s="131">
        <v>31</v>
      </c>
      <c r="B872" s="523"/>
      <c r="C872" s="156" t="s">
        <v>3231</v>
      </c>
      <c r="D872" s="156" t="s">
        <v>307</v>
      </c>
      <c r="E872" s="156" t="s">
        <v>323</v>
      </c>
      <c r="F872" s="156" t="s">
        <v>308</v>
      </c>
      <c r="G872" s="157">
        <v>1567</v>
      </c>
      <c r="H872" s="156" t="s">
        <v>1920</v>
      </c>
      <c r="I872" s="157" t="s">
        <v>2734</v>
      </c>
      <c r="J872" s="156" t="s">
        <v>666</v>
      </c>
      <c r="K872" s="156" t="s">
        <v>3201</v>
      </c>
      <c r="L872" s="156"/>
      <c r="M872" s="156" t="s">
        <v>3225</v>
      </c>
      <c r="N872" s="156" t="s">
        <v>667</v>
      </c>
    </row>
    <row r="873" spans="1:14" ht="16.5" hidden="1" customHeight="1" x14ac:dyDescent="0.3">
      <c r="A873" s="131">
        <v>31</v>
      </c>
      <c r="B873" s="523"/>
      <c r="C873" s="427" t="s">
        <v>3226</v>
      </c>
      <c r="D873" s="538" t="s">
        <v>307</v>
      </c>
      <c r="E873" s="538" t="s">
        <v>323</v>
      </c>
      <c r="F873" s="538" t="s">
        <v>308</v>
      </c>
      <c r="G873" s="543" t="s">
        <v>3233</v>
      </c>
      <c r="H873" s="538" t="s">
        <v>3234</v>
      </c>
      <c r="I873" s="543" t="s">
        <v>333</v>
      </c>
      <c r="J873" s="538" t="s">
        <v>1539</v>
      </c>
      <c r="K873" s="538" t="s">
        <v>1160</v>
      </c>
      <c r="L873" s="538"/>
      <c r="M873" s="538" t="s">
        <v>3235</v>
      </c>
      <c r="N873" s="538" t="s">
        <v>427</v>
      </c>
    </row>
    <row r="874" spans="1:14" hidden="1" x14ac:dyDescent="0.3">
      <c r="A874" s="131">
        <v>31</v>
      </c>
      <c r="B874" s="524"/>
      <c r="C874" s="427" t="s">
        <v>3232</v>
      </c>
      <c r="D874" s="539"/>
      <c r="E874" s="539"/>
      <c r="F874" s="539"/>
      <c r="G874" s="544"/>
      <c r="H874" s="539"/>
      <c r="I874" s="544"/>
      <c r="J874" s="539"/>
      <c r="K874" s="539"/>
      <c r="L874" s="539"/>
      <c r="M874" s="539"/>
      <c r="N874" s="539"/>
    </row>
    <row r="875" spans="1:14" ht="25.5" hidden="1" x14ac:dyDescent="0.3">
      <c r="A875" s="131">
        <v>31</v>
      </c>
      <c r="B875" s="522" t="s">
        <v>21</v>
      </c>
      <c r="C875" s="156" t="s">
        <v>3214</v>
      </c>
      <c r="D875" s="156" t="s">
        <v>312</v>
      </c>
      <c r="E875" s="156" t="s">
        <v>321</v>
      </c>
      <c r="F875" s="157" t="s">
        <v>2613</v>
      </c>
      <c r="G875" s="157" t="s">
        <v>1420</v>
      </c>
      <c r="H875" s="157" t="s">
        <v>1421</v>
      </c>
      <c r="I875" s="157" t="s">
        <v>3236</v>
      </c>
      <c r="J875" s="157"/>
      <c r="K875" s="157" t="s">
        <v>700</v>
      </c>
      <c r="L875" s="156" t="s">
        <v>310</v>
      </c>
      <c r="M875" s="156" t="s">
        <v>3225</v>
      </c>
      <c r="N875" s="156" t="s">
        <v>3237</v>
      </c>
    </row>
    <row r="876" spans="1:14" ht="16.5" hidden="1" customHeight="1" x14ac:dyDescent="0.3">
      <c r="A876" s="131">
        <v>31</v>
      </c>
      <c r="B876" s="523"/>
      <c r="C876" s="538" t="s">
        <v>3214</v>
      </c>
      <c r="D876" s="538" t="s">
        <v>312</v>
      </c>
      <c r="E876" s="538" t="s">
        <v>677</v>
      </c>
      <c r="F876" s="543" t="s">
        <v>662</v>
      </c>
      <c r="G876" s="543" t="s">
        <v>663</v>
      </c>
      <c r="H876" s="543" t="s">
        <v>664</v>
      </c>
      <c r="I876" s="157" t="s">
        <v>3220</v>
      </c>
      <c r="J876" s="543"/>
      <c r="K876" s="543" t="s">
        <v>700</v>
      </c>
      <c r="L876" s="538" t="s">
        <v>310</v>
      </c>
      <c r="M876" s="538" t="s">
        <v>3225</v>
      </c>
      <c r="N876" s="538" t="s">
        <v>3238</v>
      </c>
    </row>
    <row r="877" spans="1:14" hidden="1" x14ac:dyDescent="0.3">
      <c r="A877" s="131">
        <v>31</v>
      </c>
      <c r="B877" s="523"/>
      <c r="C877" s="539"/>
      <c r="D877" s="539"/>
      <c r="E877" s="539"/>
      <c r="F877" s="544"/>
      <c r="G877" s="544"/>
      <c r="H877" s="544"/>
      <c r="I877" s="157" t="s">
        <v>3221</v>
      </c>
      <c r="J877" s="544"/>
      <c r="K877" s="544"/>
      <c r="L877" s="539"/>
      <c r="M877" s="539"/>
      <c r="N877" s="539"/>
    </row>
    <row r="878" spans="1:14" ht="16.5" hidden="1" customHeight="1" x14ac:dyDescent="0.3">
      <c r="A878" s="131">
        <v>31</v>
      </c>
      <c r="B878" s="523"/>
      <c r="C878" s="156" t="s">
        <v>3239</v>
      </c>
      <c r="D878" s="538" t="s">
        <v>312</v>
      </c>
      <c r="E878" s="538" t="s">
        <v>321</v>
      </c>
      <c r="F878" s="543" t="s">
        <v>3150</v>
      </c>
      <c r="G878" s="543" t="s">
        <v>1928</v>
      </c>
      <c r="H878" s="543" t="s">
        <v>3151</v>
      </c>
      <c r="I878" s="543" t="s">
        <v>3240</v>
      </c>
      <c r="J878" s="543"/>
      <c r="K878" s="543" t="s">
        <v>3241</v>
      </c>
      <c r="L878" s="538" t="s">
        <v>310</v>
      </c>
      <c r="M878" s="538" t="s">
        <v>3242</v>
      </c>
      <c r="N878" s="538" t="s">
        <v>3237</v>
      </c>
    </row>
    <row r="879" spans="1:14" hidden="1" x14ac:dyDescent="0.3">
      <c r="A879" s="131">
        <v>31</v>
      </c>
      <c r="B879" s="523"/>
      <c r="C879" s="156" t="s">
        <v>3197</v>
      </c>
      <c r="D879" s="539"/>
      <c r="E879" s="539"/>
      <c r="F879" s="544"/>
      <c r="G879" s="544"/>
      <c r="H879" s="544"/>
      <c r="I879" s="544"/>
      <c r="J879" s="544"/>
      <c r="K879" s="544"/>
      <c r="L879" s="539"/>
      <c r="M879" s="539"/>
      <c r="N879" s="539"/>
    </row>
    <row r="880" spans="1:14" ht="25.5" hidden="1" x14ac:dyDescent="0.3">
      <c r="A880" s="131">
        <v>31</v>
      </c>
      <c r="B880" s="523"/>
      <c r="C880" s="156" t="s">
        <v>3197</v>
      </c>
      <c r="D880" s="156" t="s">
        <v>312</v>
      </c>
      <c r="E880" s="156" t="s">
        <v>321</v>
      </c>
      <c r="F880" s="157" t="s">
        <v>1935</v>
      </c>
      <c r="G880" s="157" t="s">
        <v>1936</v>
      </c>
      <c r="H880" s="157" t="s">
        <v>349</v>
      </c>
      <c r="I880" s="157" t="s">
        <v>3243</v>
      </c>
      <c r="J880" s="157" t="s">
        <v>640</v>
      </c>
      <c r="K880" s="157" t="s">
        <v>1933</v>
      </c>
      <c r="L880" s="156" t="s">
        <v>310</v>
      </c>
      <c r="M880" s="156" t="s">
        <v>3244</v>
      </c>
      <c r="N880" s="156" t="s">
        <v>3238</v>
      </c>
    </row>
    <row r="881" spans="1:14" ht="25.5" hidden="1" x14ac:dyDescent="0.3">
      <c r="A881" s="131">
        <v>31</v>
      </c>
      <c r="B881" s="523"/>
      <c r="C881" s="119" t="s">
        <v>3223</v>
      </c>
      <c r="D881" s="156" t="s">
        <v>312</v>
      </c>
      <c r="E881" s="156" t="s">
        <v>321</v>
      </c>
      <c r="F881" s="428" t="s">
        <v>3245</v>
      </c>
      <c r="G881" s="157" t="s">
        <v>3246</v>
      </c>
      <c r="H881" s="157" t="s">
        <v>3247</v>
      </c>
      <c r="I881" s="157" t="s">
        <v>3248</v>
      </c>
      <c r="J881" s="157" t="s">
        <v>704</v>
      </c>
      <c r="K881" s="157" t="s">
        <v>3249</v>
      </c>
      <c r="L881" s="156" t="s">
        <v>310</v>
      </c>
      <c r="M881" s="156" t="s">
        <v>3250</v>
      </c>
      <c r="N881" s="156" t="s">
        <v>1209</v>
      </c>
    </row>
    <row r="882" spans="1:14" ht="25.5" hidden="1" x14ac:dyDescent="0.3">
      <c r="A882" s="131">
        <v>31</v>
      </c>
      <c r="B882" s="523"/>
      <c r="C882" s="119" t="s">
        <v>3231</v>
      </c>
      <c r="D882" s="156" t="s">
        <v>312</v>
      </c>
      <c r="E882" s="156" t="s">
        <v>321</v>
      </c>
      <c r="F882" s="157" t="s">
        <v>722</v>
      </c>
      <c r="G882" s="157" t="s">
        <v>1765</v>
      </c>
      <c r="H882" s="157" t="s">
        <v>349</v>
      </c>
      <c r="I882" s="157" t="s">
        <v>3251</v>
      </c>
      <c r="J882" s="157"/>
      <c r="K882" s="157" t="s">
        <v>700</v>
      </c>
      <c r="L882" s="156" t="s">
        <v>310</v>
      </c>
      <c r="M882" s="156" t="s">
        <v>3225</v>
      </c>
      <c r="N882" s="156" t="s">
        <v>1209</v>
      </c>
    </row>
    <row r="883" spans="1:14" ht="16.5" hidden="1" customHeight="1" x14ac:dyDescent="0.3">
      <c r="A883" s="131">
        <v>31</v>
      </c>
      <c r="B883" s="523"/>
      <c r="C883" s="119" t="s">
        <v>3252</v>
      </c>
      <c r="D883" s="538" t="s">
        <v>312</v>
      </c>
      <c r="E883" s="538" t="s">
        <v>321</v>
      </c>
      <c r="F883" s="543" t="s">
        <v>338</v>
      </c>
      <c r="G883" s="543" t="s">
        <v>3254</v>
      </c>
      <c r="H883" s="543" t="s">
        <v>3255</v>
      </c>
      <c r="I883" s="543" t="s">
        <v>3256</v>
      </c>
      <c r="J883" s="543" t="s">
        <v>3257</v>
      </c>
      <c r="K883" s="543" t="s">
        <v>3258</v>
      </c>
      <c r="L883" s="538" t="s">
        <v>310</v>
      </c>
      <c r="M883" s="538" t="s">
        <v>3259</v>
      </c>
      <c r="N883" s="538" t="s">
        <v>3222</v>
      </c>
    </row>
    <row r="884" spans="1:14" hidden="1" x14ac:dyDescent="0.3">
      <c r="A884" s="131">
        <v>31</v>
      </c>
      <c r="B884" s="524"/>
      <c r="C884" s="119" t="s">
        <v>3253</v>
      </c>
      <c r="D884" s="539"/>
      <c r="E884" s="539"/>
      <c r="F884" s="544"/>
      <c r="G884" s="544"/>
      <c r="H884" s="544"/>
      <c r="I884" s="544"/>
      <c r="J884" s="544"/>
      <c r="K884" s="544"/>
      <c r="L884" s="539"/>
      <c r="M884" s="539"/>
      <c r="N884" s="539"/>
    </row>
    <row r="885" spans="1:14" ht="27" hidden="1" x14ac:dyDescent="0.3">
      <c r="A885" s="131">
        <v>32</v>
      </c>
      <c r="B885" s="653" t="s">
        <v>3287</v>
      </c>
      <c r="C885" s="49" t="s">
        <v>3260</v>
      </c>
      <c r="D885" s="49" t="s">
        <v>307</v>
      </c>
      <c r="E885" s="49" t="s">
        <v>323</v>
      </c>
      <c r="F885" s="49" t="s">
        <v>308</v>
      </c>
      <c r="G885" s="277">
        <v>1567</v>
      </c>
      <c r="H885" s="49" t="s">
        <v>3261</v>
      </c>
      <c r="I885" s="277" t="s">
        <v>1098</v>
      </c>
      <c r="J885" s="49" t="s">
        <v>666</v>
      </c>
      <c r="K885" s="49" t="s">
        <v>3262</v>
      </c>
      <c r="L885" s="49"/>
      <c r="M885" s="430">
        <v>500000</v>
      </c>
      <c r="N885" s="49" t="s">
        <v>667</v>
      </c>
    </row>
    <row r="886" spans="1:14" hidden="1" x14ac:dyDescent="0.3">
      <c r="A886" s="131">
        <v>32</v>
      </c>
      <c r="B886" s="654"/>
      <c r="C886" s="49" t="s">
        <v>3263</v>
      </c>
      <c r="D886" s="49" t="s">
        <v>307</v>
      </c>
      <c r="E886" s="49" t="s">
        <v>323</v>
      </c>
      <c r="F886" s="49" t="s">
        <v>308</v>
      </c>
      <c r="G886" s="277" t="s">
        <v>3154</v>
      </c>
      <c r="H886" s="277" t="s">
        <v>356</v>
      </c>
      <c r="I886" s="277" t="s">
        <v>3264</v>
      </c>
      <c r="J886" s="49" t="s">
        <v>666</v>
      </c>
      <c r="K886" s="49" t="s">
        <v>3191</v>
      </c>
      <c r="L886" s="49"/>
      <c r="M886" s="430">
        <v>250000</v>
      </c>
      <c r="N886" s="49" t="s">
        <v>3265</v>
      </c>
    </row>
    <row r="887" spans="1:14" ht="40.5" hidden="1" x14ac:dyDescent="0.3">
      <c r="A887" s="131">
        <v>32</v>
      </c>
      <c r="B887" s="654"/>
      <c r="C887" s="49" t="s">
        <v>3266</v>
      </c>
      <c r="D887" s="49" t="s">
        <v>307</v>
      </c>
      <c r="E887" s="49" t="s">
        <v>323</v>
      </c>
      <c r="F887" s="49" t="s">
        <v>308</v>
      </c>
      <c r="G887" s="277" t="s">
        <v>3184</v>
      </c>
      <c r="H887" s="49" t="s">
        <v>3185</v>
      </c>
      <c r="I887" s="277" t="s">
        <v>3267</v>
      </c>
      <c r="J887" s="49" t="s">
        <v>666</v>
      </c>
      <c r="K887" s="49" t="s">
        <v>3268</v>
      </c>
      <c r="L887" s="49"/>
      <c r="M887" s="430">
        <v>1250000</v>
      </c>
      <c r="N887" s="49" t="s">
        <v>667</v>
      </c>
    </row>
    <row r="888" spans="1:14" ht="27" hidden="1" x14ac:dyDescent="0.3">
      <c r="A888" s="131">
        <v>32</v>
      </c>
      <c r="B888" s="655"/>
      <c r="C888" s="49" t="s">
        <v>3269</v>
      </c>
      <c r="D888" s="49" t="s">
        <v>307</v>
      </c>
      <c r="E888" s="49" t="s">
        <v>323</v>
      </c>
      <c r="F888" s="49" t="s">
        <v>308</v>
      </c>
      <c r="G888" s="277" t="s">
        <v>3133</v>
      </c>
      <c r="H888" s="49" t="s">
        <v>2003</v>
      </c>
      <c r="I888" s="277" t="s">
        <v>3270</v>
      </c>
      <c r="J888" s="49" t="s">
        <v>666</v>
      </c>
      <c r="K888" s="49" t="s">
        <v>3187</v>
      </c>
      <c r="L888" s="49"/>
      <c r="M888" s="430">
        <v>500000</v>
      </c>
      <c r="N888" s="49" t="s">
        <v>427</v>
      </c>
    </row>
    <row r="889" spans="1:14" hidden="1" x14ac:dyDescent="0.3">
      <c r="A889" s="131">
        <v>32</v>
      </c>
      <c r="B889" s="653" t="s">
        <v>3288</v>
      </c>
      <c r="C889" s="49" t="s">
        <v>3271</v>
      </c>
      <c r="D889" s="49" t="s">
        <v>312</v>
      </c>
      <c r="E889" s="49" t="s">
        <v>321</v>
      </c>
      <c r="F889" s="277" t="s">
        <v>2613</v>
      </c>
      <c r="G889" s="277" t="s">
        <v>1420</v>
      </c>
      <c r="H889" s="277" t="s">
        <v>1421</v>
      </c>
      <c r="I889" s="277" t="s">
        <v>3272</v>
      </c>
      <c r="J889" s="277" t="s">
        <v>640</v>
      </c>
      <c r="K889" s="277" t="s">
        <v>3273</v>
      </c>
      <c r="L889" s="49" t="s">
        <v>310</v>
      </c>
      <c r="M889" s="430">
        <v>250000</v>
      </c>
      <c r="N889" s="49" t="s">
        <v>1209</v>
      </c>
    </row>
    <row r="890" spans="1:14" hidden="1" x14ac:dyDescent="0.3">
      <c r="A890" s="131">
        <v>32</v>
      </c>
      <c r="B890" s="654"/>
      <c r="C890" s="429" t="s">
        <v>3274</v>
      </c>
      <c r="D890" s="49" t="s">
        <v>312</v>
      </c>
      <c r="E890" s="49" t="s">
        <v>677</v>
      </c>
      <c r="F890" s="277" t="s">
        <v>722</v>
      </c>
      <c r="G890" s="277" t="s">
        <v>3275</v>
      </c>
      <c r="H890" s="277" t="s">
        <v>349</v>
      </c>
      <c r="I890" s="277" t="s">
        <v>3276</v>
      </c>
      <c r="J890" s="277" t="s">
        <v>640</v>
      </c>
      <c r="K890" s="277" t="s">
        <v>715</v>
      </c>
      <c r="L890" s="49" t="s">
        <v>310</v>
      </c>
      <c r="M890" s="430">
        <v>250000</v>
      </c>
      <c r="N890" s="49" t="s">
        <v>1781</v>
      </c>
    </row>
    <row r="891" spans="1:14" hidden="1" x14ac:dyDescent="0.3">
      <c r="A891" s="131">
        <v>32</v>
      </c>
      <c r="B891" s="654"/>
      <c r="C891" s="429" t="s">
        <v>3274</v>
      </c>
      <c r="D891" s="49" t="s">
        <v>312</v>
      </c>
      <c r="E891" s="49" t="s">
        <v>321</v>
      </c>
      <c r="F891" s="277" t="s">
        <v>692</v>
      </c>
      <c r="G891" s="277" t="s">
        <v>3148</v>
      </c>
      <c r="H891" s="277" t="s">
        <v>3255</v>
      </c>
      <c r="I891" s="277" t="s">
        <v>3277</v>
      </c>
      <c r="J891" s="277" t="s">
        <v>325</v>
      </c>
      <c r="K891" s="277" t="s">
        <v>3278</v>
      </c>
      <c r="L891" s="49" t="s">
        <v>310</v>
      </c>
      <c r="M891" s="430">
        <v>300000</v>
      </c>
      <c r="N891" s="49" t="s">
        <v>1209</v>
      </c>
    </row>
    <row r="892" spans="1:14" hidden="1" x14ac:dyDescent="0.3">
      <c r="A892" s="131">
        <v>32</v>
      </c>
      <c r="B892" s="655"/>
      <c r="C892" s="49" t="s">
        <v>3279</v>
      </c>
      <c r="D892" s="49" t="s">
        <v>312</v>
      </c>
      <c r="E892" s="49" t="s">
        <v>321</v>
      </c>
      <c r="F892" s="277" t="s">
        <v>692</v>
      </c>
      <c r="G892" s="277" t="s">
        <v>3148</v>
      </c>
      <c r="H892" s="277" t="s">
        <v>3255</v>
      </c>
      <c r="I892" s="277" t="s">
        <v>3277</v>
      </c>
      <c r="J892" s="277" t="s">
        <v>325</v>
      </c>
      <c r="K892" s="277" t="s">
        <v>3278</v>
      </c>
      <c r="L892" s="49" t="s">
        <v>310</v>
      </c>
      <c r="M892" s="430">
        <v>300000</v>
      </c>
      <c r="N892" s="49" t="s">
        <v>1209</v>
      </c>
    </row>
    <row r="893" spans="1:14" hidden="1" x14ac:dyDescent="0.3">
      <c r="A893" s="131">
        <v>33</v>
      </c>
      <c r="B893" s="653" t="s">
        <v>308</v>
      </c>
      <c r="C893" s="49" t="s">
        <v>3280</v>
      </c>
      <c r="D893" s="49" t="s">
        <v>307</v>
      </c>
      <c r="E893" s="49" t="s">
        <v>323</v>
      </c>
      <c r="F893" s="49" t="s">
        <v>308</v>
      </c>
      <c r="G893" s="277" t="s">
        <v>3133</v>
      </c>
      <c r="H893" s="49" t="s">
        <v>2003</v>
      </c>
      <c r="I893" s="277" t="s">
        <v>3281</v>
      </c>
      <c r="J893" s="49" t="s">
        <v>666</v>
      </c>
      <c r="K893" s="49" t="s">
        <v>3282</v>
      </c>
      <c r="L893" s="49">
        <v>2</v>
      </c>
      <c r="M893" s="430">
        <v>500000</v>
      </c>
      <c r="N893" s="49"/>
    </row>
    <row r="894" spans="1:14" hidden="1" x14ac:dyDescent="0.3">
      <c r="A894" s="131">
        <v>33</v>
      </c>
      <c r="B894" s="654"/>
      <c r="C894" s="49" t="s">
        <v>3283</v>
      </c>
      <c r="D894" s="49" t="s">
        <v>307</v>
      </c>
      <c r="E894" s="49" t="s">
        <v>323</v>
      </c>
      <c r="F894" s="49" t="s">
        <v>308</v>
      </c>
      <c r="G894" s="277" t="s">
        <v>3184</v>
      </c>
      <c r="H894" s="49" t="s">
        <v>3185</v>
      </c>
      <c r="I894" s="277" t="s">
        <v>3284</v>
      </c>
      <c r="J894" s="49" t="s">
        <v>666</v>
      </c>
      <c r="K894" s="49" t="s">
        <v>3282</v>
      </c>
      <c r="L894" s="49">
        <v>6</v>
      </c>
      <c r="M894" s="430">
        <v>1500000</v>
      </c>
      <c r="N894" s="49"/>
    </row>
    <row r="895" spans="1:14" hidden="1" x14ac:dyDescent="0.3">
      <c r="A895" s="131">
        <v>33</v>
      </c>
      <c r="B895" s="655"/>
      <c r="C895" s="49" t="s">
        <v>3285</v>
      </c>
      <c r="D895" s="49" t="s">
        <v>307</v>
      </c>
      <c r="E895" s="49" t="s">
        <v>323</v>
      </c>
      <c r="F895" s="49" t="s">
        <v>308</v>
      </c>
      <c r="G895" s="277">
        <v>1567</v>
      </c>
      <c r="H895" s="49" t="s">
        <v>3261</v>
      </c>
      <c r="I895" s="277" t="s">
        <v>1098</v>
      </c>
      <c r="J895" s="49" t="s">
        <v>666</v>
      </c>
      <c r="K895" s="49" t="s">
        <v>3286</v>
      </c>
      <c r="L895" s="49">
        <v>4</v>
      </c>
      <c r="M895" s="430">
        <v>1000000</v>
      </c>
      <c r="N895" s="49"/>
    </row>
    <row r="896" spans="1:14" ht="27" hidden="1" x14ac:dyDescent="0.3">
      <c r="A896" s="131">
        <v>33</v>
      </c>
      <c r="B896" s="653" t="s">
        <v>312</v>
      </c>
      <c r="C896" s="429" t="s">
        <v>3280</v>
      </c>
      <c r="D896" s="49" t="s">
        <v>312</v>
      </c>
      <c r="E896" s="49" t="s">
        <v>677</v>
      </c>
      <c r="F896" s="277" t="s">
        <v>3289</v>
      </c>
      <c r="G896" s="277" t="s">
        <v>3290</v>
      </c>
      <c r="H896" s="277" t="s">
        <v>407</v>
      </c>
      <c r="I896" s="277" t="s">
        <v>3291</v>
      </c>
      <c r="J896" s="277" t="s">
        <v>3292</v>
      </c>
      <c r="K896" s="277" t="s">
        <v>3293</v>
      </c>
      <c r="L896" s="49">
        <v>2</v>
      </c>
      <c r="M896" s="431" t="s">
        <v>3294</v>
      </c>
      <c r="N896" s="49" t="s">
        <v>3295</v>
      </c>
    </row>
    <row r="897" spans="1:14" ht="27" hidden="1" x14ac:dyDescent="0.3">
      <c r="A897" s="131">
        <v>33</v>
      </c>
      <c r="B897" s="654"/>
      <c r="C897" s="429" t="s">
        <v>3296</v>
      </c>
      <c r="D897" s="49" t="s">
        <v>312</v>
      </c>
      <c r="E897" s="49" t="s">
        <v>321</v>
      </c>
      <c r="F897" s="277" t="s">
        <v>2613</v>
      </c>
      <c r="G897" s="277" t="s">
        <v>1420</v>
      </c>
      <c r="H897" s="277" t="s">
        <v>1241</v>
      </c>
      <c r="I897" s="277" t="s">
        <v>3297</v>
      </c>
      <c r="J897" s="277" t="s">
        <v>3292</v>
      </c>
      <c r="K897" s="277" t="s">
        <v>3293</v>
      </c>
      <c r="L897" s="49">
        <v>1</v>
      </c>
      <c r="M897" s="430">
        <v>300000</v>
      </c>
      <c r="N897" s="49" t="s">
        <v>3298</v>
      </c>
    </row>
    <row r="898" spans="1:14" hidden="1" x14ac:dyDescent="0.3">
      <c r="A898" s="131">
        <v>33</v>
      </c>
      <c r="B898" s="655"/>
      <c r="C898" s="429" t="s">
        <v>3299</v>
      </c>
      <c r="D898" s="49" t="s">
        <v>312</v>
      </c>
      <c r="E898" s="49" t="s">
        <v>321</v>
      </c>
      <c r="F898" s="277" t="s">
        <v>692</v>
      </c>
      <c r="G898" s="277" t="s">
        <v>3148</v>
      </c>
      <c r="H898" s="277" t="s">
        <v>3300</v>
      </c>
      <c r="I898" s="277" t="s">
        <v>3301</v>
      </c>
      <c r="J898" s="277" t="s">
        <v>640</v>
      </c>
      <c r="K898" s="277" t="s">
        <v>3302</v>
      </c>
      <c r="L898" s="49">
        <v>1</v>
      </c>
      <c r="M898" s="430">
        <v>250000</v>
      </c>
      <c r="N898" s="49" t="s">
        <v>1781</v>
      </c>
    </row>
    <row r="899" spans="1:14" hidden="1" x14ac:dyDescent="0.3">
      <c r="A899" s="131">
        <v>34</v>
      </c>
      <c r="B899" s="531" t="s">
        <v>20</v>
      </c>
      <c r="C899" s="135">
        <v>45887</v>
      </c>
      <c r="D899" s="4" t="s">
        <v>307</v>
      </c>
      <c r="E899" s="4" t="s">
        <v>323</v>
      </c>
      <c r="F899" s="4" t="s">
        <v>308</v>
      </c>
      <c r="G899" s="441" t="s">
        <v>3184</v>
      </c>
      <c r="H899" s="4" t="s">
        <v>3185</v>
      </c>
      <c r="I899" s="441" t="s">
        <v>3332</v>
      </c>
      <c r="J899" s="4" t="s">
        <v>169</v>
      </c>
      <c r="K899" s="4" t="s">
        <v>2860</v>
      </c>
      <c r="L899" s="4"/>
      <c r="M899" s="103">
        <v>500000</v>
      </c>
      <c r="N899" s="133"/>
    </row>
    <row r="900" spans="1:14" hidden="1" x14ac:dyDescent="0.3">
      <c r="A900" s="131">
        <v>34</v>
      </c>
      <c r="B900" s="532"/>
      <c r="C900" s="99" t="s">
        <v>3310</v>
      </c>
      <c r="D900" s="4" t="s">
        <v>307</v>
      </c>
      <c r="E900" s="4" t="s">
        <v>323</v>
      </c>
      <c r="F900" s="4" t="s">
        <v>308</v>
      </c>
      <c r="G900" s="435">
        <v>1567</v>
      </c>
      <c r="H900" s="436" t="s">
        <v>484</v>
      </c>
      <c r="I900" s="9" t="s">
        <v>3311</v>
      </c>
      <c r="J900" s="4" t="s">
        <v>169</v>
      </c>
      <c r="K900" s="4" t="s">
        <v>3312</v>
      </c>
      <c r="L900" s="4"/>
      <c r="M900" s="103">
        <f>250000*5</f>
        <v>1250000</v>
      </c>
      <c r="N900" s="133"/>
    </row>
    <row r="901" spans="1:14" hidden="1" x14ac:dyDescent="0.3">
      <c r="A901" s="131">
        <v>34</v>
      </c>
      <c r="B901" s="532"/>
      <c r="C901" s="99" t="s">
        <v>3319</v>
      </c>
      <c r="D901" s="4" t="s">
        <v>307</v>
      </c>
      <c r="E901" s="4" t="s">
        <v>323</v>
      </c>
      <c r="F901" s="4" t="s">
        <v>308</v>
      </c>
      <c r="G901" s="207" t="s">
        <v>3318</v>
      </c>
      <c r="H901" s="133" t="s">
        <v>34</v>
      </c>
      <c r="I901" s="207" t="s">
        <v>260</v>
      </c>
      <c r="J901" s="4" t="s">
        <v>169</v>
      </c>
      <c r="K901" s="4" t="s">
        <v>2850</v>
      </c>
      <c r="L901" s="133"/>
      <c r="M901" s="103">
        <v>500000</v>
      </c>
      <c r="N901" s="133"/>
    </row>
    <row r="902" spans="1:14" hidden="1" x14ac:dyDescent="0.3">
      <c r="A902" s="131">
        <v>34</v>
      </c>
      <c r="B902" s="533"/>
      <c r="C902" s="99" t="s">
        <v>3320</v>
      </c>
      <c r="D902" s="4" t="s">
        <v>307</v>
      </c>
      <c r="E902" s="4" t="s">
        <v>323</v>
      </c>
      <c r="F902" s="4" t="s">
        <v>308</v>
      </c>
      <c r="G902" s="207" t="s">
        <v>2986</v>
      </c>
      <c r="H902" s="133" t="s">
        <v>1904</v>
      </c>
      <c r="I902" s="207" t="s">
        <v>260</v>
      </c>
      <c r="J902" s="4" t="s">
        <v>169</v>
      </c>
      <c r="K902" s="4" t="s">
        <v>2850</v>
      </c>
      <c r="L902" s="133"/>
      <c r="M902" s="103">
        <v>500000</v>
      </c>
      <c r="N902" s="133"/>
    </row>
    <row r="903" spans="1:14" hidden="1" x14ac:dyDescent="0.3">
      <c r="A903" s="131">
        <v>34</v>
      </c>
      <c r="B903" s="531" t="s">
        <v>21</v>
      </c>
      <c r="C903" s="49" t="s">
        <v>3313</v>
      </c>
      <c r="D903" s="4" t="s">
        <v>21</v>
      </c>
      <c r="E903" s="4" t="s">
        <v>14</v>
      </c>
      <c r="F903" s="49" t="s">
        <v>1904</v>
      </c>
      <c r="G903" s="49" t="s">
        <v>2913</v>
      </c>
      <c r="H903" s="49" t="s">
        <v>83</v>
      </c>
      <c r="I903" s="49" t="s">
        <v>3314</v>
      </c>
      <c r="J903" s="49" t="s">
        <v>210</v>
      </c>
      <c r="K903" s="434" t="s">
        <v>694</v>
      </c>
      <c r="L903" s="133" t="s">
        <v>15</v>
      </c>
      <c r="M903" s="437">
        <v>500000</v>
      </c>
      <c r="N903" s="49" t="s">
        <v>3315</v>
      </c>
    </row>
    <row r="904" spans="1:14" hidden="1" x14ac:dyDescent="0.3">
      <c r="A904" s="131">
        <v>34</v>
      </c>
      <c r="B904" s="532"/>
      <c r="C904" s="135">
        <v>45887</v>
      </c>
      <c r="D904" s="4" t="s">
        <v>21</v>
      </c>
      <c r="E904" s="4" t="s">
        <v>14</v>
      </c>
      <c r="F904" s="34" t="s">
        <v>1796</v>
      </c>
      <c r="G904" s="34" t="s">
        <v>2145</v>
      </c>
      <c r="H904" s="17" t="s">
        <v>144</v>
      </c>
      <c r="I904" s="255" t="s">
        <v>3164</v>
      </c>
      <c r="J904" s="34" t="s">
        <v>210</v>
      </c>
      <c r="K904" s="434" t="s">
        <v>694</v>
      </c>
      <c r="L904" s="133" t="s">
        <v>15</v>
      </c>
      <c r="M904" s="437">
        <v>500000</v>
      </c>
      <c r="N904" s="432" t="s">
        <v>980</v>
      </c>
    </row>
    <row r="905" spans="1:14" hidden="1" x14ac:dyDescent="0.3">
      <c r="A905" s="131">
        <v>34</v>
      </c>
      <c r="B905" s="532"/>
      <c r="C905" s="135">
        <v>45887</v>
      </c>
      <c r="D905" s="4" t="s">
        <v>21</v>
      </c>
      <c r="E905" s="4" t="s">
        <v>14</v>
      </c>
      <c r="F905" s="34" t="s">
        <v>1796</v>
      </c>
      <c r="G905" s="34" t="s">
        <v>2145</v>
      </c>
      <c r="H905" s="17" t="s">
        <v>206</v>
      </c>
      <c r="I905" s="255" t="s">
        <v>3308</v>
      </c>
      <c r="J905" s="34"/>
      <c r="K905" s="434" t="s">
        <v>3160</v>
      </c>
      <c r="L905" s="133" t="s">
        <v>15</v>
      </c>
      <c r="M905" s="437">
        <v>300000</v>
      </c>
      <c r="N905" s="432" t="s">
        <v>980</v>
      </c>
    </row>
    <row r="906" spans="1:14" ht="27" hidden="1" x14ac:dyDescent="0.3">
      <c r="A906" s="131">
        <v>34</v>
      </c>
      <c r="B906" s="532"/>
      <c r="C906" s="135">
        <v>45888</v>
      </c>
      <c r="D906" s="4" t="s">
        <v>21</v>
      </c>
      <c r="E906" s="4" t="s">
        <v>17</v>
      </c>
      <c r="F906" s="207" t="s">
        <v>3305</v>
      </c>
      <c r="G906" s="34" t="s">
        <v>364</v>
      </c>
      <c r="H906" s="17" t="s">
        <v>3306</v>
      </c>
      <c r="I906" s="207" t="s">
        <v>3307</v>
      </c>
      <c r="J906" s="34"/>
      <c r="K906" s="34" t="s">
        <v>3161</v>
      </c>
      <c r="L906" s="133" t="s">
        <v>15</v>
      </c>
      <c r="M906" s="437">
        <v>300000</v>
      </c>
      <c r="N906" s="433" t="s">
        <v>1885</v>
      </c>
    </row>
    <row r="907" spans="1:14" hidden="1" x14ac:dyDescent="0.3">
      <c r="A907" s="131">
        <v>34</v>
      </c>
      <c r="B907" s="532"/>
      <c r="C907" s="135">
        <v>45888</v>
      </c>
      <c r="D907" s="4" t="s">
        <v>21</v>
      </c>
      <c r="E907" s="4" t="s">
        <v>14</v>
      </c>
      <c r="F907" s="34" t="s">
        <v>1796</v>
      </c>
      <c r="G907" s="34" t="s">
        <v>2145</v>
      </c>
      <c r="H907" s="17" t="s">
        <v>144</v>
      </c>
      <c r="I907" s="207" t="s">
        <v>3162</v>
      </c>
      <c r="J907" s="34" t="s">
        <v>90</v>
      </c>
      <c r="K907" s="424" t="s">
        <v>3163</v>
      </c>
      <c r="L907" s="133" t="s">
        <v>15</v>
      </c>
      <c r="M907" s="437">
        <v>250000</v>
      </c>
      <c r="N907" s="432" t="s">
        <v>980</v>
      </c>
    </row>
    <row r="908" spans="1:14" hidden="1" x14ac:dyDescent="0.3">
      <c r="A908" s="131">
        <v>34</v>
      </c>
      <c r="B908" s="532"/>
      <c r="C908" s="135">
        <v>45888</v>
      </c>
      <c r="D908" s="4" t="s">
        <v>21</v>
      </c>
      <c r="E908" s="4" t="s">
        <v>14</v>
      </c>
      <c r="F908" s="34" t="s">
        <v>1796</v>
      </c>
      <c r="G908" s="34" t="s">
        <v>2145</v>
      </c>
      <c r="H908" s="17" t="s">
        <v>206</v>
      </c>
      <c r="I908" s="207" t="s">
        <v>3308</v>
      </c>
      <c r="J908" s="34"/>
      <c r="K908" s="434" t="s">
        <v>3160</v>
      </c>
      <c r="L908" s="133" t="s">
        <v>15</v>
      </c>
      <c r="M908" s="437">
        <v>300000</v>
      </c>
      <c r="N908" s="432" t="s">
        <v>980</v>
      </c>
    </row>
    <row r="909" spans="1:14" hidden="1" x14ac:dyDescent="0.3">
      <c r="A909" s="131">
        <v>34</v>
      </c>
      <c r="B909" s="532"/>
      <c r="C909" s="135" t="s">
        <v>3316</v>
      </c>
      <c r="D909" s="4" t="s">
        <v>21</v>
      </c>
      <c r="E909" s="4" t="s">
        <v>14</v>
      </c>
      <c r="F909" s="34" t="s">
        <v>838</v>
      </c>
      <c r="G909" s="34" t="s">
        <v>1534</v>
      </c>
      <c r="H909" s="17" t="s">
        <v>3309</v>
      </c>
      <c r="I909" s="255" t="s">
        <v>3317</v>
      </c>
      <c r="J909" s="34"/>
      <c r="K909" s="424" t="s">
        <v>3163</v>
      </c>
      <c r="L909" s="133" t="s">
        <v>15</v>
      </c>
      <c r="M909" s="437">
        <v>500000</v>
      </c>
      <c r="N909" s="432" t="s">
        <v>980</v>
      </c>
    </row>
    <row r="910" spans="1:14" ht="27" hidden="1" x14ac:dyDescent="0.3">
      <c r="A910" s="131">
        <v>34</v>
      </c>
      <c r="B910" s="533"/>
      <c r="C910" s="135">
        <v>45890</v>
      </c>
      <c r="D910" s="4" t="s">
        <v>21</v>
      </c>
      <c r="E910" s="4" t="s">
        <v>14</v>
      </c>
      <c r="F910" s="34" t="s">
        <v>78</v>
      </c>
      <c r="G910" s="34" t="s">
        <v>2773</v>
      </c>
      <c r="H910" s="17" t="s">
        <v>1387</v>
      </c>
      <c r="I910" s="207" t="s">
        <v>3303</v>
      </c>
      <c r="J910" s="34" t="s">
        <v>90</v>
      </c>
      <c r="K910" s="207" t="s">
        <v>1001</v>
      </c>
      <c r="L910" s="133" t="s">
        <v>15</v>
      </c>
      <c r="M910" s="437">
        <v>300000</v>
      </c>
      <c r="N910" s="432" t="s">
        <v>980</v>
      </c>
    </row>
    <row r="911" spans="1:14" ht="40.5" hidden="1" x14ac:dyDescent="0.3">
      <c r="A911" s="131">
        <v>35</v>
      </c>
      <c r="B911" s="531" t="s">
        <v>20</v>
      </c>
      <c r="C911" s="135" t="s">
        <v>3341</v>
      </c>
      <c r="D911" s="4" t="s">
        <v>307</v>
      </c>
      <c r="E911" s="4" t="s">
        <v>323</v>
      </c>
      <c r="F911" s="4" t="s">
        <v>308</v>
      </c>
      <c r="G911" s="207" t="s">
        <v>3090</v>
      </c>
      <c r="H911" s="133" t="s">
        <v>18</v>
      </c>
      <c r="I911" s="441" t="s">
        <v>260</v>
      </c>
      <c r="J911" s="4" t="s">
        <v>169</v>
      </c>
      <c r="K911" s="4" t="s">
        <v>2860</v>
      </c>
      <c r="L911" s="4"/>
      <c r="M911" s="103">
        <v>500000</v>
      </c>
      <c r="N911" s="133" t="s">
        <v>3338</v>
      </c>
    </row>
    <row r="912" spans="1:14" ht="40.5" hidden="1" x14ac:dyDescent="0.3">
      <c r="A912" s="131">
        <v>35</v>
      </c>
      <c r="B912" s="532"/>
      <c r="C912" s="135" t="s">
        <v>3340</v>
      </c>
      <c r="D912" s="4" t="s">
        <v>307</v>
      </c>
      <c r="E912" s="4" t="s">
        <v>323</v>
      </c>
      <c r="F912" s="4" t="s">
        <v>308</v>
      </c>
      <c r="G912" s="207" t="s">
        <v>1978</v>
      </c>
      <c r="H912" s="133" t="s">
        <v>110</v>
      </c>
      <c r="I912" s="441" t="s">
        <v>3339</v>
      </c>
      <c r="J912" s="4" t="s">
        <v>169</v>
      </c>
      <c r="K912" s="4" t="s">
        <v>2860</v>
      </c>
      <c r="L912" s="4"/>
      <c r="M912" s="103">
        <v>500000</v>
      </c>
      <c r="N912" s="133" t="s">
        <v>3338</v>
      </c>
    </row>
    <row r="913" spans="1:14" ht="27" hidden="1" x14ac:dyDescent="0.3">
      <c r="A913" s="131">
        <v>35</v>
      </c>
      <c r="B913" s="532"/>
      <c r="C913" s="135" t="s">
        <v>3335</v>
      </c>
      <c r="D913" s="4" t="s">
        <v>307</v>
      </c>
      <c r="E913" s="4" t="s">
        <v>323</v>
      </c>
      <c r="F913" s="4" t="s">
        <v>308</v>
      </c>
      <c r="G913" s="207" t="s">
        <v>2986</v>
      </c>
      <c r="H913" s="133" t="s">
        <v>1904</v>
      </c>
      <c r="I913" s="441" t="s">
        <v>260</v>
      </c>
      <c r="J913" s="4" t="s">
        <v>169</v>
      </c>
      <c r="K913" s="4" t="s">
        <v>3073</v>
      </c>
      <c r="L913" s="4"/>
      <c r="M913" s="103">
        <v>750000</v>
      </c>
      <c r="N913" s="133"/>
    </row>
    <row r="914" spans="1:14" ht="27" hidden="1" x14ac:dyDescent="0.3">
      <c r="A914" s="131">
        <v>35</v>
      </c>
      <c r="B914" s="532"/>
      <c r="C914" s="99" t="s">
        <v>3336</v>
      </c>
      <c r="D914" s="4" t="s">
        <v>307</v>
      </c>
      <c r="E914" s="4" t="s">
        <v>323</v>
      </c>
      <c r="F914" s="4" t="s">
        <v>308</v>
      </c>
      <c r="G914" s="207" t="s">
        <v>3330</v>
      </c>
      <c r="H914" s="133" t="s">
        <v>23</v>
      </c>
      <c r="I914" s="441" t="s">
        <v>260</v>
      </c>
      <c r="J914" s="4" t="s">
        <v>169</v>
      </c>
      <c r="K914" s="4" t="s">
        <v>2860</v>
      </c>
      <c r="L914" s="4"/>
      <c r="M914" s="103">
        <v>500000</v>
      </c>
      <c r="N914" s="133"/>
    </row>
    <row r="915" spans="1:14" ht="27" hidden="1" x14ac:dyDescent="0.3">
      <c r="A915" s="131">
        <v>35</v>
      </c>
      <c r="B915" s="532"/>
      <c r="C915" s="99" t="s">
        <v>3334</v>
      </c>
      <c r="D915" s="4" t="s">
        <v>307</v>
      </c>
      <c r="E915" s="4" t="s">
        <v>323</v>
      </c>
      <c r="F915" s="4" t="s">
        <v>308</v>
      </c>
      <c r="G915" s="207" t="s">
        <v>3331</v>
      </c>
      <c r="H915" s="133" t="s">
        <v>83</v>
      </c>
      <c r="I915" s="9" t="s">
        <v>3311</v>
      </c>
      <c r="J915" s="4" t="s">
        <v>169</v>
      </c>
      <c r="K915" s="4" t="s">
        <v>3312</v>
      </c>
      <c r="L915" s="133"/>
      <c r="M915" s="103">
        <v>1250000</v>
      </c>
      <c r="N915" s="133"/>
    </row>
    <row r="916" spans="1:14" ht="27" hidden="1" x14ac:dyDescent="0.3">
      <c r="A916" s="131">
        <v>35</v>
      </c>
      <c r="B916" s="533"/>
      <c r="C916" s="99" t="s">
        <v>3334</v>
      </c>
      <c r="D916" s="4" t="s">
        <v>307</v>
      </c>
      <c r="E916" s="4" t="s">
        <v>323</v>
      </c>
      <c r="F916" s="4" t="s">
        <v>308</v>
      </c>
      <c r="G916" s="207" t="s">
        <v>2941</v>
      </c>
      <c r="H916" s="133" t="s">
        <v>2942</v>
      </c>
      <c r="I916" s="207" t="s">
        <v>3333</v>
      </c>
      <c r="J916" s="4" t="s">
        <v>169</v>
      </c>
      <c r="K916" s="4" t="s">
        <v>3337</v>
      </c>
      <c r="L916" s="133"/>
      <c r="M916" s="103">
        <v>1250000</v>
      </c>
      <c r="N916" s="133"/>
    </row>
    <row r="917" spans="1:14" hidden="1" x14ac:dyDescent="0.3">
      <c r="A917" s="131">
        <v>35</v>
      </c>
      <c r="B917" s="531" t="s">
        <v>21</v>
      </c>
      <c r="C917" s="396">
        <v>45888</v>
      </c>
      <c r="D917" s="4" t="s">
        <v>21</v>
      </c>
      <c r="E917" s="4" t="s">
        <v>14</v>
      </c>
      <c r="F917" s="34" t="s">
        <v>1904</v>
      </c>
      <c r="G917" s="34">
        <v>3307</v>
      </c>
      <c r="H917" s="17" t="s">
        <v>813</v>
      </c>
      <c r="I917" s="207" t="s">
        <v>3324</v>
      </c>
      <c r="J917" s="34"/>
      <c r="K917" s="34" t="s">
        <v>688</v>
      </c>
      <c r="L917" s="133" t="s">
        <v>15</v>
      </c>
      <c r="M917" s="437">
        <v>250000</v>
      </c>
      <c r="N917" s="133" t="s">
        <v>3326</v>
      </c>
    </row>
    <row r="918" spans="1:14" ht="27" hidden="1" x14ac:dyDescent="0.3">
      <c r="A918" s="131">
        <v>35</v>
      </c>
      <c r="B918" s="532"/>
      <c r="C918" s="135">
        <v>45888</v>
      </c>
      <c r="D918" s="4" t="s">
        <v>21</v>
      </c>
      <c r="E918" s="4" t="s">
        <v>14</v>
      </c>
      <c r="F918" s="34" t="s">
        <v>1796</v>
      </c>
      <c r="G918" s="34" t="s">
        <v>2145</v>
      </c>
      <c r="H918" s="17" t="s">
        <v>3328</v>
      </c>
      <c r="I918" s="207" t="s">
        <v>1390</v>
      </c>
      <c r="J918" s="34"/>
      <c r="K918" s="34" t="s">
        <v>3160</v>
      </c>
      <c r="L918" s="133" t="s">
        <v>15</v>
      </c>
      <c r="M918" s="437" t="s">
        <v>3345</v>
      </c>
      <c r="N918" s="133" t="s">
        <v>3326</v>
      </c>
    </row>
    <row r="919" spans="1:14" hidden="1" x14ac:dyDescent="0.3">
      <c r="A919" s="131">
        <v>35</v>
      </c>
      <c r="B919" s="532"/>
      <c r="C919" s="396">
        <v>45890</v>
      </c>
      <c r="D919" s="4" t="s">
        <v>21</v>
      </c>
      <c r="E919" s="4" t="s">
        <v>17</v>
      </c>
      <c r="F919" s="34" t="s">
        <v>78</v>
      </c>
      <c r="G919" s="34" t="s">
        <v>1328</v>
      </c>
      <c r="H919" s="17" t="s">
        <v>34</v>
      </c>
      <c r="I919" s="207" t="s">
        <v>3321</v>
      </c>
      <c r="J919" s="34" t="s">
        <v>203</v>
      </c>
      <c r="K919" s="207" t="s">
        <v>1001</v>
      </c>
      <c r="L919" s="133" t="s">
        <v>15</v>
      </c>
      <c r="M919" s="437">
        <v>300000</v>
      </c>
      <c r="N919" s="133" t="s">
        <v>3326</v>
      </c>
    </row>
    <row r="920" spans="1:14" hidden="1" x14ac:dyDescent="0.3">
      <c r="A920" s="131">
        <v>35</v>
      </c>
      <c r="B920" s="532"/>
      <c r="C920" s="396">
        <v>45891</v>
      </c>
      <c r="D920" s="4" t="s">
        <v>21</v>
      </c>
      <c r="E920" s="4" t="s">
        <v>14</v>
      </c>
      <c r="F920" s="34" t="s">
        <v>108</v>
      </c>
      <c r="G920" s="34" t="s">
        <v>1981</v>
      </c>
      <c r="H920" s="17" t="s">
        <v>1962</v>
      </c>
      <c r="I920" s="207" t="s">
        <v>3322</v>
      </c>
      <c r="J920" s="34" t="s">
        <v>90</v>
      </c>
      <c r="K920" s="34" t="s">
        <v>688</v>
      </c>
      <c r="L920" s="133" t="s">
        <v>15</v>
      </c>
      <c r="M920" s="437">
        <v>250000</v>
      </c>
      <c r="N920" s="6" t="s">
        <v>3325</v>
      </c>
    </row>
    <row r="921" spans="1:14" hidden="1" x14ac:dyDescent="0.3">
      <c r="A921" s="131">
        <v>35</v>
      </c>
      <c r="B921" s="532"/>
      <c r="C921" s="135">
        <v>45892</v>
      </c>
      <c r="D921" s="4" t="s">
        <v>21</v>
      </c>
      <c r="E921" s="4" t="s">
        <v>14</v>
      </c>
      <c r="F921" s="34" t="s">
        <v>1796</v>
      </c>
      <c r="G921" s="34" t="s">
        <v>2145</v>
      </c>
      <c r="H921" s="17" t="s">
        <v>1396</v>
      </c>
      <c r="I921" s="207" t="s">
        <v>3342</v>
      </c>
      <c r="J921" s="207" t="s">
        <v>90</v>
      </c>
      <c r="K921" s="207" t="s">
        <v>643</v>
      </c>
      <c r="L921" s="133" t="s">
        <v>15</v>
      </c>
      <c r="M921" s="437">
        <v>500000</v>
      </c>
      <c r="N921" s="6" t="s">
        <v>3325</v>
      </c>
    </row>
    <row r="922" spans="1:14" hidden="1" x14ac:dyDescent="0.3">
      <c r="A922" s="131">
        <v>35</v>
      </c>
      <c r="B922" s="532"/>
      <c r="C922" s="135">
        <v>45894</v>
      </c>
      <c r="D922" s="4" t="s">
        <v>21</v>
      </c>
      <c r="E922" s="4" t="s">
        <v>14</v>
      </c>
      <c r="F922" s="34" t="s">
        <v>212</v>
      </c>
      <c r="G922" s="207" t="s">
        <v>2633</v>
      </c>
      <c r="H922" s="17" t="s">
        <v>3327</v>
      </c>
      <c r="I922" s="207" t="s">
        <v>3343</v>
      </c>
      <c r="J922" s="207"/>
      <c r="K922" s="34" t="s">
        <v>643</v>
      </c>
      <c r="L922" s="133" t="s">
        <v>15</v>
      </c>
      <c r="M922" s="437">
        <v>500000</v>
      </c>
      <c r="N922" s="6" t="s">
        <v>3329</v>
      </c>
    </row>
    <row r="923" spans="1:14" ht="27" hidden="1" x14ac:dyDescent="0.3">
      <c r="A923" s="131">
        <v>35</v>
      </c>
      <c r="B923" s="532"/>
      <c r="C923" s="135">
        <v>45894</v>
      </c>
      <c r="D923" s="4" t="s">
        <v>21</v>
      </c>
      <c r="E923" s="4" t="s">
        <v>14</v>
      </c>
      <c r="F923" s="34" t="s">
        <v>1904</v>
      </c>
      <c r="G923" s="207" t="s">
        <v>2913</v>
      </c>
      <c r="H923" s="17" t="s">
        <v>83</v>
      </c>
      <c r="I923" s="207" t="s">
        <v>3346</v>
      </c>
      <c r="J923" s="207"/>
      <c r="K923" s="34" t="s">
        <v>1882</v>
      </c>
      <c r="L923" s="133" t="s">
        <v>15</v>
      </c>
      <c r="M923" s="437" t="s">
        <v>3345</v>
      </c>
      <c r="N923" s="6" t="s">
        <v>129</v>
      </c>
    </row>
    <row r="924" spans="1:14" hidden="1" x14ac:dyDescent="0.3">
      <c r="A924" s="131">
        <v>35</v>
      </c>
      <c r="B924" s="532"/>
      <c r="C924" s="396">
        <v>45895</v>
      </c>
      <c r="D924" s="4" t="s">
        <v>21</v>
      </c>
      <c r="E924" s="4" t="s">
        <v>14</v>
      </c>
      <c r="F924" s="4" t="s">
        <v>108</v>
      </c>
      <c r="G924" s="34" t="s">
        <v>1978</v>
      </c>
      <c r="H924" s="17" t="s">
        <v>144</v>
      </c>
      <c r="I924" s="207" t="s">
        <v>3304</v>
      </c>
      <c r="J924" s="34" t="s">
        <v>90</v>
      </c>
      <c r="K924" s="424" t="s">
        <v>3163</v>
      </c>
      <c r="L924" s="133" t="s">
        <v>15</v>
      </c>
      <c r="M924" s="437">
        <v>250000</v>
      </c>
      <c r="N924" s="6" t="s">
        <v>3329</v>
      </c>
    </row>
    <row r="925" spans="1:14" hidden="1" x14ac:dyDescent="0.3">
      <c r="A925" s="131">
        <v>35</v>
      </c>
      <c r="B925" s="532"/>
      <c r="C925" s="135">
        <v>45897</v>
      </c>
      <c r="D925" s="4" t="s">
        <v>21</v>
      </c>
      <c r="E925" s="4" t="s">
        <v>14</v>
      </c>
      <c r="F925" s="4" t="s">
        <v>108</v>
      </c>
      <c r="G925" s="34" t="s">
        <v>1978</v>
      </c>
      <c r="H925" s="17" t="s">
        <v>144</v>
      </c>
      <c r="I925" s="207" t="s">
        <v>401</v>
      </c>
      <c r="J925" s="34" t="s">
        <v>90</v>
      </c>
      <c r="K925" s="424" t="s">
        <v>3163</v>
      </c>
      <c r="L925" s="133" t="s">
        <v>15</v>
      </c>
      <c r="M925" s="437">
        <v>250000</v>
      </c>
      <c r="N925" s="6" t="s">
        <v>129</v>
      </c>
    </row>
    <row r="926" spans="1:14" ht="18" hidden="1" customHeight="1" x14ac:dyDescent="0.3">
      <c r="A926" s="131">
        <v>35</v>
      </c>
      <c r="B926" s="533"/>
      <c r="C926" s="396">
        <v>45898</v>
      </c>
      <c r="D926" s="4" t="s">
        <v>21</v>
      </c>
      <c r="E926" s="4" t="s">
        <v>17</v>
      </c>
      <c r="F926" s="34" t="s">
        <v>1796</v>
      </c>
      <c r="G926" s="34" t="s">
        <v>853</v>
      </c>
      <c r="H926" s="17" t="s">
        <v>103</v>
      </c>
      <c r="I926" s="207" t="s">
        <v>3323</v>
      </c>
      <c r="J926" s="207" t="s">
        <v>90</v>
      </c>
      <c r="K926" s="424" t="s">
        <v>3163</v>
      </c>
      <c r="L926" s="133" t="s">
        <v>15</v>
      </c>
      <c r="M926" s="437">
        <v>250000</v>
      </c>
      <c r="N926" s="6" t="s">
        <v>3344</v>
      </c>
    </row>
    <row r="927" spans="1:14" hidden="1" x14ac:dyDescent="0.3">
      <c r="A927" s="131">
        <v>36</v>
      </c>
      <c r="B927" s="521" t="s">
        <v>3649</v>
      </c>
      <c r="C927" s="135" t="s">
        <v>3651</v>
      </c>
      <c r="D927" s="4" t="s">
        <v>307</v>
      </c>
      <c r="E927" s="4" t="s">
        <v>323</v>
      </c>
      <c r="F927" s="4" t="s">
        <v>308</v>
      </c>
      <c r="G927" s="207" t="s">
        <v>3652</v>
      </c>
      <c r="H927" s="133" t="s">
        <v>3653</v>
      </c>
      <c r="I927" s="441" t="s">
        <v>3654</v>
      </c>
      <c r="J927" s="4" t="s">
        <v>3655</v>
      </c>
      <c r="K927" s="4" t="s">
        <v>3073</v>
      </c>
      <c r="L927" s="4"/>
      <c r="M927" s="103">
        <f>3*250000</f>
        <v>750000</v>
      </c>
      <c r="N927" s="133"/>
    </row>
    <row r="928" spans="1:14" hidden="1" x14ac:dyDescent="0.3">
      <c r="A928" s="131">
        <v>36</v>
      </c>
      <c r="B928" s="521"/>
      <c r="C928" s="135" t="s">
        <v>3656</v>
      </c>
      <c r="D928" s="4" t="s">
        <v>307</v>
      </c>
      <c r="E928" s="4" t="s">
        <v>323</v>
      </c>
      <c r="F928" s="4" t="s">
        <v>308</v>
      </c>
      <c r="G928" s="207" t="s">
        <v>3657</v>
      </c>
      <c r="H928" s="133" t="s">
        <v>3658</v>
      </c>
      <c r="I928" s="441" t="s">
        <v>3659</v>
      </c>
      <c r="J928" s="4" t="s">
        <v>739</v>
      </c>
      <c r="K928" s="4" t="s">
        <v>2860</v>
      </c>
      <c r="L928" s="4"/>
      <c r="M928" s="103">
        <f>2*250000</f>
        <v>500000</v>
      </c>
      <c r="N928" s="133"/>
    </row>
    <row r="929" spans="1:14" hidden="1" x14ac:dyDescent="0.3">
      <c r="A929" s="131">
        <v>36</v>
      </c>
      <c r="B929" s="521"/>
      <c r="C929" s="135" t="s">
        <v>3660</v>
      </c>
      <c r="D929" s="4" t="s">
        <v>307</v>
      </c>
      <c r="E929" s="4" t="s">
        <v>323</v>
      </c>
      <c r="F929" s="4" t="s">
        <v>308</v>
      </c>
      <c r="G929" s="207" t="s">
        <v>3661</v>
      </c>
      <c r="H929" s="133" t="s">
        <v>378</v>
      </c>
      <c r="I929" s="441" t="s">
        <v>3662</v>
      </c>
      <c r="J929" s="4" t="s">
        <v>739</v>
      </c>
      <c r="K929" s="4" t="s">
        <v>3663</v>
      </c>
      <c r="L929" s="4"/>
      <c r="M929" s="103">
        <f>250000*5</f>
        <v>1250000</v>
      </c>
      <c r="N929" s="133"/>
    </row>
    <row r="930" spans="1:14" hidden="1" x14ac:dyDescent="0.3">
      <c r="A930" s="131">
        <v>36</v>
      </c>
      <c r="B930" s="521"/>
      <c r="C930" s="135" t="s">
        <v>3650</v>
      </c>
      <c r="D930" s="4" t="s">
        <v>307</v>
      </c>
      <c r="E930" s="4" t="s">
        <v>323</v>
      </c>
      <c r="F930" s="4" t="s">
        <v>308</v>
      </c>
      <c r="G930" s="207" t="s">
        <v>3664</v>
      </c>
      <c r="H930" s="133" t="s">
        <v>208</v>
      </c>
      <c r="I930" s="441" t="s">
        <v>3665</v>
      </c>
      <c r="J930" s="4" t="s">
        <v>3666</v>
      </c>
      <c r="K930" s="4" t="s">
        <v>3667</v>
      </c>
      <c r="L930" s="4"/>
      <c r="M930" s="103">
        <f>3*250000</f>
        <v>750000</v>
      </c>
      <c r="N930" s="133"/>
    </row>
    <row r="931" spans="1:14" hidden="1" x14ac:dyDescent="0.3">
      <c r="A931" s="131">
        <v>36</v>
      </c>
      <c r="B931" s="521"/>
      <c r="C931" s="135" t="s">
        <v>3656</v>
      </c>
      <c r="D931" s="4" t="s">
        <v>307</v>
      </c>
      <c r="E931" s="4" t="s">
        <v>323</v>
      </c>
      <c r="F931" s="4" t="s">
        <v>308</v>
      </c>
      <c r="G931" s="207" t="s">
        <v>3668</v>
      </c>
      <c r="H931" s="133" t="s">
        <v>208</v>
      </c>
      <c r="I931" s="441" t="s">
        <v>3662</v>
      </c>
      <c r="J931" s="4" t="s">
        <v>3666</v>
      </c>
      <c r="K931" s="4" t="s">
        <v>3669</v>
      </c>
      <c r="L931" s="4"/>
      <c r="M931" s="103">
        <f>2*250000</f>
        <v>500000</v>
      </c>
      <c r="N931" s="133"/>
    </row>
    <row r="932" spans="1:14" ht="27" hidden="1" x14ac:dyDescent="0.3">
      <c r="A932" s="131">
        <v>36</v>
      </c>
      <c r="B932" s="521" t="s">
        <v>3670</v>
      </c>
      <c r="C932" s="396">
        <v>45896</v>
      </c>
      <c r="D932" s="4" t="s">
        <v>3670</v>
      </c>
      <c r="E932" s="4" t="s">
        <v>3671</v>
      </c>
      <c r="F932" s="34" t="s">
        <v>3658</v>
      </c>
      <c r="G932" s="207" t="s">
        <v>3672</v>
      </c>
      <c r="H932" s="17" t="s">
        <v>3673</v>
      </c>
      <c r="I932" s="207" t="s">
        <v>3674</v>
      </c>
      <c r="J932" s="34"/>
      <c r="K932" s="207" t="s">
        <v>3675</v>
      </c>
      <c r="L932" s="133" t="s">
        <v>3676</v>
      </c>
      <c r="M932" s="64" t="s">
        <v>3677</v>
      </c>
      <c r="N932" s="6" t="s">
        <v>3678</v>
      </c>
    </row>
    <row r="933" spans="1:14" hidden="1" x14ac:dyDescent="0.3">
      <c r="A933" s="131">
        <v>36</v>
      </c>
      <c r="B933" s="521"/>
      <c r="C933" s="396" t="s">
        <v>3679</v>
      </c>
      <c r="D933" s="4" t="s">
        <v>3670</v>
      </c>
      <c r="E933" s="4" t="s">
        <v>3671</v>
      </c>
      <c r="F933" s="435" t="s">
        <v>3680</v>
      </c>
      <c r="G933" s="9" t="s">
        <v>3681</v>
      </c>
      <c r="H933" s="436" t="s">
        <v>3682</v>
      </c>
      <c r="I933" s="9" t="s">
        <v>3683</v>
      </c>
      <c r="J933" s="435"/>
      <c r="K933" s="435" t="s">
        <v>3684</v>
      </c>
      <c r="L933" s="4" t="s">
        <v>3676</v>
      </c>
      <c r="M933" s="475">
        <v>500000</v>
      </c>
      <c r="N933" s="6" t="s">
        <v>3685</v>
      </c>
    </row>
    <row r="934" spans="1:14" ht="27" hidden="1" x14ac:dyDescent="0.3">
      <c r="A934" s="131">
        <v>36</v>
      </c>
      <c r="B934" s="521"/>
      <c r="C934" s="396" t="s">
        <v>3679</v>
      </c>
      <c r="D934" s="4" t="s">
        <v>3670</v>
      </c>
      <c r="E934" s="4" t="s">
        <v>3671</v>
      </c>
      <c r="F934" s="34" t="s">
        <v>3686</v>
      </c>
      <c r="G934" s="34" t="s">
        <v>3687</v>
      </c>
      <c r="H934" s="17" t="s">
        <v>3688</v>
      </c>
      <c r="I934" s="207" t="s">
        <v>3689</v>
      </c>
      <c r="J934" s="207" t="s">
        <v>3690</v>
      </c>
      <c r="K934" s="424" t="s">
        <v>3691</v>
      </c>
      <c r="L934" s="133" t="s">
        <v>3676</v>
      </c>
      <c r="M934" s="475">
        <v>250000</v>
      </c>
      <c r="N934" s="6" t="s">
        <v>3678</v>
      </c>
    </row>
    <row r="935" spans="1:14" ht="27" hidden="1" x14ac:dyDescent="0.3">
      <c r="A935" s="131">
        <v>36</v>
      </c>
      <c r="B935" s="521"/>
      <c r="C935" s="396">
        <v>45901</v>
      </c>
      <c r="D935" s="4" t="s">
        <v>3670</v>
      </c>
      <c r="E935" s="4" t="s">
        <v>3671</v>
      </c>
      <c r="F935" s="34" t="s">
        <v>3692</v>
      </c>
      <c r="G935" s="34" t="s">
        <v>3693</v>
      </c>
      <c r="H935" s="17" t="s">
        <v>3694</v>
      </c>
      <c r="I935" s="207" t="s">
        <v>3695</v>
      </c>
      <c r="J935" s="34" t="s">
        <v>3696</v>
      </c>
      <c r="K935" s="207" t="s">
        <v>3697</v>
      </c>
      <c r="L935" s="133" t="s">
        <v>3676</v>
      </c>
      <c r="M935" s="475">
        <v>250000</v>
      </c>
      <c r="N935" s="6" t="s">
        <v>3698</v>
      </c>
    </row>
    <row r="936" spans="1:14" ht="27" hidden="1" x14ac:dyDescent="0.3">
      <c r="A936" s="131">
        <v>36</v>
      </c>
      <c r="B936" s="521"/>
      <c r="C936" s="396">
        <v>45902</v>
      </c>
      <c r="D936" s="4" t="s">
        <v>3670</v>
      </c>
      <c r="E936" s="4" t="s">
        <v>3671</v>
      </c>
      <c r="F936" s="34" t="s">
        <v>3692</v>
      </c>
      <c r="G936" s="34" t="s">
        <v>3693</v>
      </c>
      <c r="H936" s="17" t="s">
        <v>3694</v>
      </c>
      <c r="I936" s="207" t="s">
        <v>3695</v>
      </c>
      <c r="J936" s="34" t="s">
        <v>3690</v>
      </c>
      <c r="K936" s="207" t="s">
        <v>3697</v>
      </c>
      <c r="L936" s="133" t="s">
        <v>3676</v>
      </c>
      <c r="M936" s="475">
        <v>250000</v>
      </c>
      <c r="N936" s="6" t="s">
        <v>3698</v>
      </c>
    </row>
    <row r="937" spans="1:14" ht="27" hidden="1" x14ac:dyDescent="0.3">
      <c r="A937" s="131">
        <v>36</v>
      </c>
      <c r="B937" s="521"/>
      <c r="C937" s="396">
        <v>45902</v>
      </c>
      <c r="D937" s="4" t="s">
        <v>3670</v>
      </c>
      <c r="E937" s="4" t="s">
        <v>3671</v>
      </c>
      <c r="F937" s="34" t="s">
        <v>3692</v>
      </c>
      <c r="G937" s="34" t="s">
        <v>3699</v>
      </c>
      <c r="H937" s="17" t="s">
        <v>3673</v>
      </c>
      <c r="I937" s="207" t="s">
        <v>3700</v>
      </c>
      <c r="J937" s="34"/>
      <c r="K937" s="207" t="s">
        <v>3675</v>
      </c>
      <c r="L937" s="133" t="s">
        <v>3676</v>
      </c>
      <c r="M937" s="64" t="s">
        <v>3677</v>
      </c>
      <c r="N937" s="6" t="s">
        <v>3701</v>
      </c>
    </row>
    <row r="938" spans="1:14" hidden="1" x14ac:dyDescent="0.3">
      <c r="A938" s="131">
        <v>36</v>
      </c>
      <c r="B938" s="521"/>
      <c r="C938" s="135">
        <v>45905</v>
      </c>
      <c r="D938" s="4" t="s">
        <v>3670</v>
      </c>
      <c r="E938" s="4" t="s">
        <v>3671</v>
      </c>
      <c r="F938" s="34" t="s">
        <v>3692</v>
      </c>
      <c r="G938" s="34" t="s">
        <v>3693</v>
      </c>
      <c r="H938" s="17" t="s">
        <v>3702</v>
      </c>
      <c r="I938" s="207" t="s">
        <v>3703</v>
      </c>
      <c r="J938" s="34" t="s">
        <v>3690</v>
      </c>
      <c r="K938" s="207" t="s">
        <v>3697</v>
      </c>
      <c r="L938" s="133" t="s">
        <v>3676</v>
      </c>
      <c r="M938" s="475">
        <v>500000</v>
      </c>
      <c r="N938" s="6" t="s">
        <v>3698</v>
      </c>
    </row>
    <row r="939" spans="1:14" hidden="1" x14ac:dyDescent="0.3">
      <c r="A939" s="131">
        <v>37</v>
      </c>
      <c r="B939" s="521" t="s">
        <v>3704</v>
      </c>
      <c r="C939" s="135" t="s">
        <v>3705</v>
      </c>
      <c r="D939" s="4" t="s">
        <v>307</v>
      </c>
      <c r="E939" s="4" t="s">
        <v>323</v>
      </c>
      <c r="F939" s="4" t="s">
        <v>308</v>
      </c>
      <c r="G939" s="207">
        <v>1567</v>
      </c>
      <c r="H939" s="133" t="s">
        <v>3706</v>
      </c>
      <c r="I939" s="441" t="s">
        <v>3659</v>
      </c>
      <c r="J939" s="4" t="s">
        <v>3666</v>
      </c>
      <c r="K939" s="4" t="s">
        <v>3707</v>
      </c>
      <c r="L939" s="4"/>
      <c r="M939" s="103">
        <f>250000*5</f>
        <v>1250000</v>
      </c>
      <c r="N939" s="133"/>
    </row>
    <row r="940" spans="1:14" hidden="1" x14ac:dyDescent="0.3">
      <c r="A940" s="131">
        <v>37</v>
      </c>
      <c r="B940" s="521"/>
      <c r="C940" s="135" t="s">
        <v>3708</v>
      </c>
      <c r="D940" s="4" t="s">
        <v>307</v>
      </c>
      <c r="E940" s="4" t="s">
        <v>323</v>
      </c>
      <c r="F940" s="4" t="s">
        <v>308</v>
      </c>
      <c r="G940" s="207" t="s">
        <v>3709</v>
      </c>
      <c r="H940" s="133" t="s">
        <v>378</v>
      </c>
      <c r="I940" s="441" t="s">
        <v>3625</v>
      </c>
      <c r="J940" s="4" t="s">
        <v>739</v>
      </c>
      <c r="K940" s="4" t="s">
        <v>3710</v>
      </c>
      <c r="L940" s="4"/>
      <c r="M940" s="103">
        <f>250000*5</f>
        <v>1250000</v>
      </c>
      <c r="N940" s="133"/>
    </row>
    <row r="941" spans="1:14" hidden="1" x14ac:dyDescent="0.3">
      <c r="A941" s="131">
        <v>37</v>
      </c>
      <c r="B941" s="521"/>
      <c r="C941" s="135" t="s">
        <v>3711</v>
      </c>
      <c r="D941" s="4" t="s">
        <v>307</v>
      </c>
      <c r="E941" s="4" t="s">
        <v>323</v>
      </c>
      <c r="F941" s="4" t="s">
        <v>308</v>
      </c>
      <c r="G941" s="207" t="s">
        <v>3713</v>
      </c>
      <c r="H941" s="133" t="s">
        <v>265</v>
      </c>
      <c r="I941" s="441" t="s">
        <v>3714</v>
      </c>
      <c r="J941" s="4" t="s">
        <v>3655</v>
      </c>
      <c r="K941" s="4" t="s">
        <v>3715</v>
      </c>
      <c r="L941" s="4"/>
      <c r="M941" s="103">
        <f>3*250000</f>
        <v>750000</v>
      </c>
      <c r="N941" s="133"/>
    </row>
    <row r="942" spans="1:14" hidden="1" x14ac:dyDescent="0.3">
      <c r="A942" s="131">
        <v>37</v>
      </c>
      <c r="B942" s="521"/>
      <c r="C942" s="135" t="s">
        <v>3716</v>
      </c>
      <c r="D942" s="4" t="s">
        <v>307</v>
      </c>
      <c r="E942" s="4" t="s">
        <v>323</v>
      </c>
      <c r="F942" s="4" t="s">
        <v>308</v>
      </c>
      <c r="G942" s="207" t="s">
        <v>3717</v>
      </c>
      <c r="H942" s="133" t="s">
        <v>3718</v>
      </c>
      <c r="I942" s="441" t="s">
        <v>3719</v>
      </c>
      <c r="J942" s="4" t="s">
        <v>3720</v>
      </c>
      <c r="K942" s="4" t="s">
        <v>3721</v>
      </c>
      <c r="L942" s="4"/>
      <c r="M942" s="103">
        <f>2*250000</f>
        <v>500000</v>
      </c>
      <c r="N942" s="133"/>
    </row>
    <row r="943" spans="1:14" ht="27" hidden="1" x14ac:dyDescent="0.3">
      <c r="A943" s="131">
        <v>37</v>
      </c>
      <c r="B943" s="521" t="s">
        <v>3722</v>
      </c>
      <c r="C943" s="396">
        <v>45901</v>
      </c>
      <c r="D943" s="4" t="s">
        <v>3723</v>
      </c>
      <c r="E943" s="4" t="s">
        <v>3724</v>
      </c>
      <c r="F943" s="34" t="s">
        <v>3725</v>
      </c>
      <c r="G943" s="34" t="s">
        <v>2727</v>
      </c>
      <c r="H943" s="17" t="s">
        <v>3726</v>
      </c>
      <c r="I943" s="207" t="s">
        <v>3727</v>
      </c>
      <c r="J943" s="34" t="s">
        <v>3728</v>
      </c>
      <c r="K943" s="207" t="s">
        <v>3729</v>
      </c>
      <c r="L943" s="133" t="s">
        <v>3730</v>
      </c>
      <c r="M943" s="64" t="s">
        <v>3731</v>
      </c>
      <c r="N943" s="6" t="s">
        <v>3732</v>
      </c>
    </row>
    <row r="944" spans="1:14" hidden="1" x14ac:dyDescent="0.3">
      <c r="A944" s="131">
        <v>37</v>
      </c>
      <c r="B944" s="521"/>
      <c r="C944" s="396">
        <v>45902</v>
      </c>
      <c r="D944" s="4" t="s">
        <v>3722</v>
      </c>
      <c r="E944" s="4" t="s">
        <v>3733</v>
      </c>
      <c r="F944" s="4" t="s">
        <v>3734</v>
      </c>
      <c r="G944" s="476" t="s">
        <v>3735</v>
      </c>
      <c r="H944" s="17" t="s">
        <v>3736</v>
      </c>
      <c r="I944" s="207" t="s">
        <v>3737</v>
      </c>
      <c r="J944" s="34"/>
      <c r="K944" s="424" t="s">
        <v>3738</v>
      </c>
      <c r="L944" s="133" t="s">
        <v>3676</v>
      </c>
      <c r="M944" s="64">
        <v>250000</v>
      </c>
      <c r="N944" s="6" t="s">
        <v>3732</v>
      </c>
    </row>
    <row r="945" spans="1:14" ht="27" hidden="1" x14ac:dyDescent="0.3">
      <c r="A945" s="131">
        <v>37</v>
      </c>
      <c r="B945" s="521"/>
      <c r="C945" s="396">
        <v>45905</v>
      </c>
      <c r="D945" s="4" t="s">
        <v>3739</v>
      </c>
      <c r="E945" s="4" t="s">
        <v>3740</v>
      </c>
      <c r="F945" s="34" t="s">
        <v>3741</v>
      </c>
      <c r="G945" s="34" t="s">
        <v>3742</v>
      </c>
      <c r="H945" s="17" t="s">
        <v>3743</v>
      </c>
      <c r="I945" s="207" t="s">
        <v>3744</v>
      </c>
      <c r="J945" s="34"/>
      <c r="K945" s="34" t="s">
        <v>3745</v>
      </c>
      <c r="L945" s="133" t="s">
        <v>3746</v>
      </c>
      <c r="M945" s="64" t="s">
        <v>3747</v>
      </c>
      <c r="N945" s="6" t="s">
        <v>3748</v>
      </c>
    </row>
    <row r="946" spans="1:14" hidden="1" x14ac:dyDescent="0.3">
      <c r="A946" s="131">
        <v>37</v>
      </c>
      <c r="B946" s="521"/>
      <c r="C946" s="396">
        <v>45906</v>
      </c>
      <c r="D946" s="4" t="s">
        <v>3749</v>
      </c>
      <c r="E946" s="4" t="s">
        <v>3733</v>
      </c>
      <c r="F946" s="34" t="s">
        <v>3750</v>
      </c>
      <c r="G946" s="34" t="s">
        <v>2473</v>
      </c>
      <c r="H946" s="17" t="s">
        <v>3751</v>
      </c>
      <c r="I946" s="207" t="s">
        <v>3752</v>
      </c>
      <c r="J946" s="207"/>
      <c r="K946" s="207" t="s">
        <v>3753</v>
      </c>
      <c r="L946" s="133" t="s">
        <v>84</v>
      </c>
      <c r="M946" s="475">
        <v>250000</v>
      </c>
      <c r="N946" s="6" t="s">
        <v>3754</v>
      </c>
    </row>
    <row r="947" spans="1:14" hidden="1" x14ac:dyDescent="0.3">
      <c r="A947" s="131">
        <v>37</v>
      </c>
      <c r="B947" s="521"/>
      <c r="C947" s="396">
        <v>45906</v>
      </c>
      <c r="D947" s="4" t="s">
        <v>21</v>
      </c>
      <c r="E947" s="4" t="s">
        <v>3755</v>
      </c>
      <c r="F947" s="34" t="s">
        <v>1796</v>
      </c>
      <c r="G947" s="34" t="s">
        <v>2473</v>
      </c>
      <c r="H947" s="17" t="s">
        <v>3756</v>
      </c>
      <c r="I947" s="207" t="s">
        <v>3757</v>
      </c>
      <c r="J947" s="207" t="s">
        <v>3758</v>
      </c>
      <c r="K947" s="424" t="s">
        <v>3759</v>
      </c>
      <c r="L947" s="133" t="s">
        <v>3760</v>
      </c>
      <c r="M947" s="475">
        <v>250000</v>
      </c>
      <c r="N947" s="6" t="s">
        <v>3732</v>
      </c>
    </row>
    <row r="948" spans="1:14" ht="27" hidden="1" x14ac:dyDescent="0.3">
      <c r="A948" s="131">
        <v>37</v>
      </c>
      <c r="B948" s="521"/>
      <c r="C948" s="396">
        <v>45908</v>
      </c>
      <c r="D948" s="4" t="s">
        <v>3722</v>
      </c>
      <c r="E948" s="4" t="s">
        <v>3740</v>
      </c>
      <c r="F948" s="34" t="s">
        <v>2140</v>
      </c>
      <c r="G948" s="34" t="s">
        <v>3761</v>
      </c>
      <c r="H948" s="17" t="s">
        <v>3762</v>
      </c>
      <c r="I948" s="207" t="s">
        <v>3763</v>
      </c>
      <c r="J948" s="34" t="s">
        <v>3758</v>
      </c>
      <c r="K948" s="207" t="s">
        <v>3764</v>
      </c>
      <c r="L948" s="133" t="s">
        <v>3760</v>
      </c>
      <c r="M948" s="64" t="s">
        <v>3747</v>
      </c>
      <c r="N948" s="6" t="s">
        <v>3765</v>
      </c>
    </row>
    <row r="949" spans="1:14" hidden="1" x14ac:dyDescent="0.3">
      <c r="A949" s="131">
        <v>37</v>
      </c>
      <c r="B949" s="521"/>
      <c r="C949" s="396">
        <v>45908</v>
      </c>
      <c r="D949" s="4" t="s">
        <v>3722</v>
      </c>
      <c r="E949" s="4" t="s">
        <v>3671</v>
      </c>
      <c r="F949" s="34" t="s">
        <v>3766</v>
      </c>
      <c r="G949" s="34" t="s">
        <v>3767</v>
      </c>
      <c r="H949" s="17" t="s">
        <v>3768</v>
      </c>
      <c r="I949" s="207" t="s">
        <v>3769</v>
      </c>
      <c r="J949" s="34"/>
      <c r="K949" s="207" t="s">
        <v>3770</v>
      </c>
      <c r="L949" s="133" t="s">
        <v>3730</v>
      </c>
      <c r="M949" s="475">
        <v>500000</v>
      </c>
      <c r="N949" s="6" t="s">
        <v>3614</v>
      </c>
    </row>
    <row r="950" spans="1:14" hidden="1" x14ac:dyDescent="0.3">
      <c r="A950" s="131">
        <v>37</v>
      </c>
      <c r="B950" s="521"/>
      <c r="C950" s="396">
        <v>45909</v>
      </c>
      <c r="D950" s="4" t="s">
        <v>3722</v>
      </c>
      <c r="E950" s="4" t="s">
        <v>3740</v>
      </c>
      <c r="F950" s="34" t="s">
        <v>3771</v>
      </c>
      <c r="G950" s="34" t="s">
        <v>3772</v>
      </c>
      <c r="H950" s="17" t="s">
        <v>3736</v>
      </c>
      <c r="I950" s="207" t="s">
        <v>3773</v>
      </c>
      <c r="J950" s="34" t="s">
        <v>121</v>
      </c>
      <c r="K950" s="207" t="s">
        <v>3774</v>
      </c>
      <c r="L950" s="133" t="s">
        <v>3775</v>
      </c>
      <c r="M950" s="475">
        <v>500000</v>
      </c>
      <c r="N950" s="6" t="s">
        <v>3776</v>
      </c>
    </row>
    <row r="951" spans="1:14" hidden="1" x14ac:dyDescent="0.3">
      <c r="A951" s="131">
        <v>37</v>
      </c>
      <c r="B951" s="521"/>
      <c r="C951" s="396">
        <v>45910</v>
      </c>
      <c r="D951" s="4" t="s">
        <v>3777</v>
      </c>
      <c r="E951" s="4" t="s">
        <v>3778</v>
      </c>
      <c r="F951" s="34" t="s">
        <v>3779</v>
      </c>
      <c r="G951" s="34" t="s">
        <v>3761</v>
      </c>
      <c r="H951" s="17" t="s">
        <v>3780</v>
      </c>
      <c r="I951" s="207" t="s">
        <v>3781</v>
      </c>
      <c r="J951" s="34" t="s">
        <v>3782</v>
      </c>
      <c r="K951" s="417" t="s">
        <v>3783</v>
      </c>
      <c r="L951" s="133" t="s">
        <v>84</v>
      </c>
      <c r="M951" s="475">
        <v>1000000</v>
      </c>
      <c r="N951" s="6" t="s">
        <v>3784</v>
      </c>
    </row>
    <row r="952" spans="1:14" hidden="1" x14ac:dyDescent="0.3">
      <c r="A952" s="131">
        <v>37</v>
      </c>
      <c r="B952" s="521"/>
      <c r="C952" s="396">
        <v>45911</v>
      </c>
      <c r="D952" s="4" t="s">
        <v>3777</v>
      </c>
      <c r="E952" s="4" t="s">
        <v>3785</v>
      </c>
      <c r="F952" s="34" t="s">
        <v>3786</v>
      </c>
      <c r="G952" s="34" t="s">
        <v>3787</v>
      </c>
      <c r="H952" s="17" t="s">
        <v>3762</v>
      </c>
      <c r="I952" s="207" t="s">
        <v>3788</v>
      </c>
      <c r="J952" s="34" t="s">
        <v>3690</v>
      </c>
      <c r="K952" s="207" t="s">
        <v>3789</v>
      </c>
      <c r="L952" s="133" t="s">
        <v>3790</v>
      </c>
      <c r="M952" s="100">
        <v>250000</v>
      </c>
      <c r="N952" s="6" t="s">
        <v>1660</v>
      </c>
    </row>
    <row r="953" spans="1:14" hidden="1" x14ac:dyDescent="0.3">
      <c r="A953" s="131">
        <v>37</v>
      </c>
      <c r="B953" s="521"/>
      <c r="C953" s="396">
        <v>45912</v>
      </c>
      <c r="D953" s="4" t="s">
        <v>3791</v>
      </c>
      <c r="E953" s="4" t="s">
        <v>3792</v>
      </c>
      <c r="F953" s="34" t="s">
        <v>3779</v>
      </c>
      <c r="G953" s="34" t="s">
        <v>2727</v>
      </c>
      <c r="H953" s="17" t="s">
        <v>3762</v>
      </c>
      <c r="I953" s="207" t="s">
        <v>304</v>
      </c>
      <c r="J953" s="34" t="s">
        <v>3728</v>
      </c>
      <c r="K953" s="207" t="s">
        <v>3793</v>
      </c>
      <c r="L953" s="133" t="s">
        <v>3746</v>
      </c>
      <c r="M953" s="475">
        <v>250000</v>
      </c>
      <c r="N953" s="6" t="s">
        <v>3794</v>
      </c>
    </row>
    <row r="954" spans="1:14" ht="27" hidden="1" x14ac:dyDescent="0.3">
      <c r="A954" s="131">
        <v>38</v>
      </c>
      <c r="B954" s="521" t="s">
        <v>176</v>
      </c>
      <c r="C954" s="396" t="s">
        <v>3795</v>
      </c>
      <c r="D954" s="4" t="s">
        <v>307</v>
      </c>
      <c r="E954" s="4" t="s">
        <v>323</v>
      </c>
      <c r="F954" s="4" t="s">
        <v>308</v>
      </c>
      <c r="G954" s="207">
        <v>1567</v>
      </c>
      <c r="H954" s="133" t="s">
        <v>3796</v>
      </c>
      <c r="I954" s="441" t="s">
        <v>3629</v>
      </c>
      <c r="J954" s="4" t="s">
        <v>3797</v>
      </c>
      <c r="K954" s="4" t="s">
        <v>649</v>
      </c>
      <c r="L954" s="4"/>
      <c r="M954" s="103">
        <v>1000000</v>
      </c>
      <c r="N954" s="133"/>
    </row>
    <row r="955" spans="1:14" hidden="1" x14ac:dyDescent="0.3">
      <c r="A955" s="131">
        <v>38</v>
      </c>
      <c r="B955" s="521"/>
      <c r="C955" s="135" t="s">
        <v>3798</v>
      </c>
      <c r="D955" s="4" t="s">
        <v>307</v>
      </c>
      <c r="E955" s="4" t="s">
        <v>323</v>
      </c>
      <c r="F955" s="4" t="s">
        <v>308</v>
      </c>
      <c r="G955" s="207" t="s">
        <v>3799</v>
      </c>
      <c r="H955" s="133" t="s">
        <v>3718</v>
      </c>
      <c r="I955" s="441" t="s">
        <v>3800</v>
      </c>
      <c r="J955" s="4" t="s">
        <v>3801</v>
      </c>
      <c r="K955" s="4" t="s">
        <v>3802</v>
      </c>
      <c r="L955" s="4"/>
      <c r="M955" s="103">
        <v>1250000</v>
      </c>
      <c r="N955" s="133"/>
    </row>
    <row r="956" spans="1:14" ht="27" hidden="1" x14ac:dyDescent="0.3">
      <c r="A956" s="131">
        <v>38</v>
      </c>
      <c r="B956" s="521" t="s">
        <v>3739</v>
      </c>
      <c r="C956" s="396">
        <v>45909</v>
      </c>
      <c r="D956" s="4" t="s">
        <v>3803</v>
      </c>
      <c r="E956" s="4" t="s">
        <v>30</v>
      </c>
      <c r="F956" s="34" t="s">
        <v>3804</v>
      </c>
      <c r="G956" s="34" t="s">
        <v>3787</v>
      </c>
      <c r="H956" s="17" t="s">
        <v>3726</v>
      </c>
      <c r="I956" s="207" t="s">
        <v>3805</v>
      </c>
      <c r="J956" s="34"/>
      <c r="K956" s="34" t="s">
        <v>3806</v>
      </c>
      <c r="L956" s="133" t="s">
        <v>3730</v>
      </c>
      <c r="M956" s="17" t="s">
        <v>3807</v>
      </c>
      <c r="N956" s="6" t="s">
        <v>3808</v>
      </c>
    </row>
    <row r="957" spans="1:14" ht="27" hidden="1" x14ac:dyDescent="0.3">
      <c r="A957" s="131">
        <v>38</v>
      </c>
      <c r="B957" s="521"/>
      <c r="C957" s="396">
        <v>45911</v>
      </c>
      <c r="D957" s="4" t="s">
        <v>21</v>
      </c>
      <c r="E957" s="4" t="s">
        <v>3724</v>
      </c>
      <c r="F957" s="34" t="s">
        <v>3725</v>
      </c>
      <c r="G957" s="34" t="s">
        <v>3809</v>
      </c>
      <c r="H957" s="17" t="s">
        <v>3736</v>
      </c>
      <c r="I957" s="207" t="s">
        <v>3810</v>
      </c>
      <c r="J957" s="34" t="s">
        <v>3811</v>
      </c>
      <c r="K957" s="207" t="s">
        <v>3812</v>
      </c>
      <c r="L957" s="133" t="s">
        <v>3813</v>
      </c>
      <c r="M957" s="17" t="s">
        <v>3731</v>
      </c>
      <c r="N957" s="6" t="s">
        <v>3814</v>
      </c>
    </row>
    <row r="958" spans="1:14" ht="27" hidden="1" x14ac:dyDescent="0.3">
      <c r="A958" s="131">
        <v>38</v>
      </c>
      <c r="B958" s="521"/>
      <c r="C958" s="396">
        <v>45912</v>
      </c>
      <c r="D958" s="4" t="s">
        <v>3739</v>
      </c>
      <c r="E958" s="4" t="s">
        <v>3815</v>
      </c>
      <c r="F958" s="34" t="s">
        <v>3816</v>
      </c>
      <c r="G958" s="34" t="s">
        <v>3817</v>
      </c>
      <c r="H958" s="17" t="s">
        <v>3818</v>
      </c>
      <c r="I958" s="207" t="s">
        <v>3819</v>
      </c>
      <c r="J958" s="34"/>
      <c r="K958" s="34" t="s">
        <v>3820</v>
      </c>
      <c r="L958" s="133" t="s">
        <v>3821</v>
      </c>
      <c r="M958" s="17" t="s">
        <v>3822</v>
      </c>
      <c r="N958" s="6" t="s">
        <v>3823</v>
      </c>
    </row>
    <row r="959" spans="1:14" hidden="1" x14ac:dyDescent="0.3">
      <c r="A959" s="131">
        <v>38</v>
      </c>
      <c r="B959" s="521"/>
      <c r="C959" s="396" t="s">
        <v>3824</v>
      </c>
      <c r="D959" s="4" t="s">
        <v>3803</v>
      </c>
      <c r="E959" s="4" t="s">
        <v>3825</v>
      </c>
      <c r="F959" s="34" t="s">
        <v>3771</v>
      </c>
      <c r="G959" s="34" t="s">
        <v>3827</v>
      </c>
      <c r="H959" s="17"/>
      <c r="I959" s="207" t="s">
        <v>3828</v>
      </c>
      <c r="J959" s="34" t="s">
        <v>3782</v>
      </c>
      <c r="K959" s="207" t="s">
        <v>3829</v>
      </c>
      <c r="L959" s="133" t="s">
        <v>84</v>
      </c>
      <c r="M959" s="64">
        <f>250000*9</f>
        <v>2250000</v>
      </c>
      <c r="N959" s="6" t="s">
        <v>3701</v>
      </c>
    </row>
    <row r="960" spans="1:14" ht="27" hidden="1" x14ac:dyDescent="0.3">
      <c r="A960" s="131">
        <v>38</v>
      </c>
      <c r="B960" s="521"/>
      <c r="C960" s="396">
        <v>45915</v>
      </c>
      <c r="D960" s="4" t="s">
        <v>3739</v>
      </c>
      <c r="E960" s="4" t="s">
        <v>3830</v>
      </c>
      <c r="F960" s="34" t="s">
        <v>3831</v>
      </c>
      <c r="G960" s="34" t="s">
        <v>3832</v>
      </c>
      <c r="H960" s="17" t="s">
        <v>3833</v>
      </c>
      <c r="I960" s="207" t="s">
        <v>3834</v>
      </c>
      <c r="J960" s="34" t="s">
        <v>121</v>
      </c>
      <c r="K960" s="207" t="s">
        <v>3835</v>
      </c>
      <c r="L960" s="133" t="s">
        <v>3836</v>
      </c>
      <c r="M960" s="17" t="s">
        <v>3837</v>
      </c>
      <c r="N960" s="6" t="s">
        <v>3838</v>
      </c>
    </row>
    <row r="961" spans="1:14" hidden="1" x14ac:dyDescent="0.3">
      <c r="A961" s="131">
        <v>38</v>
      </c>
      <c r="B961" s="521"/>
      <c r="C961" s="396">
        <v>45915</v>
      </c>
      <c r="D961" s="4" t="s">
        <v>312</v>
      </c>
      <c r="E961" s="4" t="s">
        <v>321</v>
      </c>
      <c r="F961" s="34" t="s">
        <v>2613</v>
      </c>
      <c r="G961" s="34" t="s">
        <v>2763</v>
      </c>
      <c r="H961" s="17" t="s">
        <v>349</v>
      </c>
      <c r="I961" s="207" t="s">
        <v>217</v>
      </c>
      <c r="J961" s="34" t="s">
        <v>704</v>
      </c>
      <c r="K961" s="207" t="s">
        <v>3839</v>
      </c>
      <c r="L961" s="133" t="s">
        <v>310</v>
      </c>
      <c r="M961" s="100">
        <v>500000</v>
      </c>
      <c r="N961" s="6" t="s">
        <v>3840</v>
      </c>
    </row>
    <row r="962" spans="1:14" hidden="1" x14ac:dyDescent="0.3">
      <c r="A962" s="131">
        <v>38</v>
      </c>
      <c r="B962" s="521"/>
      <c r="C962" s="396" t="s">
        <v>3841</v>
      </c>
      <c r="D962" s="4" t="s">
        <v>3803</v>
      </c>
      <c r="E962" s="4" t="s">
        <v>3724</v>
      </c>
      <c r="F962" s="34" t="s">
        <v>3842</v>
      </c>
      <c r="G962" s="34" t="s">
        <v>2839</v>
      </c>
      <c r="H962" s="17" t="s">
        <v>3843</v>
      </c>
      <c r="I962" s="207" t="s">
        <v>3844</v>
      </c>
      <c r="J962" s="34" t="s">
        <v>3845</v>
      </c>
      <c r="K962" s="34" t="s">
        <v>3846</v>
      </c>
      <c r="L962" s="133" t="s">
        <v>3813</v>
      </c>
      <c r="M962" s="475">
        <v>500000</v>
      </c>
      <c r="N962" s="6" t="s">
        <v>3847</v>
      </c>
    </row>
    <row r="963" spans="1:14" ht="27" hidden="1" x14ac:dyDescent="0.3">
      <c r="A963" s="131">
        <v>38</v>
      </c>
      <c r="B963" s="521"/>
      <c r="C963" s="396">
        <v>45917</v>
      </c>
      <c r="D963" s="4" t="s">
        <v>3777</v>
      </c>
      <c r="E963" s="4" t="s">
        <v>30</v>
      </c>
      <c r="F963" s="34" t="s">
        <v>3848</v>
      </c>
      <c r="G963" s="34" t="s">
        <v>2020</v>
      </c>
      <c r="H963" s="17" t="s">
        <v>3780</v>
      </c>
      <c r="I963" s="207" t="s">
        <v>3849</v>
      </c>
      <c r="J963" s="34" t="s">
        <v>3850</v>
      </c>
      <c r="K963" s="34" t="s">
        <v>3851</v>
      </c>
      <c r="L963" s="133" t="s">
        <v>3790</v>
      </c>
      <c r="M963" s="17" t="s">
        <v>3852</v>
      </c>
      <c r="N963" s="6" t="s">
        <v>3329</v>
      </c>
    </row>
    <row r="964" spans="1:14" hidden="1" x14ac:dyDescent="0.3">
      <c r="A964" s="131">
        <v>38</v>
      </c>
      <c r="B964" s="521"/>
      <c r="C964" s="396">
        <v>45918</v>
      </c>
      <c r="D964" s="4" t="s">
        <v>3749</v>
      </c>
      <c r="E964" s="4" t="s">
        <v>3740</v>
      </c>
      <c r="F964" s="34" t="s">
        <v>2461</v>
      </c>
      <c r="G964" s="34">
        <v>3307</v>
      </c>
      <c r="H964" s="4" t="s">
        <v>3853</v>
      </c>
      <c r="I964" s="207" t="s">
        <v>3854</v>
      </c>
      <c r="J964" s="34" t="s">
        <v>3855</v>
      </c>
      <c r="K964" s="207" t="s">
        <v>3856</v>
      </c>
      <c r="L964" s="133" t="s">
        <v>3676</v>
      </c>
      <c r="M964" s="100">
        <v>250000</v>
      </c>
      <c r="N964" s="6" t="s">
        <v>3857</v>
      </c>
    </row>
    <row r="965" spans="1:14" hidden="1" x14ac:dyDescent="0.3">
      <c r="A965" s="131">
        <v>39</v>
      </c>
      <c r="B965" s="521" t="s">
        <v>3858</v>
      </c>
      <c r="C965" s="396">
        <v>45922</v>
      </c>
      <c r="D965" s="4" t="s">
        <v>307</v>
      </c>
      <c r="E965" s="4" t="s">
        <v>323</v>
      </c>
      <c r="F965" s="4" t="s">
        <v>308</v>
      </c>
      <c r="G965" s="207" t="s">
        <v>3859</v>
      </c>
      <c r="H965" s="133" t="s">
        <v>664</v>
      </c>
      <c r="I965" s="441" t="s">
        <v>3860</v>
      </c>
      <c r="J965" s="4" t="s">
        <v>3666</v>
      </c>
      <c r="K965" s="4" t="s">
        <v>3856</v>
      </c>
      <c r="L965" s="4"/>
      <c r="M965" s="103">
        <v>250000</v>
      </c>
      <c r="N965" s="133"/>
    </row>
    <row r="966" spans="1:14" hidden="1" x14ac:dyDescent="0.3">
      <c r="A966" s="131">
        <v>39</v>
      </c>
      <c r="B966" s="521"/>
      <c r="C966" s="396" t="s">
        <v>3861</v>
      </c>
      <c r="D966" s="4" t="s">
        <v>307</v>
      </c>
      <c r="E966" s="4" t="s">
        <v>323</v>
      </c>
      <c r="F966" s="4" t="s">
        <v>308</v>
      </c>
      <c r="G966" s="207">
        <v>1568</v>
      </c>
      <c r="H966" s="133" t="s">
        <v>484</v>
      </c>
      <c r="I966" s="441" t="s">
        <v>3862</v>
      </c>
      <c r="J966" s="4" t="s">
        <v>3863</v>
      </c>
      <c r="K966" s="4" t="s">
        <v>3864</v>
      </c>
      <c r="L966" s="4"/>
      <c r="M966" s="103">
        <v>1000000</v>
      </c>
      <c r="N966" s="133"/>
    </row>
    <row r="967" spans="1:14" hidden="1" x14ac:dyDescent="0.3">
      <c r="A967" s="131">
        <v>39</v>
      </c>
      <c r="B967" s="521"/>
      <c r="C967" s="396" t="s">
        <v>3866</v>
      </c>
      <c r="D967" s="4" t="s">
        <v>307</v>
      </c>
      <c r="E967" s="4" t="s">
        <v>323</v>
      </c>
      <c r="F967" s="4" t="s">
        <v>308</v>
      </c>
      <c r="G967" s="207" t="s">
        <v>3867</v>
      </c>
      <c r="H967" s="133" t="s">
        <v>3868</v>
      </c>
      <c r="I967" s="441" t="s">
        <v>3800</v>
      </c>
      <c r="J967" s="4" t="s">
        <v>3869</v>
      </c>
      <c r="K967" s="4" t="s">
        <v>3870</v>
      </c>
      <c r="L967" s="4"/>
      <c r="M967" s="103">
        <v>1250000</v>
      </c>
      <c r="N967" s="133"/>
    </row>
    <row r="968" spans="1:14" hidden="1" x14ac:dyDescent="0.3">
      <c r="A968" s="131">
        <v>39</v>
      </c>
      <c r="B968" s="521" t="s">
        <v>3739</v>
      </c>
      <c r="C968" s="396">
        <v>45919</v>
      </c>
      <c r="D968" s="4" t="s">
        <v>3791</v>
      </c>
      <c r="E968" s="4" t="s">
        <v>3785</v>
      </c>
      <c r="F968" s="34" t="s">
        <v>3871</v>
      </c>
      <c r="G968" s="34" t="s">
        <v>3872</v>
      </c>
      <c r="H968" s="17" t="s">
        <v>3718</v>
      </c>
      <c r="I968" s="207" t="s">
        <v>3873</v>
      </c>
      <c r="J968" s="34" t="s">
        <v>3850</v>
      </c>
      <c r="K968" s="34" t="s">
        <v>3753</v>
      </c>
      <c r="L968" s="133" t="s">
        <v>3730</v>
      </c>
      <c r="M968" s="100">
        <v>250000</v>
      </c>
      <c r="N968" s="6" t="s">
        <v>3874</v>
      </c>
    </row>
    <row r="969" spans="1:14" hidden="1" x14ac:dyDescent="0.3">
      <c r="A969" s="131">
        <v>39</v>
      </c>
      <c r="B969" s="521"/>
      <c r="C969" s="396">
        <v>45920</v>
      </c>
      <c r="D969" s="4" t="s">
        <v>3749</v>
      </c>
      <c r="E969" s="4" t="s">
        <v>3724</v>
      </c>
      <c r="F969" s="34" t="s">
        <v>3875</v>
      </c>
      <c r="G969" s="34">
        <v>3307</v>
      </c>
      <c r="H969" s="4" t="s">
        <v>3876</v>
      </c>
      <c r="I969" s="207" t="s">
        <v>3877</v>
      </c>
      <c r="J969" s="34" t="s">
        <v>121</v>
      </c>
      <c r="K969" s="207" t="s">
        <v>3878</v>
      </c>
      <c r="L969" s="133" t="s">
        <v>568</v>
      </c>
      <c r="M969" s="100">
        <v>500000</v>
      </c>
      <c r="N969" s="6" t="s">
        <v>3879</v>
      </c>
    </row>
    <row r="970" spans="1:14" hidden="1" x14ac:dyDescent="0.3">
      <c r="A970" s="131">
        <v>39</v>
      </c>
      <c r="B970" s="521"/>
      <c r="C970" s="396">
        <v>45922</v>
      </c>
      <c r="D970" s="4" t="s">
        <v>3722</v>
      </c>
      <c r="E970" s="4" t="s">
        <v>3671</v>
      </c>
      <c r="F970" s="34" t="s">
        <v>3766</v>
      </c>
      <c r="G970" s="34">
        <v>3307</v>
      </c>
      <c r="H970" s="4" t="s">
        <v>3853</v>
      </c>
      <c r="I970" s="207" t="s">
        <v>3880</v>
      </c>
      <c r="J970" s="34" t="s">
        <v>121</v>
      </c>
      <c r="K970" s="207" t="s">
        <v>3881</v>
      </c>
      <c r="L970" s="133" t="s">
        <v>3882</v>
      </c>
      <c r="M970" s="100">
        <v>250000</v>
      </c>
      <c r="N970" s="6" t="s">
        <v>3329</v>
      </c>
    </row>
    <row r="971" spans="1:14" hidden="1" x14ac:dyDescent="0.3">
      <c r="A971" s="131">
        <v>39</v>
      </c>
      <c r="B971" s="521"/>
      <c r="C971" s="396" t="s">
        <v>3865</v>
      </c>
      <c r="D971" s="4" t="s">
        <v>3791</v>
      </c>
      <c r="E971" s="4" t="s">
        <v>3825</v>
      </c>
      <c r="F971" s="34" t="s">
        <v>3786</v>
      </c>
      <c r="G971" s="34" t="s">
        <v>3826</v>
      </c>
      <c r="H971" s="17"/>
      <c r="I971" s="207" t="s">
        <v>3883</v>
      </c>
      <c r="J971" s="207" t="s">
        <v>3884</v>
      </c>
      <c r="K971" s="34" t="s">
        <v>3885</v>
      </c>
      <c r="L971" s="133" t="s">
        <v>3886</v>
      </c>
      <c r="M971" s="100">
        <f>250000*10</f>
        <v>2500000</v>
      </c>
      <c r="N971" s="6" t="s">
        <v>3887</v>
      </c>
    </row>
    <row r="972" spans="1:14" ht="27" hidden="1" x14ac:dyDescent="0.3">
      <c r="A972" s="131">
        <v>39</v>
      </c>
      <c r="B972" s="521"/>
      <c r="C972" s="396" t="s">
        <v>3888</v>
      </c>
      <c r="D972" s="4" t="s">
        <v>3803</v>
      </c>
      <c r="E972" s="4" t="s">
        <v>30</v>
      </c>
      <c r="F972" s="34" t="s">
        <v>3889</v>
      </c>
      <c r="G972" s="17">
        <v>3307</v>
      </c>
      <c r="H972" s="4" t="s">
        <v>813</v>
      </c>
      <c r="I972" s="207" t="s">
        <v>3890</v>
      </c>
      <c r="J972" s="207" t="s">
        <v>1958</v>
      </c>
      <c r="K972" s="207" t="s">
        <v>3891</v>
      </c>
      <c r="L972" s="133" t="s">
        <v>3892</v>
      </c>
      <c r="M972" s="17" t="s">
        <v>3747</v>
      </c>
      <c r="N972" s="133" t="s">
        <v>3893</v>
      </c>
    </row>
    <row r="973" spans="1:14" ht="27" hidden="1" x14ac:dyDescent="0.3">
      <c r="A973" s="131">
        <v>39</v>
      </c>
      <c r="B973" s="521"/>
      <c r="C973" s="396" t="s">
        <v>3894</v>
      </c>
      <c r="D973" s="4" t="s">
        <v>3803</v>
      </c>
      <c r="E973" s="4" t="s">
        <v>3815</v>
      </c>
      <c r="F973" s="34" t="s">
        <v>3895</v>
      </c>
      <c r="G973" s="17">
        <v>3307</v>
      </c>
      <c r="H973" s="4" t="s">
        <v>3896</v>
      </c>
      <c r="I973" s="207" t="s">
        <v>3897</v>
      </c>
      <c r="J973" s="207" t="s">
        <v>3898</v>
      </c>
      <c r="K973" s="207" t="s">
        <v>3899</v>
      </c>
      <c r="L973" s="133" t="s">
        <v>568</v>
      </c>
      <c r="M973" s="17" t="s">
        <v>3677</v>
      </c>
      <c r="N973" s="133" t="s">
        <v>3900</v>
      </c>
    </row>
    <row r="974" spans="1:14" hidden="1" x14ac:dyDescent="0.3">
      <c r="A974" s="131">
        <v>39</v>
      </c>
      <c r="B974" s="521"/>
      <c r="C974" s="396" t="s">
        <v>3901</v>
      </c>
      <c r="D974" s="4" t="s">
        <v>3739</v>
      </c>
      <c r="E974" s="4" t="s">
        <v>3815</v>
      </c>
      <c r="F974" s="34" t="s">
        <v>3766</v>
      </c>
      <c r="G974" s="17" t="s">
        <v>3902</v>
      </c>
      <c r="H974" s="14" t="s">
        <v>3903</v>
      </c>
      <c r="I974" s="207" t="s">
        <v>3904</v>
      </c>
      <c r="J974" s="207" t="s">
        <v>3758</v>
      </c>
      <c r="K974" s="207" t="s">
        <v>3905</v>
      </c>
      <c r="L974" s="133" t="s">
        <v>3821</v>
      </c>
      <c r="M974" s="100">
        <v>500000</v>
      </c>
      <c r="N974" s="133" t="s">
        <v>3618</v>
      </c>
    </row>
    <row r="975" spans="1:14" ht="27" hidden="1" x14ac:dyDescent="0.3">
      <c r="A975" s="131">
        <v>39</v>
      </c>
      <c r="B975" s="521"/>
      <c r="C975" s="396">
        <v>45926</v>
      </c>
      <c r="D975" s="4" t="s">
        <v>21</v>
      </c>
      <c r="E975" s="4" t="s">
        <v>3785</v>
      </c>
      <c r="F975" s="34" t="s">
        <v>3906</v>
      </c>
      <c r="G975" s="34" t="s">
        <v>3907</v>
      </c>
      <c r="H975" s="34" t="s">
        <v>3736</v>
      </c>
      <c r="I975" s="207" t="s">
        <v>3908</v>
      </c>
      <c r="J975" s="34" t="s">
        <v>121</v>
      </c>
      <c r="K975" s="207" t="s">
        <v>688</v>
      </c>
      <c r="L975" s="133" t="s">
        <v>3813</v>
      </c>
      <c r="M975" s="475">
        <v>250000</v>
      </c>
      <c r="N975" s="6" t="s">
        <v>3838</v>
      </c>
    </row>
    <row r="976" spans="1:14" hidden="1" x14ac:dyDescent="0.3">
      <c r="A976" s="131">
        <v>40</v>
      </c>
      <c r="B976" s="521" t="s">
        <v>3909</v>
      </c>
      <c r="C976" s="4" t="s">
        <v>3910</v>
      </c>
      <c r="D976" s="4" t="s">
        <v>307</v>
      </c>
      <c r="E976" s="4" t="s">
        <v>323</v>
      </c>
      <c r="F976" s="4" t="s">
        <v>308</v>
      </c>
      <c r="G976" s="207" t="s">
        <v>3911</v>
      </c>
      <c r="H976" s="133" t="s">
        <v>3868</v>
      </c>
      <c r="I976" s="441" t="s">
        <v>3912</v>
      </c>
      <c r="J976" s="4" t="s">
        <v>3720</v>
      </c>
      <c r="K976" s="4" t="s">
        <v>3913</v>
      </c>
      <c r="L976" s="4"/>
      <c r="M976" s="103">
        <v>750000</v>
      </c>
      <c r="N976" s="133"/>
    </row>
    <row r="977" spans="1:14" hidden="1" x14ac:dyDescent="0.3">
      <c r="A977" s="131">
        <v>40</v>
      </c>
      <c r="B977" s="521"/>
      <c r="C977" s="4" t="s">
        <v>3914</v>
      </c>
      <c r="D977" s="4" t="s">
        <v>307</v>
      </c>
      <c r="E977" s="4" t="s">
        <v>323</v>
      </c>
      <c r="F977" s="4" t="s">
        <v>308</v>
      </c>
      <c r="G977" s="207" t="s">
        <v>3657</v>
      </c>
      <c r="H977" s="133" t="s">
        <v>3915</v>
      </c>
      <c r="I977" s="441" t="s">
        <v>380</v>
      </c>
      <c r="J977" s="4" t="s">
        <v>3863</v>
      </c>
      <c r="K977" s="4" t="s">
        <v>3916</v>
      </c>
      <c r="L977" s="4"/>
      <c r="M977" s="103">
        <v>750000</v>
      </c>
      <c r="N977" s="133"/>
    </row>
    <row r="978" spans="1:14" hidden="1" x14ac:dyDescent="0.3">
      <c r="A978" s="131">
        <v>40</v>
      </c>
      <c r="B978" s="521"/>
      <c r="C978" s="4" t="s">
        <v>3917</v>
      </c>
      <c r="D978" s="4" t="s">
        <v>307</v>
      </c>
      <c r="E978" s="4" t="s">
        <v>323</v>
      </c>
      <c r="F978" s="4" t="s">
        <v>308</v>
      </c>
      <c r="G978" s="207">
        <v>1568</v>
      </c>
      <c r="H978" s="133" t="s">
        <v>3918</v>
      </c>
      <c r="I978" s="441" t="s">
        <v>3919</v>
      </c>
      <c r="J978" s="4" t="s">
        <v>3920</v>
      </c>
      <c r="K978" s="4" t="s">
        <v>3921</v>
      </c>
      <c r="L978" s="4"/>
      <c r="M978" s="103">
        <v>1000000</v>
      </c>
      <c r="N978" s="133"/>
    </row>
    <row r="979" spans="1:14" hidden="1" x14ac:dyDescent="0.3">
      <c r="A979" s="131">
        <v>40</v>
      </c>
      <c r="B979" s="521" t="s">
        <v>3749</v>
      </c>
      <c r="C979" s="396">
        <v>45927</v>
      </c>
      <c r="D979" s="4" t="s">
        <v>3749</v>
      </c>
      <c r="E979" s="4" t="s">
        <v>3922</v>
      </c>
      <c r="F979" s="34" t="s">
        <v>3923</v>
      </c>
      <c r="G979" s="34" t="s">
        <v>3924</v>
      </c>
      <c r="H979" s="17" t="s">
        <v>3925</v>
      </c>
      <c r="I979" s="207" t="s">
        <v>3926</v>
      </c>
      <c r="J979" s="207" t="s">
        <v>121</v>
      </c>
      <c r="K979" s="207" t="s">
        <v>796</v>
      </c>
      <c r="L979" s="133" t="s">
        <v>3760</v>
      </c>
      <c r="M979" s="100">
        <v>500000</v>
      </c>
      <c r="N979" s="6" t="s">
        <v>3927</v>
      </c>
    </row>
    <row r="980" spans="1:14" hidden="1" x14ac:dyDescent="0.3">
      <c r="A980" s="131">
        <v>40</v>
      </c>
      <c r="B980" s="521"/>
      <c r="C980" s="396">
        <v>45929</v>
      </c>
      <c r="D980" s="4" t="s">
        <v>3749</v>
      </c>
      <c r="E980" s="4" t="s">
        <v>3733</v>
      </c>
      <c r="F980" s="34" t="s">
        <v>3928</v>
      </c>
      <c r="G980" s="34" t="s">
        <v>3672</v>
      </c>
      <c r="H980" s="17" t="s">
        <v>3929</v>
      </c>
      <c r="I980" s="207" t="s">
        <v>3930</v>
      </c>
      <c r="J980" s="34" t="s">
        <v>3811</v>
      </c>
      <c r="K980" s="207" t="s">
        <v>688</v>
      </c>
      <c r="L980" s="133" t="s">
        <v>3676</v>
      </c>
      <c r="M980" s="100">
        <v>250000</v>
      </c>
      <c r="N980" s="133" t="s">
        <v>3614</v>
      </c>
    </row>
    <row r="981" spans="1:14" ht="27" hidden="1" x14ac:dyDescent="0.3">
      <c r="A981" s="131">
        <v>40</v>
      </c>
      <c r="B981" s="521"/>
      <c r="C981" s="396">
        <v>45930</v>
      </c>
      <c r="D981" s="4" t="s">
        <v>3931</v>
      </c>
      <c r="E981" s="4" t="s">
        <v>3724</v>
      </c>
      <c r="F981" s="34" t="s">
        <v>3741</v>
      </c>
      <c r="G981" s="34" t="s">
        <v>3902</v>
      </c>
      <c r="H981" s="17" t="s">
        <v>3932</v>
      </c>
      <c r="I981" s="207" t="s">
        <v>3933</v>
      </c>
      <c r="J981" s="34"/>
      <c r="K981" s="207" t="s">
        <v>3934</v>
      </c>
      <c r="L981" s="133" t="s">
        <v>84</v>
      </c>
      <c r="M981" s="17" t="s">
        <v>3852</v>
      </c>
      <c r="N981" s="133" t="s">
        <v>3935</v>
      </c>
    </row>
    <row r="982" spans="1:14" hidden="1" x14ac:dyDescent="0.3">
      <c r="A982" s="131">
        <v>40</v>
      </c>
      <c r="B982" s="521"/>
      <c r="C982" s="396">
        <v>45931</v>
      </c>
      <c r="D982" s="4" t="s">
        <v>3777</v>
      </c>
      <c r="E982" s="4" t="s">
        <v>3825</v>
      </c>
      <c r="F982" s="34" t="s">
        <v>3936</v>
      </c>
      <c r="G982" s="34" t="s">
        <v>3937</v>
      </c>
      <c r="H982" s="17"/>
      <c r="I982" s="207" t="s">
        <v>3938</v>
      </c>
      <c r="J982" s="207"/>
      <c r="K982" s="34" t="s">
        <v>3939</v>
      </c>
      <c r="L982" s="133" t="s">
        <v>3940</v>
      </c>
      <c r="M982" s="100">
        <v>500000</v>
      </c>
      <c r="N982" s="133" t="s">
        <v>3941</v>
      </c>
    </row>
    <row r="983" spans="1:14" hidden="1" x14ac:dyDescent="0.3">
      <c r="A983" s="131">
        <v>40</v>
      </c>
      <c r="B983" s="521"/>
      <c r="C983" s="396">
        <v>45931</v>
      </c>
      <c r="D983" s="4" t="s">
        <v>3931</v>
      </c>
      <c r="E983" s="4" t="s">
        <v>3724</v>
      </c>
      <c r="F983" s="34" t="s">
        <v>3725</v>
      </c>
      <c r="G983" s="34" t="s">
        <v>3942</v>
      </c>
      <c r="H983" s="17" t="s">
        <v>3943</v>
      </c>
      <c r="I983" s="207" t="s">
        <v>217</v>
      </c>
      <c r="J983" s="207" t="s">
        <v>3944</v>
      </c>
      <c r="K983" s="207" t="s">
        <v>3945</v>
      </c>
      <c r="L983" s="133" t="s">
        <v>3813</v>
      </c>
      <c r="M983" s="64">
        <v>250000</v>
      </c>
      <c r="N983" s="133" t="s">
        <v>3935</v>
      </c>
    </row>
    <row r="984" spans="1:14" ht="27" hidden="1" x14ac:dyDescent="0.3">
      <c r="A984" s="131">
        <v>40</v>
      </c>
      <c r="B984" s="521"/>
      <c r="C984" s="396">
        <v>45932</v>
      </c>
      <c r="D984" s="4" t="s">
        <v>3803</v>
      </c>
      <c r="E984" s="4" t="s">
        <v>3922</v>
      </c>
      <c r="F984" s="34" t="s">
        <v>3946</v>
      </c>
      <c r="G984" s="207" t="s">
        <v>2633</v>
      </c>
      <c r="H984" s="17" t="s">
        <v>3947</v>
      </c>
      <c r="I984" s="207" t="s">
        <v>3948</v>
      </c>
      <c r="J984" s="34"/>
      <c r="K984" s="34" t="s">
        <v>796</v>
      </c>
      <c r="L984" s="133" t="s">
        <v>3775</v>
      </c>
      <c r="M984" s="100">
        <v>500000</v>
      </c>
      <c r="N984" s="133" t="s">
        <v>3840</v>
      </c>
    </row>
    <row r="985" spans="1:14" hidden="1" x14ac:dyDescent="0.3">
      <c r="A985" s="131">
        <v>41</v>
      </c>
      <c r="B985" s="521" t="s">
        <v>3949</v>
      </c>
      <c r="C985" s="448" t="s">
        <v>3950</v>
      </c>
      <c r="D985" s="4" t="s">
        <v>307</v>
      </c>
      <c r="E985" s="4" t="s">
        <v>323</v>
      </c>
      <c r="F985" s="4" t="s">
        <v>308</v>
      </c>
      <c r="G985" s="207" t="s">
        <v>3951</v>
      </c>
      <c r="H985" s="133" t="s">
        <v>23</v>
      </c>
      <c r="I985" s="441" t="s">
        <v>3952</v>
      </c>
      <c r="J985" s="4" t="s">
        <v>739</v>
      </c>
      <c r="K985" s="4" t="s">
        <v>3954</v>
      </c>
      <c r="L985" s="4"/>
      <c r="M985" s="103">
        <v>1000000</v>
      </c>
      <c r="N985" s="133" t="s">
        <v>3955</v>
      </c>
    </row>
    <row r="986" spans="1:14" hidden="1" x14ac:dyDescent="0.3">
      <c r="A986" s="131">
        <v>41</v>
      </c>
      <c r="B986" s="521"/>
      <c r="C986" s="4" t="s">
        <v>3956</v>
      </c>
      <c r="D986" s="4" t="s">
        <v>307</v>
      </c>
      <c r="E986" s="4" t="s">
        <v>323</v>
      </c>
      <c r="F986" s="4" t="s">
        <v>308</v>
      </c>
      <c r="G986" s="207" t="s">
        <v>3957</v>
      </c>
      <c r="H986" s="133" t="s">
        <v>3958</v>
      </c>
      <c r="I986" s="441" t="s">
        <v>3629</v>
      </c>
      <c r="J986" s="4" t="s">
        <v>3797</v>
      </c>
      <c r="K986" s="4" t="s">
        <v>3959</v>
      </c>
      <c r="L986" s="4"/>
      <c r="M986" s="103">
        <v>500000</v>
      </c>
      <c r="N986" s="133"/>
    </row>
    <row r="987" spans="1:14" hidden="1" x14ac:dyDescent="0.3">
      <c r="A987" s="131">
        <v>41</v>
      </c>
      <c r="B987" s="521" t="s">
        <v>3749</v>
      </c>
      <c r="C987" s="396">
        <v>45932</v>
      </c>
      <c r="D987" s="4" t="s">
        <v>21</v>
      </c>
      <c r="E987" s="4" t="s">
        <v>3733</v>
      </c>
      <c r="F987" s="34" t="s">
        <v>2461</v>
      </c>
      <c r="G987" s="17">
        <v>3307</v>
      </c>
      <c r="H987" s="4" t="s">
        <v>3960</v>
      </c>
      <c r="I987" s="207" t="s">
        <v>3961</v>
      </c>
      <c r="J987" s="34"/>
      <c r="K987" s="34" t="s">
        <v>3881</v>
      </c>
      <c r="L987" s="133" t="s">
        <v>3962</v>
      </c>
      <c r="M987" s="100">
        <v>250000</v>
      </c>
      <c r="N987" s="6" t="s">
        <v>3963</v>
      </c>
    </row>
    <row r="988" spans="1:14" hidden="1" x14ac:dyDescent="0.3">
      <c r="A988" s="131">
        <v>41</v>
      </c>
      <c r="B988" s="521"/>
      <c r="C988" s="396" t="s">
        <v>3964</v>
      </c>
      <c r="D988" s="4" t="s">
        <v>3777</v>
      </c>
      <c r="E988" s="4" t="s">
        <v>3755</v>
      </c>
      <c r="F988" s="34" t="s">
        <v>3965</v>
      </c>
      <c r="G988" s="17">
        <v>3307</v>
      </c>
      <c r="H988" s="4" t="s">
        <v>3896</v>
      </c>
      <c r="I988" s="207" t="s">
        <v>3966</v>
      </c>
      <c r="J988" s="207" t="s">
        <v>3967</v>
      </c>
      <c r="K988" s="207" t="s">
        <v>3968</v>
      </c>
      <c r="L988" s="133" t="s">
        <v>3969</v>
      </c>
      <c r="M988" s="100">
        <v>1500000</v>
      </c>
      <c r="N988" s="6"/>
    </row>
    <row r="989" spans="1:14" hidden="1" x14ac:dyDescent="0.3">
      <c r="A989" s="131">
        <v>42</v>
      </c>
      <c r="B989" s="521" t="s">
        <v>3970</v>
      </c>
      <c r="C989" s="4" t="s">
        <v>3971</v>
      </c>
      <c r="D989" s="4" t="s">
        <v>307</v>
      </c>
      <c r="E989" s="4" t="s">
        <v>323</v>
      </c>
      <c r="F989" s="4" t="s">
        <v>308</v>
      </c>
      <c r="G989" s="207" t="s">
        <v>3973</v>
      </c>
      <c r="H989" s="133" t="s">
        <v>3974</v>
      </c>
      <c r="I989" s="441" t="s">
        <v>3975</v>
      </c>
      <c r="J989" s="4" t="s">
        <v>3869</v>
      </c>
      <c r="K989" s="4" t="s">
        <v>3976</v>
      </c>
      <c r="L989" s="4"/>
      <c r="M989" s="103">
        <v>1250000</v>
      </c>
      <c r="N989" s="133"/>
    </row>
    <row r="990" spans="1:14" hidden="1" x14ac:dyDescent="0.3">
      <c r="A990" s="131">
        <v>42</v>
      </c>
      <c r="B990" s="521"/>
      <c r="C990" s="4" t="s">
        <v>3977</v>
      </c>
      <c r="D990" s="4" t="s">
        <v>307</v>
      </c>
      <c r="E990" s="4" t="s">
        <v>323</v>
      </c>
      <c r="F990" s="4" t="s">
        <v>308</v>
      </c>
      <c r="G990" s="207" t="s">
        <v>3978</v>
      </c>
      <c r="H990" s="133" t="s">
        <v>3979</v>
      </c>
      <c r="I990" s="441" t="s">
        <v>3980</v>
      </c>
      <c r="J990" s="4" t="s">
        <v>739</v>
      </c>
      <c r="K990" s="4" t="s">
        <v>3710</v>
      </c>
      <c r="L990" s="4"/>
      <c r="M990" s="103">
        <v>1250000</v>
      </c>
      <c r="N990" s="133"/>
    </row>
    <row r="991" spans="1:14" hidden="1" x14ac:dyDescent="0.3">
      <c r="A991" s="131">
        <v>42</v>
      </c>
      <c r="B991" s="521"/>
      <c r="C991" s="4" t="s">
        <v>3981</v>
      </c>
      <c r="D991" s="4" t="s">
        <v>307</v>
      </c>
      <c r="E991" s="4" t="s">
        <v>323</v>
      </c>
      <c r="F991" s="4" t="s">
        <v>308</v>
      </c>
      <c r="G991" s="207" t="s">
        <v>3972</v>
      </c>
      <c r="H991" s="133" t="s">
        <v>3454</v>
      </c>
      <c r="I991" s="441" t="s">
        <v>3982</v>
      </c>
      <c r="J991" s="4" t="s">
        <v>3863</v>
      </c>
      <c r="K991" s="4" t="s">
        <v>3983</v>
      </c>
      <c r="L991" s="4"/>
      <c r="M991" s="103">
        <f>250000*12</f>
        <v>3000000</v>
      </c>
      <c r="N991" s="133"/>
    </row>
    <row r="992" spans="1:14" hidden="1" x14ac:dyDescent="0.3">
      <c r="A992" s="131">
        <v>42</v>
      </c>
      <c r="B992" s="521"/>
      <c r="C992" s="4" t="s">
        <v>3977</v>
      </c>
      <c r="D992" s="4" t="s">
        <v>307</v>
      </c>
      <c r="E992" s="4" t="s">
        <v>323</v>
      </c>
      <c r="F992" s="4" t="s">
        <v>308</v>
      </c>
      <c r="G992" s="207" t="s">
        <v>3984</v>
      </c>
      <c r="H992" s="133" t="s">
        <v>3903</v>
      </c>
      <c r="I992" s="441" t="s">
        <v>3980</v>
      </c>
      <c r="J992" s="4" t="s">
        <v>3985</v>
      </c>
      <c r="K992" s="4" t="s">
        <v>3802</v>
      </c>
      <c r="L992" s="4"/>
      <c r="M992" s="103">
        <v>1250000</v>
      </c>
      <c r="N992" s="133"/>
    </row>
    <row r="993" spans="1:14" ht="27" hidden="1" x14ac:dyDescent="0.3">
      <c r="A993" s="131">
        <v>42</v>
      </c>
      <c r="B993" s="521" t="s">
        <v>3739</v>
      </c>
      <c r="C993" s="396" t="s">
        <v>3986</v>
      </c>
      <c r="D993" s="4" t="s">
        <v>21</v>
      </c>
      <c r="E993" s="4" t="s">
        <v>3815</v>
      </c>
      <c r="F993" s="34" t="s">
        <v>3987</v>
      </c>
      <c r="G993" s="34" t="s">
        <v>3988</v>
      </c>
      <c r="H993" s="17" t="s">
        <v>3903</v>
      </c>
      <c r="I993" s="207" t="s">
        <v>3989</v>
      </c>
      <c r="J993" s="34"/>
      <c r="K993" s="207" t="s">
        <v>3990</v>
      </c>
      <c r="L993" s="133" t="s">
        <v>3746</v>
      </c>
      <c r="M993" s="17" t="s">
        <v>3991</v>
      </c>
      <c r="N993" s="6"/>
    </row>
    <row r="994" spans="1:14" ht="27" hidden="1" x14ac:dyDescent="0.3">
      <c r="A994" s="131">
        <v>42</v>
      </c>
      <c r="B994" s="521"/>
      <c r="C994" s="396" t="s">
        <v>3992</v>
      </c>
      <c r="D994" s="4" t="s">
        <v>3749</v>
      </c>
      <c r="E994" s="4" t="s">
        <v>3815</v>
      </c>
      <c r="F994" s="34" t="s">
        <v>3993</v>
      </c>
      <c r="G994" s="207" t="s">
        <v>3994</v>
      </c>
      <c r="H994" s="17" t="s">
        <v>3995</v>
      </c>
      <c r="I994" s="207" t="s">
        <v>3996</v>
      </c>
      <c r="J994" s="34"/>
      <c r="K994" s="34" t="s">
        <v>3997</v>
      </c>
      <c r="L994" s="133" t="s">
        <v>3790</v>
      </c>
      <c r="M994" s="17" t="s">
        <v>3998</v>
      </c>
      <c r="N994" s="6"/>
    </row>
    <row r="995" spans="1:14" ht="27" hidden="1" x14ac:dyDescent="0.3">
      <c r="A995" s="131">
        <v>42</v>
      </c>
      <c r="B995" s="521"/>
      <c r="C995" s="396" t="s">
        <v>3999</v>
      </c>
      <c r="D995" s="4" t="s">
        <v>3777</v>
      </c>
      <c r="E995" s="4" t="s">
        <v>3740</v>
      </c>
      <c r="F995" s="34" t="s">
        <v>4000</v>
      </c>
      <c r="G995" s="207" t="s">
        <v>4001</v>
      </c>
      <c r="H995" s="17" t="s">
        <v>4002</v>
      </c>
      <c r="I995" s="207" t="s">
        <v>2456</v>
      </c>
      <c r="J995" s="207" t="s">
        <v>4003</v>
      </c>
      <c r="K995" s="207" t="s">
        <v>4004</v>
      </c>
      <c r="L995" s="133" t="s">
        <v>3775</v>
      </c>
      <c r="M995" s="17" t="s">
        <v>3991</v>
      </c>
      <c r="N995" s="133"/>
    </row>
    <row r="996" spans="1:14" hidden="1" x14ac:dyDescent="0.3">
      <c r="A996" s="131">
        <v>43</v>
      </c>
      <c r="B996" s="521" t="s">
        <v>3949</v>
      </c>
      <c r="C996" s="4" t="s">
        <v>4005</v>
      </c>
      <c r="D996" s="4" t="s">
        <v>307</v>
      </c>
      <c r="E996" s="4" t="s">
        <v>323</v>
      </c>
      <c r="F996" s="4" t="s">
        <v>308</v>
      </c>
      <c r="G996" s="207" t="s">
        <v>4006</v>
      </c>
      <c r="H996" s="133" t="s">
        <v>4007</v>
      </c>
      <c r="I996" s="441" t="s">
        <v>4008</v>
      </c>
      <c r="J996" s="4" t="s">
        <v>3920</v>
      </c>
      <c r="K996" s="4" t="s">
        <v>3802</v>
      </c>
      <c r="L996" s="4"/>
      <c r="M996" s="103">
        <v>1250000</v>
      </c>
      <c r="N996" s="133"/>
    </row>
    <row r="997" spans="1:14" hidden="1" x14ac:dyDescent="0.3">
      <c r="A997" s="131">
        <v>43</v>
      </c>
      <c r="B997" s="521"/>
      <c r="C997" s="4" t="s">
        <v>4009</v>
      </c>
      <c r="D997" s="4" t="s">
        <v>307</v>
      </c>
      <c r="E997" s="4" t="s">
        <v>323</v>
      </c>
      <c r="F997" s="4" t="s">
        <v>308</v>
      </c>
      <c r="G997" s="207" t="s">
        <v>3867</v>
      </c>
      <c r="H997" s="133" t="s">
        <v>3673</v>
      </c>
      <c r="I997" s="441" t="s">
        <v>3975</v>
      </c>
      <c r="J997" s="4" t="s">
        <v>3655</v>
      </c>
      <c r="K997" s="4" t="s">
        <v>3939</v>
      </c>
      <c r="L997" s="4"/>
      <c r="M997" s="103">
        <v>500000</v>
      </c>
      <c r="N997" s="133"/>
    </row>
    <row r="998" spans="1:14" hidden="1" x14ac:dyDescent="0.3">
      <c r="A998" s="131">
        <v>43</v>
      </c>
      <c r="B998" s="521"/>
      <c r="C998" s="448">
        <v>45955</v>
      </c>
      <c r="D998" s="4" t="s">
        <v>307</v>
      </c>
      <c r="E998" s="4" t="s">
        <v>323</v>
      </c>
      <c r="F998" s="4" t="s">
        <v>308</v>
      </c>
      <c r="G998" s="207" t="s">
        <v>4010</v>
      </c>
      <c r="H998" s="133" t="s">
        <v>4011</v>
      </c>
      <c r="I998" s="441" t="s">
        <v>380</v>
      </c>
      <c r="J998" s="4" t="s">
        <v>3655</v>
      </c>
      <c r="K998" s="4" t="s">
        <v>4012</v>
      </c>
      <c r="L998" s="4"/>
      <c r="M998" s="103">
        <v>250000</v>
      </c>
      <c r="N998" s="133"/>
    </row>
    <row r="999" spans="1:14" hidden="1" x14ac:dyDescent="0.3">
      <c r="A999" s="131">
        <v>43</v>
      </c>
      <c r="B999" s="521" t="s">
        <v>21</v>
      </c>
      <c r="C999" s="396">
        <v>45950</v>
      </c>
      <c r="D999" s="4" t="s">
        <v>21</v>
      </c>
      <c r="E999" s="4" t="s">
        <v>3792</v>
      </c>
      <c r="F999" s="34" t="s">
        <v>4013</v>
      </c>
      <c r="G999" s="34" t="s">
        <v>3809</v>
      </c>
      <c r="H999" s="17" t="s">
        <v>4014</v>
      </c>
      <c r="I999" s="207" t="s">
        <v>4015</v>
      </c>
      <c r="J999" s="34" t="s">
        <v>3855</v>
      </c>
      <c r="K999" s="207" t="s">
        <v>3793</v>
      </c>
      <c r="L999" s="133" t="s">
        <v>3821</v>
      </c>
      <c r="M999" s="100">
        <v>250000</v>
      </c>
      <c r="N999" s="6" t="s">
        <v>4016</v>
      </c>
    </row>
    <row r="1000" spans="1:14" hidden="1" x14ac:dyDescent="0.3">
      <c r="A1000" s="131">
        <v>43</v>
      </c>
      <c r="B1000" s="521"/>
      <c r="C1000" s="396" t="s">
        <v>4017</v>
      </c>
      <c r="D1000" s="4" t="s">
        <v>21</v>
      </c>
      <c r="E1000" s="4" t="s">
        <v>3815</v>
      </c>
      <c r="F1000" s="34" t="s">
        <v>3889</v>
      </c>
      <c r="G1000" s="17">
        <v>3307</v>
      </c>
      <c r="H1000" s="4" t="s">
        <v>3896</v>
      </c>
      <c r="I1000" s="207" t="s">
        <v>4018</v>
      </c>
      <c r="J1000" s="207"/>
      <c r="K1000" s="207" t="s">
        <v>3905</v>
      </c>
      <c r="L1000" s="133" t="s">
        <v>4019</v>
      </c>
      <c r="M1000" s="100">
        <v>500000</v>
      </c>
      <c r="N1000" s="6" t="s">
        <v>4020</v>
      </c>
    </row>
    <row r="1001" spans="1:14" hidden="1" x14ac:dyDescent="0.3">
      <c r="A1001" s="131">
        <v>43</v>
      </c>
      <c r="B1001" s="521"/>
      <c r="C1001" s="396">
        <v>45950</v>
      </c>
      <c r="D1001" s="4" t="s">
        <v>21</v>
      </c>
      <c r="E1001" s="4" t="s">
        <v>4021</v>
      </c>
      <c r="F1001" s="34" t="s">
        <v>3816</v>
      </c>
      <c r="G1001" s="34" t="s">
        <v>1328</v>
      </c>
      <c r="H1001" s="17" t="s">
        <v>4022</v>
      </c>
      <c r="I1001" s="207" t="s">
        <v>4023</v>
      </c>
      <c r="J1001" s="34" t="s">
        <v>4024</v>
      </c>
      <c r="K1001" s="207" t="s">
        <v>4025</v>
      </c>
      <c r="L1001" s="133" t="s">
        <v>3730</v>
      </c>
      <c r="M1001" s="100">
        <v>250000</v>
      </c>
      <c r="N1001" s="6" t="s">
        <v>3776</v>
      </c>
    </row>
    <row r="1002" spans="1:14" hidden="1" x14ac:dyDescent="0.3">
      <c r="A1002" s="131">
        <v>43</v>
      </c>
      <c r="B1002" s="521"/>
      <c r="C1002" s="396" t="s">
        <v>4026</v>
      </c>
      <c r="D1002" s="4" t="s">
        <v>3791</v>
      </c>
      <c r="E1002" s="4" t="s">
        <v>3825</v>
      </c>
      <c r="F1002" s="34" t="s">
        <v>3779</v>
      </c>
      <c r="G1002" s="34" t="s">
        <v>4027</v>
      </c>
      <c r="H1002" s="17"/>
      <c r="I1002" s="207" t="s">
        <v>4028</v>
      </c>
      <c r="J1002" s="207" t="s">
        <v>4029</v>
      </c>
      <c r="K1002" s="34" t="s">
        <v>4030</v>
      </c>
      <c r="L1002" s="133" t="s">
        <v>3730</v>
      </c>
      <c r="M1002" s="100">
        <v>1500000</v>
      </c>
      <c r="N1002" s="6" t="s">
        <v>4031</v>
      </c>
    </row>
    <row r="1003" spans="1:14" hidden="1" x14ac:dyDescent="0.3">
      <c r="A1003" s="131">
        <v>43</v>
      </c>
      <c r="B1003" s="521"/>
      <c r="C1003" s="396" t="s">
        <v>4032</v>
      </c>
      <c r="D1003" s="4" t="s">
        <v>3777</v>
      </c>
      <c r="E1003" s="4" t="s">
        <v>30</v>
      </c>
      <c r="F1003" s="34" t="s">
        <v>838</v>
      </c>
      <c r="G1003" s="207" t="s">
        <v>4001</v>
      </c>
      <c r="H1003" s="17" t="s">
        <v>4002</v>
      </c>
      <c r="I1003" s="207" t="s">
        <v>4033</v>
      </c>
      <c r="J1003" s="207" t="s">
        <v>4034</v>
      </c>
      <c r="K1003" s="207" t="s">
        <v>796</v>
      </c>
      <c r="L1003" s="133" t="s">
        <v>4035</v>
      </c>
      <c r="M1003" s="100">
        <v>500000</v>
      </c>
      <c r="N1003" s="6" t="s">
        <v>4036</v>
      </c>
    </row>
    <row r="1004" spans="1:14" hidden="1" x14ac:dyDescent="0.3">
      <c r="A1004" s="131">
        <v>43</v>
      </c>
      <c r="B1004" s="521"/>
      <c r="C1004" s="396">
        <v>45953</v>
      </c>
      <c r="D1004" s="4" t="s">
        <v>3749</v>
      </c>
      <c r="E1004" s="4" t="s">
        <v>3778</v>
      </c>
      <c r="F1004" s="34" t="s">
        <v>3936</v>
      </c>
      <c r="G1004" s="17" t="s">
        <v>4037</v>
      </c>
      <c r="H1004" s="4" t="s">
        <v>4038</v>
      </c>
      <c r="I1004" s="207" t="s">
        <v>4039</v>
      </c>
      <c r="J1004" s="34" t="s">
        <v>497</v>
      </c>
      <c r="K1004" s="34" t="s">
        <v>4040</v>
      </c>
      <c r="L1004" s="133" t="s">
        <v>3821</v>
      </c>
      <c r="M1004" s="477">
        <v>300000</v>
      </c>
      <c r="N1004" s="6" t="s">
        <v>4041</v>
      </c>
    </row>
    <row r="1005" spans="1:14" hidden="1" x14ac:dyDescent="0.3">
      <c r="A1005" s="131">
        <v>43</v>
      </c>
      <c r="B1005" s="521"/>
      <c r="C1005" s="396">
        <v>45954</v>
      </c>
      <c r="D1005" s="4" t="s">
        <v>3931</v>
      </c>
      <c r="E1005" s="4" t="s">
        <v>3778</v>
      </c>
      <c r="F1005" s="34" t="s">
        <v>383</v>
      </c>
      <c r="G1005" s="34" t="s">
        <v>2700</v>
      </c>
      <c r="H1005" s="17" t="s">
        <v>4042</v>
      </c>
      <c r="I1005" s="207" t="s">
        <v>4043</v>
      </c>
      <c r="J1005" s="34"/>
      <c r="K1005" s="207" t="s">
        <v>3878</v>
      </c>
      <c r="L1005" s="133" t="s">
        <v>3746</v>
      </c>
      <c r="M1005" s="100">
        <v>500000</v>
      </c>
      <c r="N1005" s="6" t="s">
        <v>4044</v>
      </c>
    </row>
    <row r="1006" spans="1:14" hidden="1" x14ac:dyDescent="0.3">
      <c r="A1006" s="131">
        <v>44</v>
      </c>
      <c r="B1006" s="521" t="s">
        <v>3704</v>
      </c>
      <c r="C1006" s="4" t="s">
        <v>4045</v>
      </c>
      <c r="D1006" s="4" t="s">
        <v>4046</v>
      </c>
      <c r="E1006" s="4" t="s">
        <v>323</v>
      </c>
      <c r="F1006" s="4" t="s">
        <v>4047</v>
      </c>
      <c r="G1006" s="207" t="s">
        <v>4048</v>
      </c>
      <c r="H1006" s="133" t="s">
        <v>3903</v>
      </c>
      <c r="I1006" s="441" t="s">
        <v>4049</v>
      </c>
      <c r="J1006" s="4"/>
      <c r="K1006" s="4" t="s">
        <v>649</v>
      </c>
      <c r="L1006" s="4"/>
      <c r="M1006" s="103">
        <v>1000000</v>
      </c>
      <c r="N1006" s="133" t="s">
        <v>4051</v>
      </c>
    </row>
    <row r="1007" spans="1:14" hidden="1" x14ac:dyDescent="0.3">
      <c r="A1007" s="131">
        <v>44</v>
      </c>
      <c r="B1007" s="521"/>
      <c r="C1007" s="4" t="s">
        <v>4052</v>
      </c>
      <c r="D1007" s="4" t="s">
        <v>4046</v>
      </c>
      <c r="E1007" s="4" t="s">
        <v>323</v>
      </c>
      <c r="F1007" s="4" t="s">
        <v>4053</v>
      </c>
      <c r="G1007" s="207" t="s">
        <v>2913</v>
      </c>
      <c r="H1007" s="133" t="s">
        <v>3903</v>
      </c>
      <c r="I1007" s="441" t="s">
        <v>4054</v>
      </c>
      <c r="J1007" s="4"/>
      <c r="K1007" s="4" t="s">
        <v>4055</v>
      </c>
      <c r="L1007" s="4"/>
      <c r="M1007" s="103">
        <v>2000000</v>
      </c>
      <c r="N1007" s="133" t="s">
        <v>4050</v>
      </c>
    </row>
    <row r="1008" spans="1:14" hidden="1" x14ac:dyDescent="0.3">
      <c r="A1008" s="131">
        <v>44</v>
      </c>
      <c r="B1008" s="521"/>
      <c r="C1008" s="4" t="s">
        <v>4056</v>
      </c>
      <c r="D1008" s="4" t="s">
        <v>307</v>
      </c>
      <c r="E1008" s="4" t="s">
        <v>323</v>
      </c>
      <c r="F1008" s="4" t="s">
        <v>308</v>
      </c>
      <c r="G1008" s="207" t="s">
        <v>4057</v>
      </c>
      <c r="H1008" s="133" t="s">
        <v>3932</v>
      </c>
      <c r="I1008" s="441" t="s">
        <v>4058</v>
      </c>
      <c r="J1008" s="4" t="s">
        <v>739</v>
      </c>
      <c r="K1008" s="4" t="s">
        <v>3870</v>
      </c>
      <c r="L1008" s="4"/>
      <c r="M1008" s="103">
        <v>1250000</v>
      </c>
      <c r="N1008" s="133"/>
    </row>
    <row r="1009" spans="1:14" hidden="1" x14ac:dyDescent="0.3">
      <c r="A1009" s="131">
        <v>44</v>
      </c>
      <c r="B1009" s="521"/>
      <c r="C1009" s="4" t="s">
        <v>4059</v>
      </c>
      <c r="D1009" s="4" t="s">
        <v>307</v>
      </c>
      <c r="E1009" s="4" t="s">
        <v>323</v>
      </c>
      <c r="F1009" s="4" t="s">
        <v>308</v>
      </c>
      <c r="G1009" s="207" t="s">
        <v>4060</v>
      </c>
      <c r="H1009" s="133" t="s">
        <v>3743</v>
      </c>
      <c r="I1009" s="441" t="s">
        <v>3912</v>
      </c>
      <c r="J1009" s="4" t="s">
        <v>3720</v>
      </c>
      <c r="K1009" s="4" t="s">
        <v>3663</v>
      </c>
      <c r="L1009" s="4"/>
      <c r="M1009" s="103">
        <v>1250000</v>
      </c>
      <c r="N1009" s="133"/>
    </row>
    <row r="1010" spans="1:14" hidden="1" x14ac:dyDescent="0.3">
      <c r="A1010" s="131">
        <v>44</v>
      </c>
      <c r="B1010" s="521"/>
      <c r="C1010" s="4" t="s">
        <v>4061</v>
      </c>
      <c r="D1010" s="4" t="s">
        <v>307</v>
      </c>
      <c r="E1010" s="4" t="s">
        <v>323</v>
      </c>
      <c r="F1010" s="4" t="s">
        <v>308</v>
      </c>
      <c r="G1010" s="207" t="s">
        <v>4006</v>
      </c>
      <c r="H1010" s="133" t="s">
        <v>4062</v>
      </c>
      <c r="I1010" s="441" t="s">
        <v>4063</v>
      </c>
      <c r="J1010" s="4" t="s">
        <v>4064</v>
      </c>
      <c r="K1010" s="4" t="s">
        <v>4065</v>
      </c>
      <c r="L1010" s="4"/>
      <c r="M1010" s="103">
        <v>750000</v>
      </c>
      <c r="N1010" s="133"/>
    </row>
    <row r="1011" spans="1:14" hidden="1" x14ac:dyDescent="0.3">
      <c r="A1011" s="131">
        <v>44</v>
      </c>
      <c r="B1011" s="521" t="s">
        <v>3791</v>
      </c>
      <c r="C1011" s="396">
        <v>45952</v>
      </c>
      <c r="D1011" s="4" t="s">
        <v>21</v>
      </c>
      <c r="E1011" s="4" t="s">
        <v>30</v>
      </c>
      <c r="F1011" s="34" t="s">
        <v>2461</v>
      </c>
      <c r="G1011" s="17">
        <v>3307</v>
      </c>
      <c r="H1011" s="4" t="s">
        <v>4066</v>
      </c>
      <c r="I1011" s="207" t="s">
        <v>4067</v>
      </c>
      <c r="J1011" s="207" t="s">
        <v>4068</v>
      </c>
      <c r="K1011" s="207" t="s">
        <v>3881</v>
      </c>
      <c r="L1011" s="133" t="s">
        <v>3886</v>
      </c>
      <c r="M1011" s="100">
        <v>250000</v>
      </c>
      <c r="N1011" s="6" t="s">
        <v>4069</v>
      </c>
    </row>
    <row r="1012" spans="1:14" ht="27" hidden="1" x14ac:dyDescent="0.3">
      <c r="A1012" s="131">
        <v>44</v>
      </c>
      <c r="B1012" s="521"/>
      <c r="C1012" s="396">
        <v>45957</v>
      </c>
      <c r="D1012" s="4" t="s">
        <v>3739</v>
      </c>
      <c r="E1012" s="4" t="s">
        <v>3815</v>
      </c>
      <c r="F1012" s="34" t="s">
        <v>2140</v>
      </c>
      <c r="G1012" s="34" t="s">
        <v>4071</v>
      </c>
      <c r="H1012" s="17" t="s">
        <v>4072</v>
      </c>
      <c r="I1012" s="207" t="s">
        <v>4073</v>
      </c>
      <c r="J1012" s="207" t="s">
        <v>4024</v>
      </c>
      <c r="K1012" s="34" t="s">
        <v>4074</v>
      </c>
      <c r="L1012" s="133" t="s">
        <v>3821</v>
      </c>
      <c r="M1012" s="17" t="s">
        <v>3807</v>
      </c>
      <c r="N1012" s="6"/>
    </row>
    <row r="1013" spans="1:14" ht="22.5" hidden="1" x14ac:dyDescent="0.3">
      <c r="A1013" s="131">
        <v>44</v>
      </c>
      <c r="B1013" s="521"/>
      <c r="C1013" s="396">
        <v>45959</v>
      </c>
      <c r="D1013" s="4" t="s">
        <v>3777</v>
      </c>
      <c r="E1013" s="4" t="s">
        <v>30</v>
      </c>
      <c r="F1013" s="34" t="s">
        <v>4075</v>
      </c>
      <c r="G1013" s="478" t="s">
        <v>4076</v>
      </c>
      <c r="H1013" s="4" t="s">
        <v>4077</v>
      </c>
      <c r="I1013" s="9" t="s">
        <v>4078</v>
      </c>
      <c r="J1013" s="34"/>
      <c r="K1013" s="34" t="s">
        <v>3793</v>
      </c>
      <c r="L1013" s="133" t="s">
        <v>3790</v>
      </c>
      <c r="M1013" s="100">
        <v>250000</v>
      </c>
      <c r="N1013" s="6"/>
    </row>
    <row r="1014" spans="1:14" ht="27" hidden="1" x14ac:dyDescent="0.3">
      <c r="A1014" s="131">
        <v>44</v>
      </c>
      <c r="B1014" s="521"/>
      <c r="C1014" s="396">
        <v>45959</v>
      </c>
      <c r="D1014" s="4" t="s">
        <v>3723</v>
      </c>
      <c r="E1014" s="4" t="s">
        <v>3724</v>
      </c>
      <c r="F1014" s="34" t="s">
        <v>3889</v>
      </c>
      <c r="G1014" s="34" t="s">
        <v>4079</v>
      </c>
      <c r="H1014" s="17" t="s">
        <v>3868</v>
      </c>
      <c r="I1014" s="207" t="s">
        <v>4080</v>
      </c>
      <c r="J1014" s="34"/>
      <c r="K1014" s="207" t="s">
        <v>688</v>
      </c>
      <c r="L1014" s="133" t="s">
        <v>3790</v>
      </c>
      <c r="M1014" s="100">
        <v>250000</v>
      </c>
      <c r="N1014" s="6"/>
    </row>
    <row r="1015" spans="1:14" ht="27" hidden="1" x14ac:dyDescent="0.3">
      <c r="A1015" s="131">
        <v>44</v>
      </c>
      <c r="B1015" s="521"/>
      <c r="C1015" s="396">
        <v>45959</v>
      </c>
      <c r="D1015" s="4" t="s">
        <v>3777</v>
      </c>
      <c r="E1015" s="4" t="s">
        <v>3785</v>
      </c>
      <c r="F1015" s="34" t="s">
        <v>3875</v>
      </c>
      <c r="G1015" s="34" t="s">
        <v>4081</v>
      </c>
      <c r="H1015" s="17" t="s">
        <v>3903</v>
      </c>
      <c r="I1015" s="207" t="s">
        <v>4080</v>
      </c>
      <c r="J1015" s="34"/>
      <c r="K1015" s="207" t="s">
        <v>4082</v>
      </c>
      <c r="L1015" s="133" t="s">
        <v>3760</v>
      </c>
      <c r="M1015" s="17" t="s">
        <v>3822</v>
      </c>
      <c r="N1015" s="6"/>
    </row>
    <row r="1016" spans="1:14" hidden="1" x14ac:dyDescent="0.3">
      <c r="A1016" s="131">
        <v>44</v>
      </c>
      <c r="B1016" s="521"/>
      <c r="C1016" s="396">
        <v>45959</v>
      </c>
      <c r="D1016" s="4" t="s">
        <v>3791</v>
      </c>
      <c r="E1016" s="4" t="s">
        <v>4083</v>
      </c>
      <c r="F1016" s="34" t="s">
        <v>3779</v>
      </c>
      <c r="G1016" s="34" t="s">
        <v>3826</v>
      </c>
      <c r="H1016" s="17"/>
      <c r="I1016" s="207" t="s">
        <v>4084</v>
      </c>
      <c r="J1016" s="207" t="s">
        <v>4085</v>
      </c>
      <c r="K1016" s="34" t="s">
        <v>4086</v>
      </c>
      <c r="L1016" s="133" t="s">
        <v>3940</v>
      </c>
      <c r="M1016" s="100">
        <v>500000</v>
      </c>
      <c r="N1016" s="6"/>
    </row>
    <row r="1017" spans="1:14" ht="27" hidden="1" x14ac:dyDescent="0.3">
      <c r="A1017" s="131">
        <v>44</v>
      </c>
      <c r="B1017" s="521"/>
      <c r="C1017" s="396">
        <v>45960</v>
      </c>
      <c r="D1017" s="4" t="s">
        <v>3931</v>
      </c>
      <c r="E1017" s="4" t="s">
        <v>3733</v>
      </c>
      <c r="F1017" s="34" t="s">
        <v>101</v>
      </c>
      <c r="G1017" s="34" t="s">
        <v>4087</v>
      </c>
      <c r="H1017" s="17" t="s">
        <v>3958</v>
      </c>
      <c r="I1017" s="207" t="s">
        <v>4088</v>
      </c>
      <c r="J1017" s="34" t="s">
        <v>3850</v>
      </c>
      <c r="K1017" s="207" t="s">
        <v>4089</v>
      </c>
      <c r="L1017" s="133" t="s">
        <v>3760</v>
      </c>
      <c r="M1017" s="17" t="s">
        <v>3837</v>
      </c>
      <c r="N1017" s="6"/>
    </row>
    <row r="1018" spans="1:14" hidden="1" x14ac:dyDescent="0.3">
      <c r="A1018" s="131">
        <v>44</v>
      </c>
      <c r="B1018" s="521"/>
      <c r="C1018" s="396">
        <v>45960</v>
      </c>
      <c r="D1018" s="4" t="s">
        <v>3749</v>
      </c>
      <c r="E1018" s="4" t="s">
        <v>3733</v>
      </c>
      <c r="F1018" s="34" t="s">
        <v>3923</v>
      </c>
      <c r="G1018" s="34" t="s">
        <v>4090</v>
      </c>
      <c r="H1018" s="17" t="s">
        <v>3987</v>
      </c>
      <c r="I1018" s="207" t="s">
        <v>4091</v>
      </c>
      <c r="J1018" s="34" t="s">
        <v>4092</v>
      </c>
      <c r="K1018" s="207" t="s">
        <v>4093</v>
      </c>
      <c r="L1018" s="133" t="s">
        <v>84</v>
      </c>
      <c r="M1018" s="100">
        <v>500000</v>
      </c>
      <c r="N1018" s="6"/>
    </row>
    <row r="1019" spans="1:14" ht="27" hidden="1" x14ac:dyDescent="0.3">
      <c r="A1019" s="131">
        <v>44</v>
      </c>
      <c r="B1019" s="521"/>
      <c r="C1019" s="396">
        <v>45961</v>
      </c>
      <c r="D1019" s="4" t="s">
        <v>3670</v>
      </c>
      <c r="E1019" s="4" t="s">
        <v>3815</v>
      </c>
      <c r="F1019" s="34" t="s">
        <v>4094</v>
      </c>
      <c r="G1019" s="34" t="s">
        <v>4095</v>
      </c>
      <c r="H1019" s="17" t="s">
        <v>3741</v>
      </c>
      <c r="I1019" s="133" t="s">
        <v>4096</v>
      </c>
      <c r="J1019" s="34" t="s">
        <v>4097</v>
      </c>
      <c r="K1019" s="207" t="s">
        <v>4098</v>
      </c>
      <c r="L1019" s="133" t="s">
        <v>84</v>
      </c>
      <c r="M1019" s="17" t="s">
        <v>3747</v>
      </c>
      <c r="N1019" s="6"/>
    </row>
    <row r="1020" spans="1:14" hidden="1" x14ac:dyDescent="0.3">
      <c r="A1020" s="131">
        <v>44</v>
      </c>
      <c r="B1020" s="521"/>
      <c r="C1020" s="396">
        <v>45961</v>
      </c>
      <c r="D1020" s="4" t="s">
        <v>3739</v>
      </c>
      <c r="E1020" s="4" t="s">
        <v>3815</v>
      </c>
      <c r="F1020" s="34" t="s">
        <v>4094</v>
      </c>
      <c r="G1020" s="34" t="s">
        <v>4010</v>
      </c>
      <c r="H1020" s="17" t="s">
        <v>3965</v>
      </c>
      <c r="I1020" s="133" t="s">
        <v>4096</v>
      </c>
      <c r="J1020" s="34" t="s">
        <v>4085</v>
      </c>
      <c r="K1020" s="207" t="s">
        <v>4099</v>
      </c>
      <c r="L1020" s="133" t="s">
        <v>84</v>
      </c>
      <c r="M1020" s="100">
        <v>500000</v>
      </c>
      <c r="N1020" s="6"/>
    </row>
    <row r="1021" spans="1:14" ht="27" hidden="1" x14ac:dyDescent="0.3">
      <c r="A1021" s="131">
        <v>44</v>
      </c>
      <c r="B1021" s="521"/>
      <c r="C1021" s="396">
        <v>45961</v>
      </c>
      <c r="D1021" s="4" t="s">
        <v>21</v>
      </c>
      <c r="E1021" s="4" t="s">
        <v>4083</v>
      </c>
      <c r="F1021" s="207" t="s">
        <v>4100</v>
      </c>
      <c r="G1021" s="34">
        <v>1810</v>
      </c>
      <c r="H1021" s="17" t="s">
        <v>4101</v>
      </c>
      <c r="I1021" s="207" t="s">
        <v>4102</v>
      </c>
      <c r="J1021" s="34" t="s">
        <v>3855</v>
      </c>
      <c r="K1021" s="34" t="s">
        <v>4103</v>
      </c>
      <c r="L1021" s="133" t="s">
        <v>4104</v>
      </c>
      <c r="M1021" s="17" t="s">
        <v>3747</v>
      </c>
      <c r="N1021" s="6"/>
    </row>
    <row r="1022" spans="1:14" hidden="1" x14ac:dyDescent="0.3">
      <c r="A1022" s="131">
        <v>45</v>
      </c>
      <c r="B1022" s="521" t="s">
        <v>3858</v>
      </c>
      <c r="C1022" s="4" t="s">
        <v>4105</v>
      </c>
      <c r="D1022" s="4" t="s">
        <v>307</v>
      </c>
      <c r="E1022" s="4" t="s">
        <v>323</v>
      </c>
      <c r="F1022" s="4" t="s">
        <v>308</v>
      </c>
      <c r="G1022" s="207" t="s">
        <v>4081</v>
      </c>
      <c r="H1022" s="133" t="s">
        <v>3903</v>
      </c>
      <c r="I1022" s="441" t="s">
        <v>4008</v>
      </c>
      <c r="J1022" s="4" t="s">
        <v>3985</v>
      </c>
      <c r="K1022" s="4" t="s">
        <v>4106</v>
      </c>
      <c r="L1022" s="4"/>
      <c r="M1022" s="103">
        <v>2250000</v>
      </c>
      <c r="N1022" s="133" t="s">
        <v>4107</v>
      </c>
    </row>
    <row r="1023" spans="1:14" hidden="1" x14ac:dyDescent="0.3">
      <c r="A1023" s="131">
        <v>45</v>
      </c>
      <c r="B1023" s="521"/>
      <c r="C1023" s="448">
        <v>45964</v>
      </c>
      <c r="D1023" s="4" t="s">
        <v>307</v>
      </c>
      <c r="E1023" s="4" t="s">
        <v>323</v>
      </c>
      <c r="F1023" s="4" t="s">
        <v>308</v>
      </c>
      <c r="G1023" s="207" t="s">
        <v>3902</v>
      </c>
      <c r="H1023" s="133" t="s">
        <v>3743</v>
      </c>
      <c r="I1023" s="441" t="s">
        <v>380</v>
      </c>
      <c r="J1023" s="4" t="s">
        <v>3655</v>
      </c>
      <c r="K1023" s="4" t="s">
        <v>3913</v>
      </c>
      <c r="L1023" s="4"/>
      <c r="M1023" s="103">
        <v>750000</v>
      </c>
      <c r="N1023" s="133"/>
    </row>
    <row r="1024" spans="1:14" hidden="1" x14ac:dyDescent="0.3">
      <c r="A1024" s="131">
        <v>45</v>
      </c>
      <c r="B1024" s="521"/>
      <c r="C1024" s="4" t="s">
        <v>4108</v>
      </c>
      <c r="D1024" s="4" t="s">
        <v>307</v>
      </c>
      <c r="E1024" s="4" t="s">
        <v>323</v>
      </c>
      <c r="F1024" s="4" t="s">
        <v>308</v>
      </c>
      <c r="G1024" s="207" t="s">
        <v>4109</v>
      </c>
      <c r="H1024" s="133" t="s">
        <v>4110</v>
      </c>
      <c r="I1024" s="441" t="s">
        <v>753</v>
      </c>
      <c r="J1024" s="4" t="s">
        <v>3655</v>
      </c>
      <c r="K1024" s="4" t="s">
        <v>4111</v>
      </c>
      <c r="L1024" s="4"/>
      <c r="M1024" s="103">
        <v>500000</v>
      </c>
      <c r="N1024" s="133"/>
    </row>
    <row r="1025" spans="1:14" hidden="1" x14ac:dyDescent="0.3">
      <c r="A1025" s="131">
        <v>45</v>
      </c>
      <c r="B1025" s="521"/>
      <c r="C1025" s="448">
        <v>45966</v>
      </c>
      <c r="D1025" s="4" t="s">
        <v>307</v>
      </c>
      <c r="E1025" s="4" t="s">
        <v>323</v>
      </c>
      <c r="F1025" s="4" t="s">
        <v>308</v>
      </c>
      <c r="G1025" s="207" t="s">
        <v>4048</v>
      </c>
      <c r="H1025" s="133" t="s">
        <v>4112</v>
      </c>
      <c r="I1025" s="441" t="s">
        <v>4113</v>
      </c>
      <c r="J1025" s="4" t="s">
        <v>3720</v>
      </c>
      <c r="K1025" s="4" t="s">
        <v>4114</v>
      </c>
      <c r="L1025" s="4"/>
      <c r="M1025" s="103">
        <v>250000</v>
      </c>
      <c r="N1025" s="133"/>
    </row>
    <row r="1026" spans="1:14" hidden="1" x14ac:dyDescent="0.3">
      <c r="A1026" s="131">
        <v>45</v>
      </c>
      <c r="B1026" s="521"/>
      <c r="C1026" s="4" t="s">
        <v>4115</v>
      </c>
      <c r="D1026" s="4" t="s">
        <v>307</v>
      </c>
      <c r="E1026" s="4" t="s">
        <v>323</v>
      </c>
      <c r="F1026" s="4" t="s">
        <v>308</v>
      </c>
      <c r="G1026" s="207" t="s">
        <v>4006</v>
      </c>
      <c r="H1026" s="133" t="s">
        <v>4116</v>
      </c>
      <c r="I1026" s="441" t="s">
        <v>4117</v>
      </c>
      <c r="J1026" s="4" t="s">
        <v>3863</v>
      </c>
      <c r="K1026" s="4" t="s">
        <v>4118</v>
      </c>
      <c r="L1026" s="4"/>
      <c r="M1026" s="103">
        <v>500000</v>
      </c>
      <c r="N1026" s="133"/>
    </row>
    <row r="1027" spans="1:14" hidden="1" x14ac:dyDescent="0.3">
      <c r="A1027" s="131">
        <v>45</v>
      </c>
      <c r="B1027" s="521"/>
      <c r="C1027" s="4" t="s">
        <v>4119</v>
      </c>
      <c r="D1027" s="4" t="s">
        <v>307</v>
      </c>
      <c r="E1027" s="4" t="s">
        <v>323</v>
      </c>
      <c r="F1027" s="4" t="s">
        <v>308</v>
      </c>
      <c r="G1027" s="207" t="s">
        <v>4120</v>
      </c>
      <c r="H1027" s="133" t="s">
        <v>4121</v>
      </c>
      <c r="I1027" s="441" t="s">
        <v>3952</v>
      </c>
      <c r="J1027" s="4" t="s">
        <v>739</v>
      </c>
      <c r="K1027" s="4" t="s">
        <v>4086</v>
      </c>
      <c r="L1027" s="4"/>
      <c r="M1027" s="103">
        <v>500000</v>
      </c>
      <c r="N1027" s="133"/>
    </row>
    <row r="1028" spans="1:14" hidden="1" x14ac:dyDescent="0.3">
      <c r="A1028" s="131">
        <v>45</v>
      </c>
      <c r="B1028" s="521" t="s">
        <v>4122</v>
      </c>
      <c r="C1028" s="396">
        <v>45962</v>
      </c>
      <c r="D1028" s="4" t="s">
        <v>3749</v>
      </c>
      <c r="E1028" s="4" t="s">
        <v>30</v>
      </c>
      <c r="F1028" s="34" t="s">
        <v>3889</v>
      </c>
      <c r="G1028" s="34" t="s">
        <v>2913</v>
      </c>
      <c r="H1028" s="17" t="s">
        <v>3943</v>
      </c>
      <c r="I1028" s="207" t="s">
        <v>4123</v>
      </c>
      <c r="J1028" s="34" t="s">
        <v>3758</v>
      </c>
      <c r="K1028" s="207" t="s">
        <v>3881</v>
      </c>
      <c r="L1028" s="133"/>
      <c r="M1028" s="100">
        <v>250000</v>
      </c>
      <c r="N1028" s="6" t="s">
        <v>4124</v>
      </c>
    </row>
    <row r="1029" spans="1:14" ht="27" hidden="1" x14ac:dyDescent="0.3">
      <c r="A1029" s="131">
        <v>45</v>
      </c>
      <c r="B1029" s="521"/>
      <c r="C1029" s="396">
        <v>45964</v>
      </c>
      <c r="D1029" s="4" t="s">
        <v>3722</v>
      </c>
      <c r="E1029" s="4" t="s">
        <v>3733</v>
      </c>
      <c r="F1029" s="34" t="s">
        <v>3889</v>
      </c>
      <c r="G1029" s="34" t="s">
        <v>2913</v>
      </c>
      <c r="H1029" s="17" t="s">
        <v>208</v>
      </c>
      <c r="I1029" s="207" t="s">
        <v>4125</v>
      </c>
      <c r="J1029" s="207"/>
      <c r="K1029" s="207" t="s">
        <v>4126</v>
      </c>
      <c r="L1029" s="133" t="s">
        <v>3790</v>
      </c>
      <c r="M1029" s="17" t="s">
        <v>3852</v>
      </c>
      <c r="N1029" s="6" t="s">
        <v>4127</v>
      </c>
    </row>
    <row r="1030" spans="1:14" hidden="1" x14ac:dyDescent="0.3">
      <c r="A1030" s="131">
        <v>45</v>
      </c>
      <c r="B1030" s="521"/>
      <c r="C1030" s="396">
        <v>45964</v>
      </c>
      <c r="D1030" s="4" t="s">
        <v>3749</v>
      </c>
      <c r="E1030" s="4" t="s">
        <v>3724</v>
      </c>
      <c r="F1030" s="34" t="s">
        <v>2461</v>
      </c>
      <c r="G1030" s="34" t="s">
        <v>2913</v>
      </c>
      <c r="H1030" s="17" t="s">
        <v>3768</v>
      </c>
      <c r="I1030" s="207" t="s">
        <v>4128</v>
      </c>
      <c r="J1030" s="207"/>
      <c r="K1030" s="207" t="s">
        <v>3881</v>
      </c>
      <c r="L1030" s="133" t="s">
        <v>84</v>
      </c>
      <c r="M1030" s="100">
        <v>250000</v>
      </c>
      <c r="N1030" s="6" t="s">
        <v>4129</v>
      </c>
    </row>
    <row r="1031" spans="1:14" ht="27" hidden="1" x14ac:dyDescent="0.3">
      <c r="A1031" s="131">
        <v>45</v>
      </c>
      <c r="B1031" s="521"/>
      <c r="C1031" s="396">
        <v>45965</v>
      </c>
      <c r="D1031" s="4" t="s">
        <v>3723</v>
      </c>
      <c r="E1031" s="4" t="s">
        <v>3733</v>
      </c>
      <c r="F1031" s="34" t="s">
        <v>4130</v>
      </c>
      <c r="G1031" s="207" t="s">
        <v>4131</v>
      </c>
      <c r="H1031" s="17" t="s">
        <v>4132</v>
      </c>
      <c r="I1031" s="207" t="s">
        <v>4133</v>
      </c>
      <c r="J1031" s="34" t="s">
        <v>3850</v>
      </c>
      <c r="K1031" s="207" t="s">
        <v>4134</v>
      </c>
      <c r="L1031" s="133" t="s">
        <v>3813</v>
      </c>
      <c r="M1031" s="100">
        <v>550000</v>
      </c>
      <c r="N1031" s="6" t="s">
        <v>4135</v>
      </c>
    </row>
    <row r="1032" spans="1:14" ht="27" hidden="1" x14ac:dyDescent="0.3">
      <c r="A1032" s="131">
        <v>45</v>
      </c>
      <c r="B1032" s="521"/>
      <c r="C1032" s="396">
        <v>45965</v>
      </c>
      <c r="D1032" s="4" t="s">
        <v>3739</v>
      </c>
      <c r="E1032" s="4" t="s">
        <v>4136</v>
      </c>
      <c r="F1032" s="34" t="s">
        <v>3741</v>
      </c>
      <c r="G1032" s="207" t="s">
        <v>4137</v>
      </c>
      <c r="H1032" s="17" t="s">
        <v>4139</v>
      </c>
      <c r="I1032" s="133" t="s">
        <v>4140</v>
      </c>
      <c r="J1032" s="34"/>
      <c r="K1032" s="207" t="s">
        <v>3905</v>
      </c>
      <c r="L1032" s="133" t="s">
        <v>3836</v>
      </c>
      <c r="M1032" s="100">
        <v>500000</v>
      </c>
      <c r="N1032" s="6" t="s">
        <v>4141</v>
      </c>
    </row>
    <row r="1033" spans="1:14" hidden="1" x14ac:dyDescent="0.3">
      <c r="A1033" s="131">
        <v>45</v>
      </c>
      <c r="B1033" s="521"/>
      <c r="C1033" s="396">
        <v>45966</v>
      </c>
      <c r="D1033" s="4" t="s">
        <v>3777</v>
      </c>
      <c r="E1033" s="4" t="s">
        <v>3785</v>
      </c>
      <c r="F1033" s="34" t="s">
        <v>3875</v>
      </c>
      <c r="G1033" s="34" t="s">
        <v>4081</v>
      </c>
      <c r="H1033" s="17" t="s">
        <v>3903</v>
      </c>
      <c r="I1033" s="207" t="s">
        <v>4142</v>
      </c>
      <c r="J1033" s="34" t="s">
        <v>3811</v>
      </c>
      <c r="K1033" s="207" t="s">
        <v>3793</v>
      </c>
      <c r="L1033" s="133" t="s">
        <v>3746</v>
      </c>
      <c r="M1033" s="100">
        <v>250000</v>
      </c>
      <c r="N1033" s="6" t="s">
        <v>1209</v>
      </c>
    </row>
    <row r="1034" spans="1:14" ht="27" hidden="1" x14ac:dyDescent="0.3">
      <c r="A1034" s="131">
        <v>45</v>
      </c>
      <c r="B1034" s="521"/>
      <c r="C1034" s="396">
        <v>45967</v>
      </c>
      <c r="D1034" s="4" t="s">
        <v>3723</v>
      </c>
      <c r="E1034" s="4" t="s">
        <v>17</v>
      </c>
      <c r="F1034" s="34" t="s">
        <v>3658</v>
      </c>
      <c r="G1034" s="207" t="s">
        <v>4143</v>
      </c>
      <c r="H1034" s="17" t="s">
        <v>4144</v>
      </c>
      <c r="I1034" s="207" t="s">
        <v>4146</v>
      </c>
      <c r="J1034" s="34" t="s">
        <v>3728</v>
      </c>
      <c r="K1034" s="207" t="s">
        <v>3878</v>
      </c>
      <c r="L1034" s="133" t="s">
        <v>3821</v>
      </c>
      <c r="M1034" s="100">
        <v>500000</v>
      </c>
      <c r="N1034" s="6" t="s">
        <v>4147</v>
      </c>
    </row>
    <row r="1035" spans="1:14" hidden="1" x14ac:dyDescent="0.3">
      <c r="A1035" s="131">
        <v>45</v>
      </c>
      <c r="B1035" s="521"/>
      <c r="C1035" s="396">
        <v>45968</v>
      </c>
      <c r="D1035" s="4" t="s">
        <v>3723</v>
      </c>
      <c r="E1035" s="4" t="s">
        <v>30</v>
      </c>
      <c r="F1035" s="34" t="s">
        <v>4148</v>
      </c>
      <c r="G1035" s="34" t="s">
        <v>4149</v>
      </c>
      <c r="H1035" s="17" t="s">
        <v>4150</v>
      </c>
      <c r="I1035" s="207" t="s">
        <v>4151</v>
      </c>
      <c r="J1035" s="207"/>
      <c r="K1035" s="207" t="s">
        <v>3881</v>
      </c>
      <c r="L1035" s="133" t="s">
        <v>3813</v>
      </c>
      <c r="M1035" s="100">
        <v>250000</v>
      </c>
      <c r="N1035" s="6" t="s">
        <v>1498</v>
      </c>
    </row>
    <row r="1036" spans="1:14" hidden="1" x14ac:dyDescent="0.3">
      <c r="A1036" s="131">
        <v>46</v>
      </c>
      <c r="B1036" s="521" t="s">
        <v>4152</v>
      </c>
      <c r="C1036" s="448">
        <v>45969</v>
      </c>
      <c r="D1036" s="4" t="s">
        <v>307</v>
      </c>
      <c r="E1036" s="4" t="s">
        <v>323</v>
      </c>
      <c r="F1036" s="4" t="s">
        <v>308</v>
      </c>
      <c r="G1036" s="207" t="s">
        <v>4153</v>
      </c>
      <c r="H1036" s="133" t="s">
        <v>3943</v>
      </c>
      <c r="I1036" s="441" t="s">
        <v>4154</v>
      </c>
      <c r="J1036" s="4" t="s">
        <v>3720</v>
      </c>
      <c r="K1036" s="4" t="s">
        <v>2860</v>
      </c>
      <c r="L1036" s="4"/>
      <c r="M1036" s="103">
        <v>500000</v>
      </c>
      <c r="N1036" s="133" t="s">
        <v>4155</v>
      </c>
    </row>
    <row r="1037" spans="1:14" hidden="1" x14ac:dyDescent="0.3">
      <c r="A1037" s="131">
        <v>46</v>
      </c>
      <c r="B1037" s="521"/>
      <c r="C1037" s="4" t="s">
        <v>4156</v>
      </c>
      <c r="D1037" s="4" t="s">
        <v>307</v>
      </c>
      <c r="E1037" s="4" t="s">
        <v>323</v>
      </c>
      <c r="F1037" s="4" t="s">
        <v>308</v>
      </c>
      <c r="G1037" s="207">
        <v>3011</v>
      </c>
      <c r="H1037" s="133" t="s">
        <v>4077</v>
      </c>
      <c r="I1037" s="441" t="s">
        <v>4157</v>
      </c>
      <c r="J1037" s="4" t="s">
        <v>4064</v>
      </c>
      <c r="K1037" s="4" t="s">
        <v>3710</v>
      </c>
      <c r="L1037" s="4"/>
      <c r="M1037" s="103">
        <v>1250000</v>
      </c>
      <c r="N1037" s="133"/>
    </row>
    <row r="1038" spans="1:14" hidden="1" x14ac:dyDescent="0.3">
      <c r="A1038" s="131">
        <v>46</v>
      </c>
      <c r="B1038" s="521"/>
      <c r="C1038" s="448" t="s">
        <v>4158</v>
      </c>
      <c r="D1038" s="4" t="s">
        <v>307</v>
      </c>
      <c r="E1038" s="4" t="s">
        <v>323</v>
      </c>
      <c r="F1038" s="4" t="s">
        <v>308</v>
      </c>
      <c r="G1038" s="207" t="s">
        <v>4006</v>
      </c>
      <c r="H1038" s="133" t="s">
        <v>4159</v>
      </c>
      <c r="I1038" s="441" t="s">
        <v>3629</v>
      </c>
      <c r="J1038" s="4" t="s">
        <v>3920</v>
      </c>
      <c r="K1038" s="4" t="s">
        <v>4160</v>
      </c>
      <c r="L1038" s="4"/>
      <c r="M1038" s="103">
        <v>750000</v>
      </c>
      <c r="N1038" s="133"/>
    </row>
    <row r="1039" spans="1:14" hidden="1" x14ac:dyDescent="0.3">
      <c r="A1039" s="131">
        <v>46</v>
      </c>
      <c r="B1039" s="521"/>
      <c r="C1039" s="4" t="s">
        <v>4161</v>
      </c>
      <c r="D1039" s="4" t="s">
        <v>307</v>
      </c>
      <c r="E1039" s="4" t="s">
        <v>323</v>
      </c>
      <c r="F1039" s="4" t="s">
        <v>308</v>
      </c>
      <c r="G1039" s="207">
        <v>3006</v>
      </c>
      <c r="H1039" s="133" t="s">
        <v>23</v>
      </c>
      <c r="I1039" s="441" t="s">
        <v>4162</v>
      </c>
      <c r="J1039" s="4" t="s">
        <v>739</v>
      </c>
      <c r="K1039" s="4" t="s">
        <v>4111</v>
      </c>
      <c r="L1039" s="4"/>
      <c r="M1039" s="103">
        <v>500000</v>
      </c>
      <c r="N1039" s="133"/>
    </row>
    <row r="1040" spans="1:14" ht="27" hidden="1" x14ac:dyDescent="0.3">
      <c r="A1040" s="131">
        <v>46</v>
      </c>
      <c r="B1040" s="521" t="s">
        <v>21</v>
      </c>
      <c r="C1040" s="396">
        <v>45965</v>
      </c>
      <c r="D1040" s="4" t="s">
        <v>21</v>
      </c>
      <c r="E1040" s="4" t="s">
        <v>3815</v>
      </c>
      <c r="F1040" s="34" t="s">
        <v>3928</v>
      </c>
      <c r="G1040" s="34" t="s">
        <v>3767</v>
      </c>
      <c r="H1040" s="17" t="s">
        <v>3768</v>
      </c>
      <c r="I1040" s="207" t="s">
        <v>4163</v>
      </c>
      <c r="J1040" s="207"/>
      <c r="K1040" s="207" t="s">
        <v>185</v>
      </c>
      <c r="L1040" s="133" t="s">
        <v>4035</v>
      </c>
      <c r="M1040" s="17" t="s">
        <v>3998</v>
      </c>
      <c r="N1040" s="6" t="s">
        <v>4164</v>
      </c>
    </row>
    <row r="1041" spans="1:14" ht="27" hidden="1" x14ac:dyDescent="0.3">
      <c r="A1041" s="131">
        <v>46</v>
      </c>
      <c r="B1041" s="521"/>
      <c r="C1041" s="396">
        <v>45971</v>
      </c>
      <c r="D1041" s="4" t="s">
        <v>3749</v>
      </c>
      <c r="E1041" s="4" t="s">
        <v>3724</v>
      </c>
      <c r="F1041" s="34" t="s">
        <v>4165</v>
      </c>
      <c r="G1041" s="34" t="s">
        <v>4166</v>
      </c>
      <c r="H1041" s="17" t="s">
        <v>144</v>
      </c>
      <c r="I1041" s="207" t="s">
        <v>4167</v>
      </c>
      <c r="J1041" s="207"/>
      <c r="K1041" s="207" t="s">
        <v>796</v>
      </c>
      <c r="L1041" s="133" t="s">
        <v>84</v>
      </c>
      <c r="M1041" s="103">
        <v>500000</v>
      </c>
      <c r="N1041" s="6" t="s">
        <v>1660</v>
      </c>
    </row>
    <row r="1042" spans="1:14" ht="27" hidden="1" x14ac:dyDescent="0.3">
      <c r="A1042" s="131">
        <v>46</v>
      </c>
      <c r="B1042" s="521"/>
      <c r="C1042" s="396">
        <v>45971</v>
      </c>
      <c r="D1042" s="4" t="s">
        <v>3739</v>
      </c>
      <c r="E1042" s="4" t="s">
        <v>3778</v>
      </c>
      <c r="F1042" s="34" t="s">
        <v>3889</v>
      </c>
      <c r="G1042" s="34" t="s">
        <v>2913</v>
      </c>
      <c r="H1042" s="17" t="s">
        <v>3868</v>
      </c>
      <c r="I1042" s="207" t="s">
        <v>4168</v>
      </c>
      <c r="J1042" s="207"/>
      <c r="K1042" s="207" t="s">
        <v>4169</v>
      </c>
      <c r="L1042" s="133" t="s">
        <v>3813</v>
      </c>
      <c r="M1042" s="17" t="s">
        <v>3807</v>
      </c>
      <c r="N1042" s="6" t="s">
        <v>4170</v>
      </c>
    </row>
    <row r="1043" spans="1:14" ht="27" hidden="1" x14ac:dyDescent="0.3">
      <c r="A1043" s="131">
        <v>46</v>
      </c>
      <c r="B1043" s="521"/>
      <c r="C1043" s="396">
        <v>45971</v>
      </c>
      <c r="D1043" s="4" t="s">
        <v>3777</v>
      </c>
      <c r="E1043" s="4" t="s">
        <v>3792</v>
      </c>
      <c r="F1043" s="34" t="s">
        <v>3965</v>
      </c>
      <c r="G1043" s="17">
        <v>3307</v>
      </c>
      <c r="H1043" s="4" t="s">
        <v>813</v>
      </c>
      <c r="I1043" s="207" t="s">
        <v>4171</v>
      </c>
      <c r="J1043" s="207" t="s">
        <v>4172</v>
      </c>
      <c r="K1043" s="207" t="s">
        <v>4173</v>
      </c>
      <c r="L1043" s="133" t="s">
        <v>4174</v>
      </c>
      <c r="M1043" s="17" t="s">
        <v>3747</v>
      </c>
      <c r="N1043" s="6" t="s">
        <v>3887</v>
      </c>
    </row>
    <row r="1044" spans="1:14" ht="27" hidden="1" x14ac:dyDescent="0.3">
      <c r="A1044" s="131">
        <v>46</v>
      </c>
      <c r="B1044" s="521"/>
      <c r="C1044" s="396">
        <v>45971</v>
      </c>
      <c r="D1044" s="4" t="s">
        <v>21</v>
      </c>
      <c r="E1044" s="4" t="s">
        <v>3778</v>
      </c>
      <c r="F1044" s="34" t="s">
        <v>2140</v>
      </c>
      <c r="G1044" s="17" t="s">
        <v>4175</v>
      </c>
      <c r="H1044" s="4" t="s">
        <v>4112</v>
      </c>
      <c r="I1044" s="207" t="s">
        <v>4176</v>
      </c>
      <c r="J1044" s="34" t="s">
        <v>497</v>
      </c>
      <c r="K1044" s="207" t="s">
        <v>4177</v>
      </c>
      <c r="L1044" s="133" t="s">
        <v>84</v>
      </c>
      <c r="M1044" s="17" t="s">
        <v>3807</v>
      </c>
      <c r="N1044" s="6" t="s">
        <v>4178</v>
      </c>
    </row>
    <row r="1045" spans="1:14" ht="27" hidden="1" x14ac:dyDescent="0.3">
      <c r="A1045" s="131">
        <v>46</v>
      </c>
      <c r="B1045" s="521"/>
      <c r="C1045" s="396">
        <v>45972</v>
      </c>
      <c r="D1045" s="4" t="s">
        <v>3803</v>
      </c>
      <c r="E1045" s="4" t="s">
        <v>4136</v>
      </c>
      <c r="F1045" s="34" t="s">
        <v>3895</v>
      </c>
      <c r="G1045" s="207" t="s">
        <v>4179</v>
      </c>
      <c r="H1045" s="17" t="s">
        <v>4180</v>
      </c>
      <c r="I1045" s="207" t="s">
        <v>4182</v>
      </c>
      <c r="J1045" s="34"/>
      <c r="K1045" s="207" t="s">
        <v>688</v>
      </c>
      <c r="L1045" s="133" t="s">
        <v>3760</v>
      </c>
      <c r="M1045" s="100">
        <v>250000</v>
      </c>
      <c r="N1045" s="6" t="s">
        <v>4183</v>
      </c>
    </row>
    <row r="1046" spans="1:14" ht="27" hidden="1" x14ac:dyDescent="0.3">
      <c r="A1046" s="131">
        <v>46</v>
      </c>
      <c r="B1046" s="521"/>
      <c r="C1046" s="396">
        <v>45972</v>
      </c>
      <c r="D1046" s="4" t="s">
        <v>3749</v>
      </c>
      <c r="E1046" s="4" t="s">
        <v>4136</v>
      </c>
      <c r="F1046" s="34" t="s">
        <v>3965</v>
      </c>
      <c r="G1046" s="207" t="s">
        <v>4184</v>
      </c>
      <c r="H1046" s="17" t="s">
        <v>4138</v>
      </c>
      <c r="I1046" s="207" t="s">
        <v>4181</v>
      </c>
      <c r="J1046" s="34"/>
      <c r="K1046" s="207" t="s">
        <v>4185</v>
      </c>
      <c r="L1046" s="133" t="s">
        <v>4035</v>
      </c>
      <c r="M1046" s="17" t="s">
        <v>3677</v>
      </c>
      <c r="N1046" s="6" t="s">
        <v>4186</v>
      </c>
    </row>
    <row r="1047" spans="1:14" ht="27" hidden="1" x14ac:dyDescent="0.3">
      <c r="A1047" s="131">
        <v>46</v>
      </c>
      <c r="B1047" s="521"/>
      <c r="C1047" s="396">
        <v>45972</v>
      </c>
      <c r="D1047" s="4" t="s">
        <v>3931</v>
      </c>
      <c r="E1047" s="4" t="s">
        <v>3815</v>
      </c>
      <c r="F1047" s="34" t="s">
        <v>3923</v>
      </c>
      <c r="G1047" s="207" t="s">
        <v>4131</v>
      </c>
      <c r="H1047" s="17" t="s">
        <v>3895</v>
      </c>
      <c r="I1047" s="207" t="s">
        <v>4187</v>
      </c>
      <c r="J1047" s="34" t="s">
        <v>121</v>
      </c>
      <c r="K1047" s="207" t="s">
        <v>4040</v>
      </c>
      <c r="L1047" s="133" t="s">
        <v>3821</v>
      </c>
      <c r="M1047" s="100">
        <v>300000</v>
      </c>
      <c r="N1047" s="6" t="s">
        <v>4183</v>
      </c>
    </row>
    <row r="1048" spans="1:14" hidden="1" x14ac:dyDescent="0.3">
      <c r="A1048" s="131">
        <v>46</v>
      </c>
      <c r="B1048" s="521"/>
      <c r="C1048" s="396">
        <v>45972</v>
      </c>
      <c r="D1048" s="4" t="s">
        <v>3931</v>
      </c>
      <c r="E1048" s="4" t="s">
        <v>3724</v>
      </c>
      <c r="F1048" s="34" t="s">
        <v>3741</v>
      </c>
      <c r="G1048" s="34" t="s">
        <v>4081</v>
      </c>
      <c r="H1048" s="17" t="s">
        <v>3929</v>
      </c>
      <c r="I1048" s="207" t="s">
        <v>4188</v>
      </c>
      <c r="J1048" s="34"/>
      <c r="K1048" s="207" t="s">
        <v>4189</v>
      </c>
      <c r="L1048" s="133" t="s">
        <v>3836</v>
      </c>
      <c r="M1048" s="100">
        <v>250000</v>
      </c>
      <c r="N1048" s="6" t="s">
        <v>3776</v>
      </c>
    </row>
    <row r="1049" spans="1:14" hidden="1" x14ac:dyDescent="0.3">
      <c r="A1049" s="131">
        <v>47</v>
      </c>
      <c r="B1049" s="521" t="s">
        <v>176</v>
      </c>
      <c r="C1049" s="448">
        <v>45976</v>
      </c>
      <c r="D1049" s="4" t="s">
        <v>307</v>
      </c>
      <c r="E1049" s="4" t="s">
        <v>323</v>
      </c>
      <c r="F1049" s="4" t="s">
        <v>4190</v>
      </c>
      <c r="G1049" s="207" t="s">
        <v>3867</v>
      </c>
      <c r="H1049" s="133" t="s">
        <v>3943</v>
      </c>
      <c r="I1049" s="441" t="s">
        <v>4191</v>
      </c>
      <c r="J1049" s="4" t="s">
        <v>739</v>
      </c>
      <c r="K1049" s="4" t="s">
        <v>4192</v>
      </c>
      <c r="L1049" s="4"/>
      <c r="M1049" s="103">
        <v>250000</v>
      </c>
      <c r="N1049" s="133" t="s">
        <v>4193</v>
      </c>
    </row>
    <row r="1050" spans="1:14" hidden="1" x14ac:dyDescent="0.3">
      <c r="A1050" s="131">
        <v>47</v>
      </c>
      <c r="B1050" s="521"/>
      <c r="C1050" s="448">
        <v>45978</v>
      </c>
      <c r="D1050" s="4" t="s">
        <v>307</v>
      </c>
      <c r="E1050" s="4" t="s">
        <v>323</v>
      </c>
      <c r="F1050" s="4" t="s">
        <v>4194</v>
      </c>
      <c r="G1050" s="207" t="s">
        <v>4195</v>
      </c>
      <c r="H1050" s="133" t="s">
        <v>4196</v>
      </c>
      <c r="I1050" s="441" t="s">
        <v>4197</v>
      </c>
      <c r="J1050" s="4" t="s">
        <v>3655</v>
      </c>
      <c r="K1050" s="4" t="s">
        <v>3759</v>
      </c>
      <c r="L1050" s="4"/>
      <c r="M1050" s="103">
        <v>250000</v>
      </c>
      <c r="N1050" s="133"/>
    </row>
    <row r="1051" spans="1:14" hidden="1" x14ac:dyDescent="0.3">
      <c r="A1051" s="131">
        <v>47</v>
      </c>
      <c r="B1051" s="521"/>
      <c r="C1051" s="448" t="s">
        <v>4198</v>
      </c>
      <c r="D1051" s="4" t="s">
        <v>307</v>
      </c>
      <c r="E1051" s="4" t="s">
        <v>323</v>
      </c>
      <c r="F1051" s="4" t="s">
        <v>308</v>
      </c>
      <c r="G1051" s="207">
        <v>3006</v>
      </c>
      <c r="H1051" s="133" t="s">
        <v>3653</v>
      </c>
      <c r="I1051" s="441" t="s">
        <v>3625</v>
      </c>
      <c r="J1051" s="4" t="s">
        <v>3920</v>
      </c>
      <c r="K1051" s="4" t="s">
        <v>3913</v>
      </c>
      <c r="L1051" s="4"/>
      <c r="M1051" s="103">
        <v>750000</v>
      </c>
      <c r="N1051" s="133"/>
    </row>
    <row r="1052" spans="1:14" hidden="1" x14ac:dyDescent="0.3">
      <c r="A1052" s="131">
        <v>47</v>
      </c>
      <c r="B1052" s="521"/>
      <c r="C1052" s="448" t="s">
        <v>4199</v>
      </c>
      <c r="D1052" s="4" t="s">
        <v>307</v>
      </c>
      <c r="E1052" s="4" t="s">
        <v>323</v>
      </c>
      <c r="F1052" s="4" t="s">
        <v>308</v>
      </c>
      <c r="G1052" s="207" t="s">
        <v>4006</v>
      </c>
      <c r="H1052" s="133" t="s">
        <v>4200</v>
      </c>
      <c r="I1052" s="441" t="s">
        <v>4201</v>
      </c>
      <c r="J1052" s="4" t="s">
        <v>739</v>
      </c>
      <c r="K1052" s="4" t="s">
        <v>4202</v>
      </c>
      <c r="L1052" s="4"/>
      <c r="M1052" s="103">
        <v>500000</v>
      </c>
      <c r="N1052" s="133"/>
    </row>
    <row r="1053" spans="1:14" ht="15.75" hidden="1" customHeight="1" x14ac:dyDescent="0.3">
      <c r="A1053" s="131">
        <v>47</v>
      </c>
      <c r="B1053" s="521"/>
      <c r="C1053" s="4" t="s">
        <v>4203</v>
      </c>
      <c r="D1053" s="4" t="s">
        <v>307</v>
      </c>
      <c r="E1053" s="4" t="s">
        <v>323</v>
      </c>
      <c r="F1053" s="4" t="s">
        <v>308</v>
      </c>
      <c r="G1053" s="207" t="s">
        <v>4204</v>
      </c>
      <c r="H1053" s="133" t="s">
        <v>4112</v>
      </c>
      <c r="I1053" s="441" t="s">
        <v>3912</v>
      </c>
      <c r="J1053" s="4" t="s">
        <v>3797</v>
      </c>
      <c r="K1053" s="4" t="s">
        <v>4205</v>
      </c>
      <c r="L1053" s="4"/>
      <c r="M1053" s="103">
        <v>750000</v>
      </c>
      <c r="N1053" s="133"/>
    </row>
    <row r="1054" spans="1:14" ht="27" hidden="1" x14ac:dyDescent="0.3">
      <c r="A1054" s="131">
        <v>47</v>
      </c>
      <c r="B1054" s="521" t="s">
        <v>3791</v>
      </c>
      <c r="C1054" s="396">
        <v>45975</v>
      </c>
      <c r="D1054" s="4" t="s">
        <v>3722</v>
      </c>
      <c r="E1054" s="4" t="s">
        <v>30</v>
      </c>
      <c r="F1054" s="34" t="s">
        <v>4206</v>
      </c>
      <c r="G1054" s="207" t="s">
        <v>4208</v>
      </c>
      <c r="H1054" s="17" t="s">
        <v>4209</v>
      </c>
      <c r="I1054" s="207" t="s">
        <v>4210</v>
      </c>
      <c r="J1054" s="207" t="s">
        <v>4003</v>
      </c>
      <c r="K1054" s="207" t="s">
        <v>4211</v>
      </c>
      <c r="L1054" s="133" t="s">
        <v>84</v>
      </c>
      <c r="M1054" s="100">
        <v>600000</v>
      </c>
      <c r="N1054" s="6" t="s">
        <v>4212</v>
      </c>
    </row>
    <row r="1055" spans="1:14" hidden="1" x14ac:dyDescent="0.3">
      <c r="A1055" s="131">
        <v>47</v>
      </c>
      <c r="B1055" s="521"/>
      <c r="C1055" s="396">
        <v>45975</v>
      </c>
      <c r="D1055" s="4" t="s">
        <v>3791</v>
      </c>
      <c r="E1055" s="4" t="s">
        <v>30</v>
      </c>
      <c r="F1055" s="34" t="s">
        <v>4213</v>
      </c>
      <c r="G1055" s="34" t="s">
        <v>3973</v>
      </c>
      <c r="H1055" s="17" t="s">
        <v>4214</v>
      </c>
      <c r="I1055" s="207" t="s">
        <v>4215</v>
      </c>
      <c r="J1055" s="207"/>
      <c r="K1055" s="207" t="s">
        <v>3851</v>
      </c>
      <c r="L1055" s="133" t="s">
        <v>3836</v>
      </c>
      <c r="M1055" s="100">
        <v>300000</v>
      </c>
      <c r="N1055" s="6" t="s">
        <v>4216</v>
      </c>
    </row>
    <row r="1056" spans="1:14" ht="27" hidden="1" x14ac:dyDescent="0.3">
      <c r="A1056" s="131">
        <v>47</v>
      </c>
      <c r="B1056" s="521"/>
      <c r="C1056" s="396">
        <v>45976</v>
      </c>
      <c r="D1056" s="4" t="s">
        <v>21</v>
      </c>
      <c r="E1056" s="4" t="s">
        <v>3785</v>
      </c>
      <c r="F1056" s="34" t="s">
        <v>4206</v>
      </c>
      <c r="G1056" s="207" t="s">
        <v>4208</v>
      </c>
      <c r="H1056" s="17" t="s">
        <v>4217</v>
      </c>
      <c r="I1056" s="207" t="s">
        <v>4218</v>
      </c>
      <c r="J1056" s="207" t="s">
        <v>4034</v>
      </c>
      <c r="K1056" s="207" t="s">
        <v>4192</v>
      </c>
      <c r="L1056" s="133" t="s">
        <v>84</v>
      </c>
      <c r="M1056" s="100">
        <v>250000</v>
      </c>
      <c r="N1056" s="6" t="s">
        <v>4219</v>
      </c>
    </row>
    <row r="1057" spans="1:14" hidden="1" x14ac:dyDescent="0.3">
      <c r="A1057" s="131">
        <v>47</v>
      </c>
      <c r="B1057" s="521"/>
      <c r="C1057" s="396">
        <v>45976</v>
      </c>
      <c r="D1057" s="4" t="s">
        <v>3931</v>
      </c>
      <c r="E1057" s="4" t="s">
        <v>3755</v>
      </c>
      <c r="F1057" s="34" t="s">
        <v>3928</v>
      </c>
      <c r="G1057" s="34">
        <v>3307</v>
      </c>
      <c r="H1057" s="17" t="s">
        <v>3896</v>
      </c>
      <c r="I1057" s="207" t="s">
        <v>4220</v>
      </c>
      <c r="J1057" s="207"/>
      <c r="K1057" s="207" t="s">
        <v>3881</v>
      </c>
      <c r="L1057" s="133" t="s">
        <v>568</v>
      </c>
      <c r="M1057" s="100">
        <v>250000</v>
      </c>
      <c r="N1057" s="6" t="s">
        <v>4221</v>
      </c>
    </row>
    <row r="1058" spans="1:14" ht="27" hidden="1" x14ac:dyDescent="0.3">
      <c r="A1058" s="131">
        <v>47</v>
      </c>
      <c r="B1058" s="521"/>
      <c r="C1058" s="396">
        <v>45976</v>
      </c>
      <c r="D1058" s="4" t="s">
        <v>21</v>
      </c>
      <c r="E1058" s="4" t="s">
        <v>3792</v>
      </c>
      <c r="F1058" s="34" t="s">
        <v>4222</v>
      </c>
      <c r="G1058" s="207" t="s">
        <v>4223</v>
      </c>
      <c r="H1058" s="17" t="s">
        <v>4224</v>
      </c>
      <c r="I1058" s="207" t="s">
        <v>4225</v>
      </c>
      <c r="J1058" s="207" t="s">
        <v>121</v>
      </c>
      <c r="K1058" s="207" t="s">
        <v>688</v>
      </c>
      <c r="L1058" s="133" t="s">
        <v>3760</v>
      </c>
      <c r="M1058" s="100">
        <v>250000</v>
      </c>
      <c r="N1058" s="6" t="s">
        <v>4226</v>
      </c>
    </row>
    <row r="1059" spans="1:14" hidden="1" x14ac:dyDescent="0.3">
      <c r="A1059" s="131">
        <v>47</v>
      </c>
      <c r="B1059" s="521"/>
      <c r="C1059" s="396">
        <v>45978</v>
      </c>
      <c r="D1059" s="4" t="s">
        <v>3670</v>
      </c>
      <c r="E1059" s="4" t="s">
        <v>3792</v>
      </c>
      <c r="F1059" s="34" t="s">
        <v>4227</v>
      </c>
      <c r="G1059" s="34" t="s">
        <v>4166</v>
      </c>
      <c r="H1059" s="17" t="s">
        <v>3843</v>
      </c>
      <c r="I1059" s="207" t="s">
        <v>4228</v>
      </c>
      <c r="J1059" s="207"/>
      <c r="K1059" s="207" t="s">
        <v>3789</v>
      </c>
      <c r="L1059" s="133" t="s">
        <v>3760</v>
      </c>
      <c r="M1059" s="100">
        <v>250000</v>
      </c>
      <c r="N1059" s="6" t="s">
        <v>4031</v>
      </c>
    </row>
    <row r="1060" spans="1:14" hidden="1" x14ac:dyDescent="0.3">
      <c r="A1060" s="131">
        <v>47</v>
      </c>
      <c r="B1060" s="521"/>
      <c r="C1060" s="396">
        <v>45978</v>
      </c>
      <c r="D1060" s="4" t="s">
        <v>21</v>
      </c>
      <c r="E1060" s="4" t="s">
        <v>3733</v>
      </c>
      <c r="F1060" s="207" t="s">
        <v>4229</v>
      </c>
      <c r="G1060" s="34" t="s">
        <v>4230</v>
      </c>
      <c r="H1060" s="17" t="s">
        <v>3818</v>
      </c>
      <c r="I1060" s="207" t="s">
        <v>4231</v>
      </c>
      <c r="J1060" s="34" t="s">
        <v>3728</v>
      </c>
      <c r="K1060" s="34" t="s">
        <v>4189</v>
      </c>
      <c r="L1060" s="133" t="s">
        <v>3836</v>
      </c>
      <c r="M1060" s="100">
        <v>250000</v>
      </c>
      <c r="N1060" s="6" t="s">
        <v>4036</v>
      </c>
    </row>
    <row r="1061" spans="1:14" ht="27" hidden="1" x14ac:dyDescent="0.3">
      <c r="A1061" s="131">
        <v>47</v>
      </c>
      <c r="B1061" s="521"/>
      <c r="C1061" s="396">
        <v>45978</v>
      </c>
      <c r="D1061" s="4" t="s">
        <v>4122</v>
      </c>
      <c r="E1061" s="4" t="s">
        <v>30</v>
      </c>
      <c r="F1061" s="34" t="s">
        <v>4232</v>
      </c>
      <c r="G1061" s="207" t="s">
        <v>4207</v>
      </c>
      <c r="H1061" s="17" t="s">
        <v>3818</v>
      </c>
      <c r="I1061" s="207" t="s">
        <v>4233</v>
      </c>
      <c r="J1061" s="207"/>
      <c r="K1061" s="207" t="s">
        <v>4234</v>
      </c>
      <c r="L1061" s="133" t="s">
        <v>84</v>
      </c>
      <c r="M1061" s="100">
        <v>300000</v>
      </c>
      <c r="N1061" s="6" t="s">
        <v>3840</v>
      </c>
    </row>
    <row r="1062" spans="1:14" hidden="1" x14ac:dyDescent="0.3">
      <c r="A1062" s="131">
        <v>47</v>
      </c>
      <c r="B1062" s="521"/>
      <c r="C1062" s="396">
        <v>45979</v>
      </c>
      <c r="D1062" s="4" t="s">
        <v>3777</v>
      </c>
      <c r="E1062" s="4" t="s">
        <v>3671</v>
      </c>
      <c r="F1062" s="310" t="s">
        <v>4235</v>
      </c>
      <c r="G1062" s="34" t="s">
        <v>4236</v>
      </c>
      <c r="H1062" s="17" t="s">
        <v>3818</v>
      </c>
      <c r="I1062" s="334" t="s">
        <v>4237</v>
      </c>
      <c r="J1062" s="34"/>
      <c r="K1062" s="207" t="s">
        <v>3812</v>
      </c>
      <c r="L1062" s="133" t="s">
        <v>3760</v>
      </c>
      <c r="M1062" s="100">
        <v>300000</v>
      </c>
      <c r="N1062" s="6" t="s">
        <v>3329</v>
      </c>
    </row>
    <row r="1063" spans="1:14" hidden="1" x14ac:dyDescent="0.3">
      <c r="A1063" s="131">
        <v>47</v>
      </c>
      <c r="B1063" s="521"/>
      <c r="C1063" s="396">
        <v>45979</v>
      </c>
      <c r="D1063" s="4" t="s">
        <v>3723</v>
      </c>
      <c r="E1063" s="4" t="s">
        <v>3792</v>
      </c>
      <c r="F1063" s="310" t="s">
        <v>3786</v>
      </c>
      <c r="G1063" s="34" t="s">
        <v>3761</v>
      </c>
      <c r="H1063" s="17" t="s">
        <v>4238</v>
      </c>
      <c r="I1063" s="334" t="s">
        <v>4239</v>
      </c>
      <c r="J1063" s="34"/>
      <c r="K1063" s="207" t="s">
        <v>3881</v>
      </c>
      <c r="L1063" s="133" t="s">
        <v>3746</v>
      </c>
      <c r="M1063" s="100">
        <v>250000</v>
      </c>
      <c r="N1063" s="6" t="s">
        <v>3329</v>
      </c>
    </row>
    <row r="1064" spans="1:14" ht="27" hidden="1" x14ac:dyDescent="0.3">
      <c r="A1064" s="131">
        <v>47</v>
      </c>
      <c r="B1064" s="521"/>
      <c r="C1064" s="396">
        <v>45979</v>
      </c>
      <c r="D1064" s="4" t="s">
        <v>3931</v>
      </c>
      <c r="E1064" s="4" t="s">
        <v>3740</v>
      </c>
      <c r="F1064" s="34" t="s">
        <v>159</v>
      </c>
      <c r="G1064" s="207" t="s">
        <v>4240</v>
      </c>
      <c r="H1064" s="17" t="s">
        <v>4238</v>
      </c>
      <c r="I1064" s="207" t="s">
        <v>3545</v>
      </c>
      <c r="J1064" s="207" t="s">
        <v>4034</v>
      </c>
      <c r="K1064" s="207" t="s">
        <v>688</v>
      </c>
      <c r="L1064" s="133" t="s">
        <v>84</v>
      </c>
      <c r="M1064" s="100">
        <v>250000</v>
      </c>
      <c r="N1064" s="6" t="s">
        <v>4031</v>
      </c>
    </row>
    <row r="1065" spans="1:14" ht="27" hidden="1" x14ac:dyDescent="0.3">
      <c r="A1065" s="131">
        <v>47</v>
      </c>
      <c r="B1065" s="521"/>
      <c r="C1065" s="396">
        <v>45979</v>
      </c>
      <c r="D1065" s="4" t="s">
        <v>3723</v>
      </c>
      <c r="E1065" s="4" t="s">
        <v>3785</v>
      </c>
      <c r="F1065" s="34" t="s">
        <v>4241</v>
      </c>
      <c r="G1065" s="207" t="s">
        <v>4207</v>
      </c>
      <c r="H1065" s="17" t="s">
        <v>4238</v>
      </c>
      <c r="I1065" s="207" t="s">
        <v>4242</v>
      </c>
      <c r="J1065" s="207" t="s">
        <v>4034</v>
      </c>
      <c r="K1065" s="207" t="s">
        <v>4243</v>
      </c>
      <c r="L1065" s="133" t="s">
        <v>3790</v>
      </c>
      <c r="M1065" s="100">
        <v>300000</v>
      </c>
      <c r="N1065" s="6" t="s">
        <v>3847</v>
      </c>
    </row>
    <row r="1066" spans="1:14" hidden="1" x14ac:dyDescent="0.3">
      <c r="A1066" s="131">
        <v>47</v>
      </c>
      <c r="B1066" s="521"/>
      <c r="C1066" s="396" t="s">
        <v>4244</v>
      </c>
      <c r="D1066" s="4" t="s">
        <v>3749</v>
      </c>
      <c r="E1066" s="4" t="s">
        <v>3755</v>
      </c>
      <c r="F1066" s="34" t="s">
        <v>4245</v>
      </c>
      <c r="G1066" s="207" t="s">
        <v>4246</v>
      </c>
      <c r="H1066" s="17" t="s">
        <v>3726</v>
      </c>
      <c r="I1066" s="207" t="s">
        <v>4248</v>
      </c>
      <c r="J1066" s="207" t="s">
        <v>3758</v>
      </c>
      <c r="K1066" s="207" t="s">
        <v>4249</v>
      </c>
      <c r="L1066" s="133" t="s">
        <v>84</v>
      </c>
      <c r="M1066" s="100">
        <v>600000</v>
      </c>
      <c r="N1066" s="6" t="s">
        <v>3784</v>
      </c>
    </row>
    <row r="1067" spans="1:14" hidden="1" x14ac:dyDescent="0.3">
      <c r="A1067" s="131">
        <v>47</v>
      </c>
      <c r="B1067" s="521"/>
      <c r="C1067" s="396" t="s">
        <v>4250</v>
      </c>
      <c r="D1067" s="4" t="s">
        <v>3739</v>
      </c>
      <c r="E1067" s="4" t="s">
        <v>3815</v>
      </c>
      <c r="F1067" s="34" t="s">
        <v>4251</v>
      </c>
      <c r="G1067" s="207" t="s">
        <v>4246</v>
      </c>
      <c r="H1067" s="17" t="s">
        <v>3736</v>
      </c>
      <c r="I1067" s="207" t="s">
        <v>4247</v>
      </c>
      <c r="J1067" s="207" t="s">
        <v>3850</v>
      </c>
      <c r="K1067" s="207" t="s">
        <v>3905</v>
      </c>
      <c r="L1067" s="133" t="s">
        <v>3760</v>
      </c>
      <c r="M1067" s="100">
        <v>500000</v>
      </c>
      <c r="N1067" s="6" t="s">
        <v>4036</v>
      </c>
    </row>
    <row r="1068" spans="1:14" ht="27" hidden="1" x14ac:dyDescent="0.3">
      <c r="A1068" s="131">
        <v>47</v>
      </c>
      <c r="B1068" s="521"/>
      <c r="C1068" s="396">
        <v>45980</v>
      </c>
      <c r="D1068" s="4" t="s">
        <v>3749</v>
      </c>
      <c r="E1068" s="4" t="s">
        <v>17</v>
      </c>
      <c r="F1068" s="34" t="s">
        <v>3889</v>
      </c>
      <c r="G1068" s="207" t="s">
        <v>4137</v>
      </c>
      <c r="H1068" s="17" t="s">
        <v>4139</v>
      </c>
      <c r="I1068" s="207" t="s">
        <v>4145</v>
      </c>
      <c r="J1068" s="34"/>
      <c r="K1068" s="207" t="s">
        <v>3851</v>
      </c>
      <c r="L1068" s="133" t="s">
        <v>84</v>
      </c>
      <c r="M1068" s="100">
        <v>300000</v>
      </c>
      <c r="N1068" s="6" t="s">
        <v>4147</v>
      </c>
    </row>
    <row r="1069" spans="1:14" hidden="1" x14ac:dyDescent="0.3">
      <c r="A1069" s="131">
        <v>47</v>
      </c>
      <c r="B1069" s="521"/>
      <c r="C1069" s="396">
        <v>45982</v>
      </c>
      <c r="D1069" s="4" t="s">
        <v>3931</v>
      </c>
      <c r="E1069" s="4" t="s">
        <v>3778</v>
      </c>
      <c r="F1069" s="34" t="s">
        <v>383</v>
      </c>
      <c r="G1069" s="34" t="s">
        <v>3972</v>
      </c>
      <c r="H1069" s="17" t="s">
        <v>4252</v>
      </c>
      <c r="I1069" s="207" t="s">
        <v>4253</v>
      </c>
      <c r="J1069" s="207"/>
      <c r="K1069" s="34" t="s">
        <v>3878</v>
      </c>
      <c r="L1069" s="133" t="s">
        <v>3746</v>
      </c>
      <c r="M1069" s="100">
        <v>500000</v>
      </c>
      <c r="N1069" s="6" t="s">
        <v>3614</v>
      </c>
    </row>
    <row r="1070" spans="1:14" ht="24" hidden="1" x14ac:dyDescent="0.3">
      <c r="A1070" s="131">
        <v>47</v>
      </c>
      <c r="B1070" s="521"/>
      <c r="C1070" s="396">
        <v>45982</v>
      </c>
      <c r="D1070" s="4" t="s">
        <v>3670</v>
      </c>
      <c r="E1070" s="4" t="s">
        <v>3792</v>
      </c>
      <c r="F1070" s="310" t="s">
        <v>3779</v>
      </c>
      <c r="G1070" s="34" t="s">
        <v>3809</v>
      </c>
      <c r="H1070" s="17" t="s">
        <v>4254</v>
      </c>
      <c r="I1070" s="334" t="s">
        <v>4255</v>
      </c>
      <c r="J1070" s="34"/>
      <c r="K1070" s="207" t="s">
        <v>4256</v>
      </c>
      <c r="L1070" s="133" t="s">
        <v>310</v>
      </c>
      <c r="M1070" s="100">
        <v>300000</v>
      </c>
      <c r="N1070" s="6" t="s">
        <v>3794</v>
      </c>
    </row>
    <row r="1071" spans="1:14" ht="24" hidden="1" x14ac:dyDescent="0.3">
      <c r="A1071" s="131">
        <v>47</v>
      </c>
      <c r="B1071" s="521"/>
      <c r="C1071" s="396">
        <v>45982</v>
      </c>
      <c r="D1071" s="4" t="s">
        <v>21</v>
      </c>
      <c r="E1071" s="4" t="s">
        <v>3740</v>
      </c>
      <c r="F1071" s="310" t="s">
        <v>3804</v>
      </c>
      <c r="G1071" s="34" t="s">
        <v>3809</v>
      </c>
      <c r="H1071" s="17" t="s">
        <v>4257</v>
      </c>
      <c r="I1071" s="334" t="s">
        <v>4258</v>
      </c>
      <c r="J1071" s="34"/>
      <c r="K1071" s="207" t="s">
        <v>4114</v>
      </c>
      <c r="L1071" s="133" t="s">
        <v>310</v>
      </c>
      <c r="M1071" s="100">
        <v>250000</v>
      </c>
      <c r="N1071" s="6" t="s">
        <v>3794</v>
      </c>
    </row>
    <row r="1072" spans="1:14" hidden="1" x14ac:dyDescent="0.3">
      <c r="A1072" s="131">
        <v>48</v>
      </c>
      <c r="B1072" s="521" t="s">
        <v>4259</v>
      </c>
      <c r="C1072" s="448" t="s">
        <v>4260</v>
      </c>
      <c r="D1072" s="4" t="s">
        <v>307</v>
      </c>
      <c r="E1072" s="4" t="s">
        <v>323</v>
      </c>
      <c r="F1072" s="4" t="s">
        <v>308</v>
      </c>
      <c r="G1072" s="207">
        <v>3011</v>
      </c>
      <c r="H1072" s="133" t="s">
        <v>3818</v>
      </c>
      <c r="I1072" s="441" t="s">
        <v>1883</v>
      </c>
      <c r="J1072" s="4" t="s">
        <v>3863</v>
      </c>
      <c r="K1072" s="4" t="s">
        <v>4261</v>
      </c>
      <c r="L1072" s="4"/>
      <c r="M1072" s="103">
        <v>1000000</v>
      </c>
      <c r="N1072" s="133" t="s">
        <v>4262</v>
      </c>
    </row>
    <row r="1073" spans="1:14" hidden="1" x14ac:dyDescent="0.3">
      <c r="A1073" s="131">
        <v>48</v>
      </c>
      <c r="B1073" s="521"/>
      <c r="C1073" s="448" t="s">
        <v>4263</v>
      </c>
      <c r="D1073" s="4" t="s">
        <v>307</v>
      </c>
      <c r="E1073" s="4" t="s">
        <v>323</v>
      </c>
      <c r="F1073" s="4" t="s">
        <v>308</v>
      </c>
      <c r="G1073" s="207" t="s">
        <v>4264</v>
      </c>
      <c r="H1073" s="133" t="s">
        <v>23</v>
      </c>
      <c r="I1073" s="441" t="s">
        <v>4265</v>
      </c>
      <c r="J1073" s="4" t="s">
        <v>3797</v>
      </c>
      <c r="K1073" s="4" t="s">
        <v>4160</v>
      </c>
      <c r="L1073" s="4"/>
      <c r="M1073" s="103">
        <v>750000</v>
      </c>
      <c r="N1073" s="133"/>
    </row>
    <row r="1074" spans="1:14" hidden="1" x14ac:dyDescent="0.3">
      <c r="A1074" s="131">
        <v>48</v>
      </c>
      <c r="B1074" s="521"/>
      <c r="C1074" s="448" t="s">
        <v>4263</v>
      </c>
      <c r="D1074" s="4" t="s">
        <v>307</v>
      </c>
      <c r="E1074" s="4" t="s">
        <v>323</v>
      </c>
      <c r="F1074" s="4" t="s">
        <v>308</v>
      </c>
      <c r="G1074" s="207">
        <v>3006</v>
      </c>
      <c r="H1074" s="133" t="s">
        <v>3903</v>
      </c>
      <c r="I1074" s="441" t="s">
        <v>4266</v>
      </c>
      <c r="J1074" s="4" t="s">
        <v>3655</v>
      </c>
      <c r="K1074" s="4" t="s">
        <v>4267</v>
      </c>
      <c r="L1074" s="4"/>
      <c r="M1074" s="103">
        <v>500000</v>
      </c>
      <c r="N1074" s="133"/>
    </row>
    <row r="1075" spans="1:14" ht="27" hidden="1" x14ac:dyDescent="0.3">
      <c r="A1075" s="131">
        <v>48</v>
      </c>
      <c r="B1075" s="521" t="s">
        <v>3777</v>
      </c>
      <c r="C1075" s="396">
        <v>45978</v>
      </c>
      <c r="D1075" s="4" t="s">
        <v>3791</v>
      </c>
      <c r="E1075" s="4" t="s">
        <v>3815</v>
      </c>
      <c r="F1075" s="34" t="s">
        <v>4268</v>
      </c>
      <c r="G1075" s="207" t="s">
        <v>4223</v>
      </c>
      <c r="H1075" s="17" t="s">
        <v>23</v>
      </c>
      <c r="I1075" s="207" t="s">
        <v>4269</v>
      </c>
      <c r="J1075" s="207"/>
      <c r="K1075" s="207" t="s">
        <v>3820</v>
      </c>
      <c r="L1075" s="133" t="s">
        <v>84</v>
      </c>
      <c r="M1075" s="100">
        <v>300000</v>
      </c>
      <c r="N1075" s="6" t="s">
        <v>4270</v>
      </c>
    </row>
    <row r="1076" spans="1:14" hidden="1" x14ac:dyDescent="0.3">
      <c r="A1076" s="131">
        <v>48</v>
      </c>
      <c r="B1076" s="521"/>
      <c r="C1076" s="396">
        <v>45979</v>
      </c>
      <c r="D1076" s="4" t="s">
        <v>3749</v>
      </c>
      <c r="E1076" s="4" t="s">
        <v>3733</v>
      </c>
      <c r="F1076" s="207" t="s">
        <v>4271</v>
      </c>
      <c r="G1076" s="34" t="s">
        <v>4272</v>
      </c>
      <c r="H1076" s="17" t="s">
        <v>4077</v>
      </c>
      <c r="I1076" s="207" t="s">
        <v>4273</v>
      </c>
      <c r="J1076" s="34"/>
      <c r="K1076" s="34" t="s">
        <v>4274</v>
      </c>
      <c r="L1076" s="133" t="s">
        <v>3813</v>
      </c>
      <c r="M1076" s="100">
        <v>300000</v>
      </c>
      <c r="N1076" s="6" t="s">
        <v>4275</v>
      </c>
    </row>
    <row r="1077" spans="1:14" ht="27" hidden="1" x14ac:dyDescent="0.3">
      <c r="A1077" s="131">
        <v>48</v>
      </c>
      <c r="B1077" s="521"/>
      <c r="C1077" s="396">
        <v>45980</v>
      </c>
      <c r="D1077" s="4" t="s">
        <v>3739</v>
      </c>
      <c r="E1077" s="4" t="s">
        <v>3733</v>
      </c>
      <c r="F1077" s="34" t="s">
        <v>3786</v>
      </c>
      <c r="G1077" s="207" t="s">
        <v>4276</v>
      </c>
      <c r="H1077" s="17" t="s">
        <v>1387</v>
      </c>
      <c r="I1077" s="207" t="s">
        <v>4277</v>
      </c>
      <c r="J1077" s="34" t="s">
        <v>497</v>
      </c>
      <c r="K1077" s="133" t="s">
        <v>688</v>
      </c>
      <c r="L1077" s="133" t="s">
        <v>4035</v>
      </c>
      <c r="M1077" s="100">
        <v>250000</v>
      </c>
      <c r="N1077" s="6" t="s">
        <v>4279</v>
      </c>
    </row>
    <row r="1078" spans="1:14" ht="27" hidden="1" x14ac:dyDescent="0.3">
      <c r="A1078" s="131">
        <v>48</v>
      </c>
      <c r="B1078" s="521"/>
      <c r="C1078" s="396">
        <v>45981</v>
      </c>
      <c r="D1078" s="4" t="s">
        <v>3739</v>
      </c>
      <c r="E1078" s="4" t="s">
        <v>3815</v>
      </c>
      <c r="F1078" s="34" t="s">
        <v>159</v>
      </c>
      <c r="G1078" s="207" t="s">
        <v>4280</v>
      </c>
      <c r="H1078" s="17" t="s">
        <v>3818</v>
      </c>
      <c r="I1078" s="207" t="s">
        <v>4281</v>
      </c>
      <c r="J1078" s="34"/>
      <c r="K1078" s="133" t="s">
        <v>4189</v>
      </c>
      <c r="L1078" s="133" t="s">
        <v>3813</v>
      </c>
      <c r="M1078" s="100">
        <v>250000</v>
      </c>
      <c r="N1078" s="6" t="s">
        <v>4282</v>
      </c>
    </row>
    <row r="1079" spans="1:14" hidden="1" x14ac:dyDescent="0.3">
      <c r="A1079" s="131">
        <v>48</v>
      </c>
      <c r="B1079" s="521"/>
      <c r="C1079" s="396">
        <v>45981</v>
      </c>
      <c r="D1079" s="4" t="s">
        <v>3777</v>
      </c>
      <c r="E1079" s="4" t="s">
        <v>30</v>
      </c>
      <c r="F1079" s="207" t="s">
        <v>4283</v>
      </c>
      <c r="G1079" s="34" t="s">
        <v>4284</v>
      </c>
      <c r="H1079" s="17" t="s">
        <v>3736</v>
      </c>
      <c r="I1079" s="207" t="s">
        <v>4285</v>
      </c>
      <c r="J1079" s="34"/>
      <c r="K1079" s="34" t="s">
        <v>4286</v>
      </c>
      <c r="L1079" s="133" t="s">
        <v>3790</v>
      </c>
      <c r="M1079" s="100">
        <v>300000</v>
      </c>
      <c r="N1079" s="6" t="s">
        <v>4287</v>
      </c>
    </row>
    <row r="1080" spans="1:14" ht="27" hidden="1" x14ac:dyDescent="0.3">
      <c r="A1080" s="131">
        <v>48</v>
      </c>
      <c r="B1080" s="521"/>
      <c r="C1080" s="396">
        <v>45983</v>
      </c>
      <c r="D1080" s="4" t="s">
        <v>3777</v>
      </c>
      <c r="E1080" s="4" t="s">
        <v>3792</v>
      </c>
      <c r="F1080" s="34" t="s">
        <v>4288</v>
      </c>
      <c r="G1080" s="207" t="s">
        <v>4208</v>
      </c>
      <c r="H1080" s="17" t="s">
        <v>4289</v>
      </c>
      <c r="I1080" s="207" t="s">
        <v>4290</v>
      </c>
      <c r="J1080" s="34"/>
      <c r="K1080" s="133" t="s">
        <v>4291</v>
      </c>
      <c r="L1080" s="133" t="s">
        <v>3760</v>
      </c>
      <c r="M1080" s="100">
        <v>750000</v>
      </c>
      <c r="N1080" s="6" t="s">
        <v>4278</v>
      </c>
    </row>
    <row r="1081" spans="1:14" hidden="1" x14ac:dyDescent="0.3">
      <c r="A1081" s="131">
        <v>48</v>
      </c>
      <c r="B1081" s="521"/>
      <c r="C1081" s="396">
        <v>45984</v>
      </c>
      <c r="D1081" s="4" t="s">
        <v>3722</v>
      </c>
      <c r="E1081" s="4" t="s">
        <v>3792</v>
      </c>
      <c r="F1081" s="207" t="s">
        <v>3766</v>
      </c>
      <c r="G1081" s="34">
        <v>3307</v>
      </c>
      <c r="H1081" s="4" t="s">
        <v>813</v>
      </c>
      <c r="I1081" s="207" t="s">
        <v>4292</v>
      </c>
      <c r="J1081" s="34" t="s">
        <v>3845</v>
      </c>
      <c r="K1081" s="133" t="s">
        <v>4293</v>
      </c>
      <c r="L1081" s="133" t="s">
        <v>568</v>
      </c>
      <c r="M1081" s="100">
        <v>500000</v>
      </c>
      <c r="N1081" s="6" t="s">
        <v>4294</v>
      </c>
    </row>
    <row r="1082" spans="1:14" hidden="1" x14ac:dyDescent="0.3">
      <c r="A1082" s="131">
        <v>48</v>
      </c>
      <c r="B1082" s="521"/>
      <c r="C1082" s="396">
        <v>45985</v>
      </c>
      <c r="D1082" s="4" t="s">
        <v>3739</v>
      </c>
      <c r="E1082" s="4" t="s">
        <v>3755</v>
      </c>
      <c r="F1082" s="207" t="s">
        <v>4295</v>
      </c>
      <c r="G1082" s="34" t="s">
        <v>4296</v>
      </c>
      <c r="H1082" s="17" t="s">
        <v>3780</v>
      </c>
      <c r="I1082" s="207" t="s">
        <v>4297</v>
      </c>
      <c r="J1082" s="34" t="s">
        <v>4298</v>
      </c>
      <c r="K1082" s="34" t="s">
        <v>688</v>
      </c>
      <c r="L1082" s="133" t="s">
        <v>84</v>
      </c>
      <c r="M1082" s="100">
        <v>250000</v>
      </c>
      <c r="N1082" s="6" t="s">
        <v>1660</v>
      </c>
    </row>
    <row r="1083" spans="1:14" hidden="1" x14ac:dyDescent="0.3">
      <c r="A1083" s="131">
        <v>48</v>
      </c>
      <c r="B1083" s="521"/>
      <c r="C1083" s="396" t="s">
        <v>4299</v>
      </c>
      <c r="D1083" s="4" t="s">
        <v>3739</v>
      </c>
      <c r="E1083" s="4" t="s">
        <v>3778</v>
      </c>
      <c r="F1083" s="34" t="s">
        <v>3725</v>
      </c>
      <c r="G1083" s="34" t="s">
        <v>4070</v>
      </c>
      <c r="H1083" s="17" t="s">
        <v>4300</v>
      </c>
      <c r="I1083" s="207" t="s">
        <v>4301</v>
      </c>
      <c r="J1083" s="34" t="s">
        <v>4024</v>
      </c>
      <c r="K1083" s="34" t="s">
        <v>3106</v>
      </c>
      <c r="L1083" s="133" t="s">
        <v>3813</v>
      </c>
      <c r="M1083" s="100">
        <v>1500000</v>
      </c>
      <c r="N1083" s="6" t="s">
        <v>3776</v>
      </c>
    </row>
    <row r="1084" spans="1:14" hidden="1" x14ac:dyDescent="0.3">
      <c r="A1084" s="131">
        <v>48</v>
      </c>
      <c r="B1084" s="521"/>
      <c r="C1084" s="396">
        <v>45986</v>
      </c>
      <c r="D1084" s="4" t="s">
        <v>3723</v>
      </c>
      <c r="E1084" s="4" t="s">
        <v>3755</v>
      </c>
      <c r="F1084" s="34" t="s">
        <v>3786</v>
      </c>
      <c r="G1084" s="34" t="s">
        <v>4302</v>
      </c>
      <c r="H1084" s="17" t="s">
        <v>1387</v>
      </c>
      <c r="I1084" s="207" t="s">
        <v>4303</v>
      </c>
      <c r="J1084" s="34" t="s">
        <v>3944</v>
      </c>
      <c r="K1084" s="133" t="s">
        <v>3793</v>
      </c>
      <c r="L1084" s="133" t="s">
        <v>84</v>
      </c>
      <c r="M1084" s="100">
        <v>250000</v>
      </c>
      <c r="N1084" s="6" t="s">
        <v>3847</v>
      </c>
    </row>
    <row r="1085" spans="1:14" ht="27" hidden="1" x14ac:dyDescent="0.3">
      <c r="A1085" s="131">
        <v>48</v>
      </c>
      <c r="B1085" s="521"/>
      <c r="C1085" s="396" t="s">
        <v>4304</v>
      </c>
      <c r="D1085" s="4" t="s">
        <v>21</v>
      </c>
      <c r="E1085" s="4" t="s">
        <v>3740</v>
      </c>
      <c r="F1085" s="34" t="s">
        <v>4268</v>
      </c>
      <c r="G1085" s="207" t="s">
        <v>4305</v>
      </c>
      <c r="H1085" s="17" t="s">
        <v>4306</v>
      </c>
      <c r="I1085" s="207" t="s">
        <v>4307</v>
      </c>
      <c r="J1085" s="34" t="s">
        <v>3845</v>
      </c>
      <c r="K1085" s="133" t="s">
        <v>3878</v>
      </c>
      <c r="L1085" s="133" t="s">
        <v>84</v>
      </c>
      <c r="M1085" s="100">
        <v>500000</v>
      </c>
      <c r="N1085" s="6" t="s">
        <v>3784</v>
      </c>
    </row>
    <row r="1086" spans="1:14" ht="27" hidden="1" x14ac:dyDescent="0.3">
      <c r="A1086" s="131">
        <v>48</v>
      </c>
      <c r="B1086" s="521"/>
      <c r="C1086" s="396">
        <v>45986</v>
      </c>
      <c r="D1086" s="4" t="s">
        <v>3777</v>
      </c>
      <c r="E1086" s="4" t="s">
        <v>4308</v>
      </c>
      <c r="F1086" s="34" t="s">
        <v>3741</v>
      </c>
      <c r="G1086" s="207" t="s">
        <v>4309</v>
      </c>
      <c r="H1086" s="17" t="s">
        <v>4310</v>
      </c>
      <c r="I1086" s="207" t="s">
        <v>4311</v>
      </c>
      <c r="J1086" s="34"/>
      <c r="K1086" s="207" t="s">
        <v>4312</v>
      </c>
      <c r="L1086" s="133" t="s">
        <v>84</v>
      </c>
      <c r="M1086" s="100">
        <v>300000</v>
      </c>
      <c r="N1086" s="6" t="s">
        <v>4313</v>
      </c>
    </row>
    <row r="1087" spans="1:14" ht="27" hidden="1" x14ac:dyDescent="0.3">
      <c r="A1087" s="131">
        <v>48</v>
      </c>
      <c r="B1087" s="521"/>
      <c r="C1087" s="396">
        <v>45986</v>
      </c>
      <c r="D1087" s="4" t="s">
        <v>3931</v>
      </c>
      <c r="E1087" s="4" t="s">
        <v>3830</v>
      </c>
      <c r="F1087" s="34" t="s">
        <v>3895</v>
      </c>
      <c r="G1087" s="207" t="s">
        <v>4314</v>
      </c>
      <c r="H1087" s="17" t="s">
        <v>4315</v>
      </c>
      <c r="I1087" s="207" t="s">
        <v>4316</v>
      </c>
      <c r="J1087" s="34" t="s">
        <v>4318</v>
      </c>
      <c r="K1087" s="133" t="s">
        <v>4012</v>
      </c>
      <c r="L1087" s="133" t="s">
        <v>3676</v>
      </c>
      <c r="M1087" s="100">
        <v>250000</v>
      </c>
      <c r="N1087" s="6" t="s">
        <v>4313</v>
      </c>
    </row>
    <row r="1088" spans="1:14" ht="27" hidden="1" x14ac:dyDescent="0.3">
      <c r="A1088" s="131">
        <v>48</v>
      </c>
      <c r="B1088" s="521"/>
      <c r="C1088" s="396">
        <v>45987</v>
      </c>
      <c r="D1088" s="4" t="s">
        <v>21</v>
      </c>
      <c r="E1088" s="4" t="s">
        <v>4083</v>
      </c>
      <c r="F1088" s="34" t="s">
        <v>3875</v>
      </c>
      <c r="G1088" s="207" t="s">
        <v>4314</v>
      </c>
      <c r="H1088" s="17" t="s">
        <v>4138</v>
      </c>
      <c r="I1088" s="207" t="s">
        <v>4319</v>
      </c>
      <c r="J1088" s="34" t="s">
        <v>121</v>
      </c>
      <c r="K1088" s="207" t="s">
        <v>3789</v>
      </c>
      <c r="L1088" s="133" t="s">
        <v>4035</v>
      </c>
      <c r="M1088" s="100">
        <v>250000</v>
      </c>
      <c r="N1088" s="6" t="s">
        <v>4320</v>
      </c>
    </row>
    <row r="1089" spans="1:14" ht="27" hidden="1" x14ac:dyDescent="0.3">
      <c r="A1089" s="131">
        <v>48</v>
      </c>
      <c r="B1089" s="521"/>
      <c r="C1089" s="396">
        <v>45987</v>
      </c>
      <c r="D1089" s="4" t="s">
        <v>21</v>
      </c>
      <c r="E1089" s="4" t="s">
        <v>3825</v>
      </c>
      <c r="F1089" s="34" t="s">
        <v>3965</v>
      </c>
      <c r="G1089" s="207" t="s">
        <v>4309</v>
      </c>
      <c r="H1089" s="17" t="s">
        <v>4321</v>
      </c>
      <c r="I1089" s="207" t="s">
        <v>4322</v>
      </c>
      <c r="J1089" s="34" t="s">
        <v>3758</v>
      </c>
      <c r="K1089" s="207" t="s">
        <v>3421</v>
      </c>
      <c r="L1089" s="133" t="s">
        <v>3821</v>
      </c>
      <c r="M1089" s="100">
        <v>300000</v>
      </c>
      <c r="N1089" s="6" t="s">
        <v>4323</v>
      </c>
    </row>
    <row r="1090" spans="1:14" hidden="1" x14ac:dyDescent="0.3">
      <c r="A1090" s="131">
        <v>48</v>
      </c>
      <c r="B1090" s="521"/>
      <c r="C1090" s="396">
        <v>45988</v>
      </c>
      <c r="D1090" s="4" t="s">
        <v>3670</v>
      </c>
      <c r="E1090" s="4" t="s">
        <v>3830</v>
      </c>
      <c r="F1090" s="34" t="s">
        <v>3871</v>
      </c>
      <c r="G1090" s="34" t="s">
        <v>1064</v>
      </c>
      <c r="H1090" s="17" t="s">
        <v>3702</v>
      </c>
      <c r="I1090" s="207" t="s">
        <v>4324</v>
      </c>
      <c r="J1090" s="34" t="s">
        <v>3811</v>
      </c>
      <c r="K1090" s="207" t="s">
        <v>4189</v>
      </c>
      <c r="L1090" s="133" t="s">
        <v>3730</v>
      </c>
      <c r="M1090" s="100">
        <v>250000</v>
      </c>
      <c r="N1090" s="6" t="s">
        <v>4313</v>
      </c>
    </row>
    <row r="1091" spans="1:14" hidden="1" x14ac:dyDescent="0.3">
      <c r="A1091" s="131">
        <v>49</v>
      </c>
      <c r="B1091" s="521" t="s">
        <v>176</v>
      </c>
      <c r="C1091" s="448">
        <v>45966</v>
      </c>
      <c r="D1091" s="4" t="s">
        <v>307</v>
      </c>
      <c r="E1091" s="4" t="s">
        <v>323</v>
      </c>
      <c r="F1091" s="4" t="s">
        <v>308</v>
      </c>
      <c r="G1091" s="207" t="s">
        <v>3712</v>
      </c>
      <c r="H1091" s="133" t="s">
        <v>484</v>
      </c>
      <c r="I1091" s="441" t="s">
        <v>4325</v>
      </c>
      <c r="J1091" s="4" t="s">
        <v>3720</v>
      </c>
      <c r="K1091" s="4" t="s">
        <v>3753</v>
      </c>
      <c r="L1091" s="4"/>
      <c r="M1091" s="103">
        <v>250000</v>
      </c>
      <c r="N1091" s="6" t="s">
        <v>4326</v>
      </c>
    </row>
    <row r="1092" spans="1:14" hidden="1" x14ac:dyDescent="0.3">
      <c r="A1092" s="131">
        <v>49</v>
      </c>
      <c r="B1092" s="521"/>
      <c r="C1092" s="448">
        <v>45967</v>
      </c>
      <c r="D1092" s="4" t="s">
        <v>307</v>
      </c>
      <c r="E1092" s="4" t="s">
        <v>323</v>
      </c>
      <c r="F1092" s="4" t="s">
        <v>308</v>
      </c>
      <c r="G1092" s="207" t="s">
        <v>4327</v>
      </c>
      <c r="H1092" s="133" t="s">
        <v>4328</v>
      </c>
      <c r="I1092" s="441" t="s">
        <v>4329</v>
      </c>
      <c r="J1092" s="4" t="s">
        <v>3985</v>
      </c>
      <c r="K1092" s="4" t="s">
        <v>3793</v>
      </c>
      <c r="L1092" s="4"/>
      <c r="M1092" s="103">
        <v>250000</v>
      </c>
      <c r="N1092" s="6" t="s">
        <v>4330</v>
      </c>
    </row>
    <row r="1093" spans="1:14" hidden="1" x14ac:dyDescent="0.3">
      <c r="A1093" s="131">
        <v>49</v>
      </c>
      <c r="B1093" s="521"/>
      <c r="C1093" s="448">
        <v>45968</v>
      </c>
      <c r="D1093" s="4" t="s">
        <v>307</v>
      </c>
      <c r="E1093" s="4" t="s">
        <v>323</v>
      </c>
      <c r="F1093" s="4" t="s">
        <v>308</v>
      </c>
      <c r="G1093" s="207">
        <v>3011</v>
      </c>
      <c r="H1093" s="133" t="s">
        <v>3818</v>
      </c>
      <c r="I1093" s="441" t="s">
        <v>4265</v>
      </c>
      <c r="J1093" s="4" t="s">
        <v>739</v>
      </c>
      <c r="K1093" s="4" t="s">
        <v>3789</v>
      </c>
      <c r="L1093" s="4"/>
      <c r="M1093" s="103">
        <v>250000</v>
      </c>
      <c r="N1093" s="6" t="s">
        <v>4331</v>
      </c>
    </row>
    <row r="1094" spans="1:14" hidden="1" x14ac:dyDescent="0.3">
      <c r="A1094" s="131">
        <v>49</v>
      </c>
      <c r="B1094" s="521"/>
      <c r="C1094" s="448">
        <v>45982</v>
      </c>
      <c r="D1094" s="4" t="s">
        <v>307</v>
      </c>
      <c r="E1094" s="4" t="s">
        <v>323</v>
      </c>
      <c r="F1094" s="4" t="s">
        <v>4332</v>
      </c>
      <c r="G1094" s="207" t="s">
        <v>4333</v>
      </c>
      <c r="H1094" s="133" t="s">
        <v>3868</v>
      </c>
      <c r="I1094" s="441" t="s">
        <v>4334</v>
      </c>
      <c r="J1094" s="4" t="s">
        <v>3720</v>
      </c>
      <c r="K1094" s="4" t="s">
        <v>688</v>
      </c>
      <c r="L1094" s="4"/>
      <c r="M1094" s="103">
        <v>250000</v>
      </c>
      <c r="N1094" s="6" t="s">
        <v>4262</v>
      </c>
    </row>
    <row r="1095" spans="1:14" hidden="1" x14ac:dyDescent="0.3">
      <c r="A1095" s="131">
        <v>49</v>
      </c>
      <c r="B1095" s="521"/>
      <c r="C1095" s="448" t="s">
        <v>4335</v>
      </c>
      <c r="D1095" s="4" t="s">
        <v>307</v>
      </c>
      <c r="E1095" s="4" t="s">
        <v>323</v>
      </c>
      <c r="F1095" s="4" t="s">
        <v>308</v>
      </c>
      <c r="G1095" s="207">
        <v>3011</v>
      </c>
      <c r="H1095" s="133" t="s">
        <v>3780</v>
      </c>
      <c r="I1095" s="441" t="s">
        <v>1883</v>
      </c>
      <c r="J1095" s="4" t="s">
        <v>3797</v>
      </c>
      <c r="K1095" s="4" t="s">
        <v>4336</v>
      </c>
      <c r="L1095" s="4"/>
      <c r="M1095" s="103">
        <v>1000000</v>
      </c>
      <c r="N1095" s="133"/>
    </row>
    <row r="1096" spans="1:14" hidden="1" x14ac:dyDescent="0.3">
      <c r="A1096" s="131">
        <v>49</v>
      </c>
      <c r="B1096" s="521"/>
      <c r="C1096" s="448">
        <v>45992</v>
      </c>
      <c r="D1096" s="4" t="s">
        <v>307</v>
      </c>
      <c r="E1096" s="4" t="s">
        <v>323</v>
      </c>
      <c r="F1096" s="4" t="s">
        <v>308</v>
      </c>
      <c r="G1096" s="207">
        <v>3006</v>
      </c>
      <c r="H1096" s="133" t="s">
        <v>4077</v>
      </c>
      <c r="I1096" s="441" t="s">
        <v>4201</v>
      </c>
      <c r="J1096" s="4" t="s">
        <v>739</v>
      </c>
      <c r="K1096" s="4" t="s">
        <v>4337</v>
      </c>
      <c r="L1096" s="4"/>
      <c r="M1096" s="103">
        <v>250000</v>
      </c>
      <c r="N1096" s="133"/>
    </row>
    <row r="1097" spans="1:14" hidden="1" x14ac:dyDescent="0.3">
      <c r="A1097" s="131">
        <v>49</v>
      </c>
      <c r="B1097" s="521"/>
      <c r="C1097" s="448">
        <v>45992</v>
      </c>
      <c r="D1097" s="4" t="s">
        <v>307</v>
      </c>
      <c r="E1097" s="4" t="s">
        <v>323</v>
      </c>
      <c r="F1097" s="4" t="s">
        <v>308</v>
      </c>
      <c r="G1097" s="207" t="s">
        <v>4264</v>
      </c>
      <c r="H1097" s="133" t="s">
        <v>23</v>
      </c>
      <c r="I1097" s="441" t="s">
        <v>4008</v>
      </c>
      <c r="J1097" s="4" t="s">
        <v>739</v>
      </c>
      <c r="K1097" s="4" t="s">
        <v>4114</v>
      </c>
      <c r="L1097" s="4"/>
      <c r="M1097" s="103">
        <v>250000</v>
      </c>
      <c r="N1097" s="133"/>
    </row>
    <row r="1098" spans="1:14" hidden="1" x14ac:dyDescent="0.3">
      <c r="A1098" s="131">
        <v>49</v>
      </c>
      <c r="B1098" s="521"/>
      <c r="C1098" s="448" t="s">
        <v>4338</v>
      </c>
      <c r="D1098" s="4" t="s">
        <v>307</v>
      </c>
      <c r="E1098" s="4" t="s">
        <v>323</v>
      </c>
      <c r="F1098" s="4" t="s">
        <v>308</v>
      </c>
      <c r="G1098" s="207">
        <v>3006</v>
      </c>
      <c r="H1098" s="133" t="s">
        <v>3653</v>
      </c>
      <c r="I1098" s="441" t="s">
        <v>4201</v>
      </c>
      <c r="J1098" s="4" t="s">
        <v>3797</v>
      </c>
      <c r="K1098" s="4" t="s">
        <v>3073</v>
      </c>
      <c r="L1098" s="4"/>
      <c r="M1098" s="103">
        <v>750000</v>
      </c>
      <c r="N1098" s="133"/>
    </row>
    <row r="1099" spans="1:14" ht="17.25" hidden="1" customHeight="1" x14ac:dyDescent="0.3">
      <c r="A1099" s="131">
        <v>49</v>
      </c>
      <c r="B1099" s="521"/>
      <c r="C1099" s="448" t="s">
        <v>4339</v>
      </c>
      <c r="D1099" s="4" t="s">
        <v>307</v>
      </c>
      <c r="E1099" s="4" t="s">
        <v>323</v>
      </c>
      <c r="F1099" s="4" t="s">
        <v>308</v>
      </c>
      <c r="G1099" s="207" t="s">
        <v>4195</v>
      </c>
      <c r="H1099" s="133" t="s">
        <v>3762</v>
      </c>
      <c r="I1099" s="441" t="s">
        <v>4265</v>
      </c>
      <c r="J1099" s="4" t="s">
        <v>739</v>
      </c>
      <c r="K1099" s="4" t="s">
        <v>4065</v>
      </c>
      <c r="L1099" s="4"/>
      <c r="M1099" s="103">
        <v>750000</v>
      </c>
      <c r="N1099" s="133"/>
    </row>
    <row r="1100" spans="1:14" ht="27" hidden="1" x14ac:dyDescent="0.3">
      <c r="A1100" s="131">
        <v>49</v>
      </c>
      <c r="B1100" s="521" t="s">
        <v>3791</v>
      </c>
      <c r="C1100" s="396">
        <v>45987</v>
      </c>
      <c r="D1100" s="4" t="s">
        <v>3739</v>
      </c>
      <c r="E1100" s="4" t="s">
        <v>30</v>
      </c>
      <c r="F1100" s="34" t="s">
        <v>159</v>
      </c>
      <c r="G1100" s="207" t="s">
        <v>4208</v>
      </c>
      <c r="H1100" s="17" t="s">
        <v>3780</v>
      </c>
      <c r="I1100" s="207" t="s">
        <v>4340</v>
      </c>
      <c r="J1100" s="34" t="s">
        <v>3728</v>
      </c>
      <c r="K1100" s="133" t="s">
        <v>688</v>
      </c>
      <c r="L1100" s="133" t="s">
        <v>4035</v>
      </c>
      <c r="M1100" s="100">
        <v>250000</v>
      </c>
      <c r="N1100" s="6" t="s">
        <v>4341</v>
      </c>
    </row>
    <row r="1101" spans="1:14" hidden="1" x14ac:dyDescent="0.3">
      <c r="A1101" s="131">
        <v>49</v>
      </c>
      <c r="B1101" s="521"/>
      <c r="C1101" s="396">
        <v>45990</v>
      </c>
      <c r="D1101" s="4" t="s">
        <v>3931</v>
      </c>
      <c r="E1101" s="4" t="s">
        <v>3755</v>
      </c>
      <c r="F1101" s="34" t="s">
        <v>3875</v>
      </c>
      <c r="G1101" s="34">
        <v>3307</v>
      </c>
      <c r="H1101" s="17" t="s">
        <v>813</v>
      </c>
      <c r="I1101" s="207" t="s">
        <v>4342</v>
      </c>
      <c r="J1101" s="207" t="s">
        <v>4172</v>
      </c>
      <c r="K1101" s="133" t="s">
        <v>3789</v>
      </c>
      <c r="L1101" s="133" t="s">
        <v>4019</v>
      </c>
      <c r="M1101" s="100">
        <v>250000</v>
      </c>
      <c r="N1101" s="6" t="s">
        <v>4343</v>
      </c>
    </row>
    <row r="1102" spans="1:14" hidden="1" x14ac:dyDescent="0.3">
      <c r="A1102" s="131">
        <v>49</v>
      </c>
      <c r="B1102" s="521"/>
      <c r="C1102" s="396">
        <v>45992</v>
      </c>
      <c r="D1102" s="4" t="s">
        <v>3739</v>
      </c>
      <c r="E1102" s="4" t="s">
        <v>3755</v>
      </c>
      <c r="F1102" s="34" t="s">
        <v>4344</v>
      </c>
      <c r="G1102" s="34" t="s">
        <v>2473</v>
      </c>
      <c r="H1102" s="17" t="s">
        <v>4345</v>
      </c>
      <c r="I1102" s="207" t="s">
        <v>4346</v>
      </c>
      <c r="J1102" s="34"/>
      <c r="K1102" s="207" t="s">
        <v>4347</v>
      </c>
      <c r="L1102" s="133" t="s">
        <v>3790</v>
      </c>
      <c r="M1102" s="64">
        <v>300000</v>
      </c>
      <c r="N1102" s="6" t="s">
        <v>3794</v>
      </c>
    </row>
    <row r="1103" spans="1:14" hidden="1" x14ac:dyDescent="0.3">
      <c r="A1103" s="131">
        <v>49</v>
      </c>
      <c r="B1103" s="521"/>
      <c r="C1103" s="396">
        <v>45992</v>
      </c>
      <c r="D1103" s="4" t="s">
        <v>21</v>
      </c>
      <c r="E1103" s="4" t="s">
        <v>4136</v>
      </c>
      <c r="F1103" s="34" t="s">
        <v>4348</v>
      </c>
      <c r="G1103" s="34" t="s">
        <v>4349</v>
      </c>
      <c r="H1103" s="17" t="s">
        <v>4350</v>
      </c>
      <c r="I1103" s="207" t="s">
        <v>4351</v>
      </c>
      <c r="J1103" s="34" t="s">
        <v>3728</v>
      </c>
      <c r="K1103" s="207" t="s">
        <v>4189</v>
      </c>
      <c r="L1103" s="133" t="s">
        <v>3836</v>
      </c>
      <c r="M1103" s="100">
        <v>250000</v>
      </c>
      <c r="N1103" s="6" t="s">
        <v>4352</v>
      </c>
    </row>
    <row r="1104" spans="1:14" hidden="1" x14ac:dyDescent="0.3">
      <c r="A1104" s="131">
        <v>49</v>
      </c>
      <c r="B1104" s="521"/>
      <c r="C1104" s="396">
        <v>45992</v>
      </c>
      <c r="D1104" s="4" t="s">
        <v>21</v>
      </c>
      <c r="E1104" s="4" t="s">
        <v>3740</v>
      </c>
      <c r="F1104" s="34" t="s">
        <v>2461</v>
      </c>
      <c r="G1104" s="34">
        <v>3307</v>
      </c>
      <c r="H1104" s="17" t="s">
        <v>4353</v>
      </c>
      <c r="I1104" s="207" t="s">
        <v>4354</v>
      </c>
      <c r="J1104" s="207" t="s">
        <v>1958</v>
      </c>
      <c r="K1104" s="133" t="s">
        <v>3856</v>
      </c>
      <c r="L1104" s="133" t="s">
        <v>568</v>
      </c>
      <c r="M1104" s="100">
        <v>250000</v>
      </c>
      <c r="N1104" s="6" t="s">
        <v>3935</v>
      </c>
    </row>
    <row r="1105" spans="1:14" ht="27" hidden="1" x14ac:dyDescent="0.3">
      <c r="A1105" s="131">
        <v>49</v>
      </c>
      <c r="B1105" s="521"/>
      <c r="C1105" s="396">
        <v>45993</v>
      </c>
      <c r="D1105" s="4" t="s">
        <v>3749</v>
      </c>
      <c r="E1105" s="4" t="s">
        <v>3825</v>
      </c>
      <c r="F1105" s="34" t="s">
        <v>3875</v>
      </c>
      <c r="G1105" s="207" t="s">
        <v>4314</v>
      </c>
      <c r="H1105" s="17" t="s">
        <v>4355</v>
      </c>
      <c r="I1105" s="207" t="s">
        <v>4356</v>
      </c>
      <c r="J1105" s="34" t="s">
        <v>121</v>
      </c>
      <c r="K1105" s="34" t="s">
        <v>3945</v>
      </c>
      <c r="L1105" s="133" t="s">
        <v>3821</v>
      </c>
      <c r="M1105" s="100">
        <v>250000</v>
      </c>
      <c r="N1105" s="6" t="s">
        <v>4357</v>
      </c>
    </row>
    <row r="1106" spans="1:14" ht="27" hidden="1" x14ac:dyDescent="0.3">
      <c r="A1106" s="131">
        <v>49</v>
      </c>
      <c r="B1106" s="521"/>
      <c r="C1106" s="396">
        <v>45993</v>
      </c>
      <c r="D1106" s="4" t="s">
        <v>3803</v>
      </c>
      <c r="E1106" s="4" t="s">
        <v>4358</v>
      </c>
      <c r="F1106" s="34" t="s">
        <v>2461</v>
      </c>
      <c r="G1106" s="207" t="s">
        <v>4359</v>
      </c>
      <c r="H1106" s="17" t="s">
        <v>4360</v>
      </c>
      <c r="I1106" s="207" t="s">
        <v>4361</v>
      </c>
      <c r="J1106" s="34"/>
      <c r="K1106" s="34" t="s">
        <v>4169</v>
      </c>
      <c r="L1106" s="133" t="s">
        <v>3813</v>
      </c>
      <c r="M1106" s="100">
        <v>300000</v>
      </c>
      <c r="N1106" s="6" t="s">
        <v>4352</v>
      </c>
    </row>
    <row r="1107" spans="1:14" ht="27" hidden="1" x14ac:dyDescent="0.3">
      <c r="A1107" s="131">
        <v>49</v>
      </c>
      <c r="B1107" s="521"/>
      <c r="C1107" s="396">
        <v>45993</v>
      </c>
      <c r="D1107" s="4" t="s">
        <v>3749</v>
      </c>
      <c r="E1107" s="4" t="s">
        <v>17</v>
      </c>
      <c r="F1107" s="34" t="s">
        <v>3741</v>
      </c>
      <c r="G1107" s="207" t="s">
        <v>4362</v>
      </c>
      <c r="H1107" s="17" t="s">
        <v>4363</v>
      </c>
      <c r="I1107" s="207" t="s">
        <v>4364</v>
      </c>
      <c r="J1107" s="34" t="s">
        <v>121</v>
      </c>
      <c r="K1107" s="34" t="s">
        <v>4365</v>
      </c>
      <c r="L1107" s="133" t="s">
        <v>3821</v>
      </c>
      <c r="M1107" s="100">
        <v>300000</v>
      </c>
      <c r="N1107" s="6" t="s">
        <v>4366</v>
      </c>
    </row>
    <row r="1108" spans="1:14" ht="27" hidden="1" x14ac:dyDescent="0.3">
      <c r="A1108" s="131">
        <v>49</v>
      </c>
      <c r="B1108" s="521"/>
      <c r="C1108" s="396">
        <v>45993</v>
      </c>
      <c r="D1108" s="4" t="s">
        <v>3803</v>
      </c>
      <c r="E1108" s="4" t="s">
        <v>17</v>
      </c>
      <c r="F1108" s="34" t="s">
        <v>3875</v>
      </c>
      <c r="G1108" s="207" t="s">
        <v>4179</v>
      </c>
      <c r="H1108" s="17" t="s">
        <v>4367</v>
      </c>
      <c r="I1108" s="207" t="s">
        <v>4368</v>
      </c>
      <c r="J1108" s="34" t="s">
        <v>4317</v>
      </c>
      <c r="K1108" s="207" t="s">
        <v>4267</v>
      </c>
      <c r="L1108" s="133"/>
      <c r="M1108" s="100">
        <v>500000</v>
      </c>
      <c r="N1108" s="6" t="s">
        <v>4323</v>
      </c>
    </row>
    <row r="1109" spans="1:14" hidden="1" x14ac:dyDescent="0.3">
      <c r="A1109" s="131">
        <v>49</v>
      </c>
      <c r="B1109" s="521"/>
      <c r="C1109" s="396" t="s">
        <v>4369</v>
      </c>
      <c r="D1109" s="4" t="s">
        <v>3722</v>
      </c>
      <c r="E1109" s="4" t="s">
        <v>3671</v>
      </c>
      <c r="F1109" s="34" t="s">
        <v>3786</v>
      </c>
      <c r="G1109" s="34" t="s">
        <v>4370</v>
      </c>
      <c r="H1109" s="17" t="s">
        <v>4371</v>
      </c>
      <c r="I1109" s="207" t="s">
        <v>4372</v>
      </c>
      <c r="J1109" s="34" t="s">
        <v>4029</v>
      </c>
      <c r="K1109" s="34" t="s">
        <v>4373</v>
      </c>
      <c r="L1109" s="133" t="s">
        <v>3760</v>
      </c>
      <c r="M1109" s="100">
        <v>600000</v>
      </c>
      <c r="N1109" s="6" t="s">
        <v>4031</v>
      </c>
    </row>
    <row r="1110" spans="1:14" hidden="1" x14ac:dyDescent="0.3">
      <c r="A1110" s="131">
        <v>49</v>
      </c>
      <c r="B1110" s="521"/>
      <c r="C1110" s="396">
        <v>45994</v>
      </c>
      <c r="D1110" s="4" t="s">
        <v>21</v>
      </c>
      <c r="E1110" s="4" t="s">
        <v>3733</v>
      </c>
      <c r="F1110" s="34" t="s">
        <v>2140</v>
      </c>
      <c r="G1110" s="34" t="s">
        <v>4374</v>
      </c>
      <c r="H1110" s="17" t="s">
        <v>4300</v>
      </c>
      <c r="I1110" s="207" t="s">
        <v>4375</v>
      </c>
      <c r="J1110" s="34" t="s">
        <v>4097</v>
      </c>
      <c r="K1110" s="34" t="s">
        <v>3878</v>
      </c>
      <c r="L1110" s="133" t="s">
        <v>3813</v>
      </c>
      <c r="M1110" s="100">
        <v>500000</v>
      </c>
      <c r="N1110" s="6" t="s">
        <v>3847</v>
      </c>
    </row>
    <row r="1111" spans="1:14" hidden="1" x14ac:dyDescent="0.3">
      <c r="A1111" s="131">
        <v>49</v>
      </c>
      <c r="B1111" s="521"/>
      <c r="C1111" s="396" t="s">
        <v>4376</v>
      </c>
      <c r="D1111" s="4" t="s">
        <v>3777</v>
      </c>
      <c r="E1111" s="4" t="s">
        <v>3825</v>
      </c>
      <c r="F1111" s="34" t="s">
        <v>4377</v>
      </c>
      <c r="G1111" s="34" t="s">
        <v>4378</v>
      </c>
      <c r="H1111" s="17" t="s">
        <v>4350</v>
      </c>
      <c r="I1111" s="207" t="s">
        <v>4379</v>
      </c>
      <c r="J1111" s="34" t="s">
        <v>121</v>
      </c>
      <c r="K1111" s="207" t="s">
        <v>3905</v>
      </c>
      <c r="L1111" s="133" t="s">
        <v>3730</v>
      </c>
      <c r="M1111" s="100">
        <v>500000</v>
      </c>
      <c r="N1111" s="6" t="s">
        <v>4380</v>
      </c>
    </row>
    <row r="1112" spans="1:14" hidden="1" x14ac:dyDescent="0.3">
      <c r="A1112" s="131">
        <v>49</v>
      </c>
      <c r="B1112" s="521"/>
      <c r="C1112" s="396" t="s">
        <v>4381</v>
      </c>
      <c r="D1112" s="4" t="s">
        <v>3739</v>
      </c>
      <c r="E1112" s="4" t="s">
        <v>4308</v>
      </c>
      <c r="F1112" s="34" t="s">
        <v>1796</v>
      </c>
      <c r="G1112" s="34" t="s">
        <v>4382</v>
      </c>
      <c r="H1112" s="17" t="s">
        <v>4383</v>
      </c>
      <c r="I1112" s="207" t="s">
        <v>4384</v>
      </c>
      <c r="J1112" s="34" t="s">
        <v>3728</v>
      </c>
      <c r="K1112" s="207" t="s">
        <v>4385</v>
      </c>
      <c r="L1112" s="133" t="s">
        <v>3775</v>
      </c>
      <c r="M1112" s="100">
        <v>600000</v>
      </c>
      <c r="N1112" s="6" t="s">
        <v>4352</v>
      </c>
    </row>
    <row r="1113" spans="1:14" hidden="1" x14ac:dyDescent="0.3">
      <c r="A1113" s="131">
        <v>49</v>
      </c>
      <c r="B1113" s="521"/>
      <c r="C1113" s="396">
        <v>45995</v>
      </c>
      <c r="D1113" s="4" t="s">
        <v>21</v>
      </c>
      <c r="E1113" s="4" t="s">
        <v>3815</v>
      </c>
      <c r="F1113" s="34" t="s">
        <v>4344</v>
      </c>
      <c r="G1113" s="207" t="s">
        <v>4386</v>
      </c>
      <c r="H1113" s="17" t="s">
        <v>4387</v>
      </c>
      <c r="I1113" s="479" t="s">
        <v>4388</v>
      </c>
      <c r="J1113" s="207" t="s">
        <v>3845</v>
      </c>
      <c r="K1113" s="207" t="s">
        <v>3881</v>
      </c>
      <c r="L1113" s="133" t="s">
        <v>3760</v>
      </c>
      <c r="M1113" s="100">
        <v>250000</v>
      </c>
      <c r="N1113" s="6" t="s">
        <v>1660</v>
      </c>
    </row>
    <row r="1114" spans="1:14" hidden="1" x14ac:dyDescent="0.3">
      <c r="A1114" s="131">
        <v>49</v>
      </c>
      <c r="B1114" s="521"/>
      <c r="C1114" s="396">
        <v>45996</v>
      </c>
      <c r="D1114" s="4" t="s">
        <v>3931</v>
      </c>
      <c r="E1114" s="4" t="s">
        <v>3792</v>
      </c>
      <c r="F1114" s="34" t="s">
        <v>2140</v>
      </c>
      <c r="G1114" s="34" t="s">
        <v>4389</v>
      </c>
      <c r="H1114" s="17" t="s">
        <v>3929</v>
      </c>
      <c r="I1114" s="207" t="s">
        <v>4390</v>
      </c>
      <c r="J1114" s="34"/>
      <c r="K1114" s="34" t="s">
        <v>688</v>
      </c>
      <c r="L1114" s="133" t="s">
        <v>4035</v>
      </c>
      <c r="M1114" s="100">
        <v>250000</v>
      </c>
      <c r="N1114" s="6" t="s">
        <v>3701</v>
      </c>
    </row>
    <row r="1115" spans="1:14" hidden="1" x14ac:dyDescent="0.3">
      <c r="A1115" s="131">
        <v>50</v>
      </c>
      <c r="B1115" s="521" t="s">
        <v>3649</v>
      </c>
      <c r="C1115" s="448">
        <v>45995</v>
      </c>
      <c r="D1115" s="4" t="s">
        <v>307</v>
      </c>
      <c r="E1115" s="4" t="s">
        <v>323</v>
      </c>
      <c r="F1115" s="4" t="s">
        <v>308</v>
      </c>
      <c r="G1115" s="207">
        <v>3006</v>
      </c>
      <c r="H1115" s="133" t="s">
        <v>3818</v>
      </c>
      <c r="I1115" s="441" t="s">
        <v>3912</v>
      </c>
      <c r="J1115" s="4" t="s">
        <v>3655</v>
      </c>
      <c r="K1115" s="4" t="s">
        <v>688</v>
      </c>
      <c r="L1115" s="4"/>
      <c r="M1115" s="103">
        <v>250000</v>
      </c>
      <c r="N1115" s="6" t="s">
        <v>4391</v>
      </c>
    </row>
    <row r="1116" spans="1:14" hidden="1" x14ac:dyDescent="0.3">
      <c r="A1116" s="131">
        <v>50</v>
      </c>
      <c r="B1116" s="521"/>
      <c r="C1116" s="448">
        <v>45996</v>
      </c>
      <c r="D1116" s="4" t="s">
        <v>307</v>
      </c>
      <c r="E1116" s="4" t="s">
        <v>323</v>
      </c>
      <c r="F1116" s="4" t="s">
        <v>308</v>
      </c>
      <c r="G1116" s="207" t="s">
        <v>3491</v>
      </c>
      <c r="H1116" s="133" t="s">
        <v>3726</v>
      </c>
      <c r="I1116" s="441" t="s">
        <v>4265</v>
      </c>
      <c r="J1116" s="4" t="s">
        <v>3801</v>
      </c>
      <c r="K1116" s="4" t="s">
        <v>3945</v>
      </c>
      <c r="L1116" s="4"/>
      <c r="M1116" s="480">
        <v>250000</v>
      </c>
      <c r="N1116" s="481" t="s">
        <v>4392</v>
      </c>
    </row>
    <row r="1117" spans="1:14" hidden="1" x14ac:dyDescent="0.3">
      <c r="A1117" s="131">
        <v>50</v>
      </c>
      <c r="B1117" s="521"/>
      <c r="C1117" s="482">
        <v>45997</v>
      </c>
      <c r="D1117" s="260" t="s">
        <v>307</v>
      </c>
      <c r="E1117" s="260" t="s">
        <v>323</v>
      </c>
      <c r="F1117" s="260" t="s">
        <v>308</v>
      </c>
      <c r="G1117" s="157" t="s">
        <v>3626</v>
      </c>
      <c r="H1117" s="156" t="s">
        <v>664</v>
      </c>
      <c r="I1117" s="441" t="s">
        <v>4393</v>
      </c>
      <c r="J1117" s="4" t="s">
        <v>666</v>
      </c>
      <c r="K1117" s="4" t="s">
        <v>4395</v>
      </c>
      <c r="L1117" s="4"/>
      <c r="M1117" s="483">
        <v>500000</v>
      </c>
      <c r="N1117" s="4" t="s">
        <v>4392</v>
      </c>
    </row>
    <row r="1118" spans="1:14" hidden="1" x14ac:dyDescent="0.3">
      <c r="A1118" s="131">
        <v>50</v>
      </c>
      <c r="B1118" s="521"/>
      <c r="C1118" s="448" t="s">
        <v>4396</v>
      </c>
      <c r="D1118" s="4" t="s">
        <v>307</v>
      </c>
      <c r="E1118" s="4" t="s">
        <v>323</v>
      </c>
      <c r="F1118" s="4" t="s">
        <v>308</v>
      </c>
      <c r="G1118" s="207" t="s">
        <v>4195</v>
      </c>
      <c r="H1118" s="133" t="s">
        <v>4383</v>
      </c>
      <c r="I1118" s="441" t="s">
        <v>4008</v>
      </c>
      <c r="J1118" s="4" t="s">
        <v>739</v>
      </c>
      <c r="K1118" s="4" t="s">
        <v>4065</v>
      </c>
      <c r="L1118" s="4"/>
      <c r="M1118" s="480">
        <v>750000</v>
      </c>
      <c r="N1118" s="481"/>
    </row>
    <row r="1119" spans="1:14" hidden="1" x14ac:dyDescent="0.3">
      <c r="A1119" s="131">
        <v>50</v>
      </c>
      <c r="B1119" s="521"/>
      <c r="C1119" s="448" t="s">
        <v>4397</v>
      </c>
      <c r="D1119" s="4" t="s">
        <v>307</v>
      </c>
      <c r="E1119" s="4" t="s">
        <v>323</v>
      </c>
      <c r="F1119" s="4" t="s">
        <v>308</v>
      </c>
      <c r="G1119" s="207" t="s">
        <v>4398</v>
      </c>
      <c r="H1119" s="133" t="s">
        <v>3818</v>
      </c>
      <c r="I1119" s="441" t="s">
        <v>4399</v>
      </c>
      <c r="J1119" s="4" t="s">
        <v>3863</v>
      </c>
      <c r="K1119" s="4" t="s">
        <v>4160</v>
      </c>
      <c r="L1119" s="4"/>
      <c r="M1119" s="103">
        <v>750000</v>
      </c>
      <c r="N1119" s="133"/>
    </row>
    <row r="1120" spans="1:14" ht="27" hidden="1" x14ac:dyDescent="0.3">
      <c r="A1120" s="131">
        <v>50</v>
      </c>
      <c r="B1120" s="521" t="s">
        <v>21</v>
      </c>
      <c r="C1120" s="396">
        <v>45997</v>
      </c>
      <c r="D1120" s="4" t="s">
        <v>3722</v>
      </c>
      <c r="E1120" s="4" t="s">
        <v>3755</v>
      </c>
      <c r="F1120" s="34" t="s">
        <v>4232</v>
      </c>
      <c r="G1120" s="207" t="s">
        <v>4400</v>
      </c>
      <c r="H1120" s="17" t="s">
        <v>4217</v>
      </c>
      <c r="I1120" s="207" t="s">
        <v>4401</v>
      </c>
      <c r="J1120" s="34" t="s">
        <v>3855</v>
      </c>
      <c r="K1120" s="34" t="s">
        <v>4082</v>
      </c>
      <c r="L1120" s="133" t="s">
        <v>3760</v>
      </c>
      <c r="M1120" s="100">
        <v>600000</v>
      </c>
      <c r="N1120" s="6" t="s">
        <v>4402</v>
      </c>
    </row>
    <row r="1121" spans="1:14" ht="27" hidden="1" x14ac:dyDescent="0.3">
      <c r="A1121" s="131">
        <v>50</v>
      </c>
      <c r="B1121" s="521"/>
      <c r="C1121" s="396">
        <v>45997</v>
      </c>
      <c r="D1121" s="4" t="s">
        <v>3749</v>
      </c>
      <c r="E1121" s="4" t="s">
        <v>17</v>
      </c>
      <c r="F1121" s="34" t="s">
        <v>3928</v>
      </c>
      <c r="G1121" s="207" t="s">
        <v>4137</v>
      </c>
      <c r="H1121" s="17" t="s">
        <v>4367</v>
      </c>
      <c r="I1121" s="207" t="s">
        <v>4404</v>
      </c>
      <c r="J1121" s="34" t="s">
        <v>4405</v>
      </c>
      <c r="K1121" s="207" t="s">
        <v>4337</v>
      </c>
      <c r="L1121" s="133" t="s">
        <v>3813</v>
      </c>
      <c r="M1121" s="100">
        <v>250000</v>
      </c>
      <c r="N1121" s="6" t="s">
        <v>4406</v>
      </c>
    </row>
    <row r="1122" spans="1:14" ht="27" hidden="1" x14ac:dyDescent="0.3">
      <c r="A1122" s="131">
        <v>50</v>
      </c>
      <c r="B1122" s="521"/>
      <c r="C1122" s="396">
        <v>45997</v>
      </c>
      <c r="D1122" s="4" t="s">
        <v>21</v>
      </c>
      <c r="E1122" s="4" t="s">
        <v>4021</v>
      </c>
      <c r="F1122" s="34" t="s">
        <v>2461</v>
      </c>
      <c r="G1122" s="207" t="s">
        <v>4359</v>
      </c>
      <c r="H1122" s="17" t="s">
        <v>37</v>
      </c>
      <c r="I1122" s="207" t="s">
        <v>4403</v>
      </c>
      <c r="J1122" s="34" t="s">
        <v>4407</v>
      </c>
      <c r="K1122" s="207" t="s">
        <v>4408</v>
      </c>
      <c r="L1122" s="133" t="s">
        <v>3821</v>
      </c>
      <c r="M1122" s="100">
        <v>300000</v>
      </c>
      <c r="N1122" s="6" t="s">
        <v>4409</v>
      </c>
    </row>
    <row r="1123" spans="1:14" hidden="1" x14ac:dyDescent="0.3">
      <c r="A1123" s="131">
        <v>50</v>
      </c>
      <c r="B1123" s="521"/>
      <c r="C1123" s="396">
        <v>45999</v>
      </c>
      <c r="D1123" s="4" t="s">
        <v>3739</v>
      </c>
      <c r="E1123" s="4" t="s">
        <v>3778</v>
      </c>
      <c r="F1123" s="34" t="s">
        <v>383</v>
      </c>
      <c r="G1123" s="34" t="s">
        <v>4410</v>
      </c>
      <c r="H1123" s="17" t="s">
        <v>4411</v>
      </c>
      <c r="I1123" s="207" t="s">
        <v>4412</v>
      </c>
      <c r="J1123" s="34"/>
      <c r="K1123" s="207" t="s">
        <v>3421</v>
      </c>
      <c r="L1123" s="133" t="s">
        <v>3821</v>
      </c>
      <c r="M1123" s="100">
        <v>300000</v>
      </c>
      <c r="N1123" s="6" t="s">
        <v>3329</v>
      </c>
    </row>
    <row r="1124" spans="1:14" hidden="1" x14ac:dyDescent="0.3">
      <c r="A1124" s="131">
        <v>50</v>
      </c>
      <c r="B1124" s="521"/>
      <c r="C1124" s="396">
        <v>45999</v>
      </c>
      <c r="D1124" s="4" t="s">
        <v>21</v>
      </c>
      <c r="E1124" s="4" t="s">
        <v>3815</v>
      </c>
      <c r="F1124" s="34" t="s">
        <v>3993</v>
      </c>
      <c r="G1124" s="34" t="s">
        <v>4413</v>
      </c>
      <c r="H1124" s="17" t="s">
        <v>4062</v>
      </c>
      <c r="I1124" s="207" t="s">
        <v>4414</v>
      </c>
      <c r="J1124" s="34"/>
      <c r="K1124" s="207" t="s">
        <v>796</v>
      </c>
      <c r="L1124" s="133" t="s">
        <v>4035</v>
      </c>
      <c r="M1124" s="100">
        <v>500000</v>
      </c>
      <c r="N1124" s="6" t="s">
        <v>4415</v>
      </c>
    </row>
    <row r="1125" spans="1:14" ht="27" hidden="1" x14ac:dyDescent="0.3">
      <c r="A1125" s="131">
        <v>50</v>
      </c>
      <c r="B1125" s="521"/>
      <c r="C1125" s="396" t="s">
        <v>4416</v>
      </c>
      <c r="D1125" s="4" t="s">
        <v>3739</v>
      </c>
      <c r="E1125" s="4" t="s">
        <v>4083</v>
      </c>
      <c r="F1125" s="34" t="s">
        <v>3987</v>
      </c>
      <c r="G1125" s="207" t="s">
        <v>4309</v>
      </c>
      <c r="H1125" s="17" t="s">
        <v>4417</v>
      </c>
      <c r="I1125" s="207" t="s">
        <v>4418</v>
      </c>
      <c r="J1125" s="34" t="s">
        <v>739</v>
      </c>
      <c r="K1125" s="207" t="s">
        <v>3953</v>
      </c>
      <c r="L1125" s="133" t="s">
        <v>84</v>
      </c>
      <c r="M1125" s="100">
        <v>1000000</v>
      </c>
      <c r="N1125" s="6" t="s">
        <v>4380</v>
      </c>
    </row>
    <row r="1126" spans="1:14" ht="22.5" hidden="1" x14ac:dyDescent="0.3">
      <c r="A1126" s="131">
        <v>50</v>
      </c>
      <c r="B1126" s="521"/>
      <c r="C1126" s="396">
        <v>46000</v>
      </c>
      <c r="D1126" s="4" t="s">
        <v>3803</v>
      </c>
      <c r="E1126" s="4" t="s">
        <v>4308</v>
      </c>
      <c r="F1126" s="34" t="s">
        <v>4419</v>
      </c>
      <c r="G1126" s="310" t="s">
        <v>4420</v>
      </c>
      <c r="H1126" s="17" t="s">
        <v>4238</v>
      </c>
      <c r="I1126" s="207" t="s">
        <v>4421</v>
      </c>
      <c r="J1126" s="34" t="s">
        <v>3758</v>
      </c>
      <c r="K1126" s="34" t="s">
        <v>3789</v>
      </c>
      <c r="L1126" s="133" t="s">
        <v>3730</v>
      </c>
      <c r="M1126" s="100">
        <v>250000</v>
      </c>
      <c r="N1126" s="6" t="s">
        <v>3840</v>
      </c>
    </row>
    <row r="1127" spans="1:14" ht="27" hidden="1" x14ac:dyDescent="0.3">
      <c r="A1127" s="131">
        <v>50</v>
      </c>
      <c r="B1127" s="521"/>
      <c r="C1127" s="396">
        <v>46000</v>
      </c>
      <c r="D1127" s="4" t="s">
        <v>3791</v>
      </c>
      <c r="E1127" s="4" t="s">
        <v>3755</v>
      </c>
      <c r="F1127" s="207" t="s">
        <v>4422</v>
      </c>
      <c r="G1127" s="34" t="s">
        <v>4423</v>
      </c>
      <c r="H1127" s="17" t="s">
        <v>23</v>
      </c>
      <c r="I1127" s="207" t="s">
        <v>4424</v>
      </c>
      <c r="J1127" s="34"/>
      <c r="K1127" s="34" t="s">
        <v>4425</v>
      </c>
      <c r="L1127" s="133" t="s">
        <v>3760</v>
      </c>
      <c r="M1127" s="100">
        <v>600000</v>
      </c>
      <c r="N1127" s="6" t="s">
        <v>3935</v>
      </c>
    </row>
    <row r="1128" spans="1:14" hidden="1" x14ac:dyDescent="0.3">
      <c r="A1128" s="131">
        <v>50</v>
      </c>
      <c r="B1128" s="521"/>
      <c r="C1128" s="396">
        <v>46001</v>
      </c>
      <c r="D1128" s="4" t="s">
        <v>3803</v>
      </c>
      <c r="E1128" s="4" t="s">
        <v>3792</v>
      </c>
      <c r="F1128" s="34" t="s">
        <v>637</v>
      </c>
      <c r="G1128" s="207" t="s">
        <v>4426</v>
      </c>
      <c r="H1128" s="17" t="s">
        <v>3751</v>
      </c>
      <c r="I1128" s="207" t="s">
        <v>4427</v>
      </c>
      <c r="J1128" s="207"/>
      <c r="K1128" s="207" t="s">
        <v>4428</v>
      </c>
      <c r="L1128" s="133" t="s">
        <v>3821</v>
      </c>
      <c r="M1128" s="100">
        <v>300000</v>
      </c>
      <c r="N1128" s="6" t="s">
        <v>3618</v>
      </c>
    </row>
    <row r="1129" spans="1:14" hidden="1" x14ac:dyDescent="0.3">
      <c r="A1129" s="131">
        <v>50</v>
      </c>
      <c r="B1129" s="521"/>
      <c r="C1129" s="396">
        <v>46001</v>
      </c>
      <c r="D1129" s="4" t="s">
        <v>3791</v>
      </c>
      <c r="E1129" s="4" t="s">
        <v>3815</v>
      </c>
      <c r="F1129" s="34" t="s">
        <v>4429</v>
      </c>
      <c r="G1129" s="207">
        <v>7064</v>
      </c>
      <c r="H1129" s="17" t="s">
        <v>3943</v>
      </c>
      <c r="I1129" s="207" t="s">
        <v>4430</v>
      </c>
      <c r="J1129" s="207"/>
      <c r="K1129" s="207" t="s">
        <v>4431</v>
      </c>
      <c r="L1129" s="133" t="s">
        <v>84</v>
      </c>
      <c r="M1129" s="100">
        <v>300000</v>
      </c>
      <c r="N1129" s="6" t="s">
        <v>3857</v>
      </c>
    </row>
    <row r="1130" spans="1:14" hidden="1" x14ac:dyDescent="0.3">
      <c r="A1130" s="131">
        <v>50</v>
      </c>
      <c r="B1130" s="521"/>
      <c r="C1130" s="396">
        <v>46002</v>
      </c>
      <c r="D1130" s="4" t="s">
        <v>3791</v>
      </c>
      <c r="E1130" s="4" t="s">
        <v>3815</v>
      </c>
      <c r="F1130" s="34" t="s">
        <v>637</v>
      </c>
      <c r="G1130" s="207" t="s">
        <v>4432</v>
      </c>
      <c r="H1130" s="17" t="s">
        <v>143</v>
      </c>
      <c r="I1130" s="207" t="s">
        <v>4433</v>
      </c>
      <c r="J1130" s="207" t="s">
        <v>3845</v>
      </c>
      <c r="K1130" s="207" t="s">
        <v>4347</v>
      </c>
      <c r="L1130" s="133" t="s">
        <v>3746</v>
      </c>
      <c r="M1130" s="100">
        <v>300000</v>
      </c>
      <c r="N1130" s="6" t="s">
        <v>1660</v>
      </c>
    </row>
    <row r="1131" spans="1:14" hidden="1" x14ac:dyDescent="0.3">
      <c r="A1131" s="131">
        <v>50</v>
      </c>
      <c r="B1131" s="521"/>
      <c r="C1131" s="396">
        <v>46002</v>
      </c>
      <c r="D1131" s="4" t="s">
        <v>3931</v>
      </c>
      <c r="E1131" s="4" t="s">
        <v>3740</v>
      </c>
      <c r="F1131" s="34" t="s">
        <v>2140</v>
      </c>
      <c r="G1131" s="34" t="s">
        <v>4302</v>
      </c>
      <c r="H1131" s="17" t="s">
        <v>4434</v>
      </c>
      <c r="I1131" s="207" t="s">
        <v>4372</v>
      </c>
      <c r="J1131" s="207" t="s">
        <v>4085</v>
      </c>
      <c r="K1131" s="34" t="s">
        <v>3945</v>
      </c>
      <c r="L1131" s="133" t="s">
        <v>3760</v>
      </c>
      <c r="M1131" s="100">
        <v>250000</v>
      </c>
      <c r="N1131" s="6" t="s">
        <v>4031</v>
      </c>
    </row>
    <row r="1132" spans="1:14" hidden="1" x14ac:dyDescent="0.3">
      <c r="A1132" s="131">
        <v>51</v>
      </c>
      <c r="B1132" s="521" t="s">
        <v>3970</v>
      </c>
      <c r="C1132" s="448">
        <v>46003</v>
      </c>
      <c r="D1132" s="4" t="s">
        <v>307</v>
      </c>
      <c r="E1132" s="4" t="s">
        <v>323</v>
      </c>
      <c r="F1132" s="4" t="s">
        <v>308</v>
      </c>
      <c r="G1132" s="207" t="s">
        <v>4435</v>
      </c>
      <c r="H1132" s="133" t="s">
        <v>1250</v>
      </c>
      <c r="I1132" s="441" t="s">
        <v>4436</v>
      </c>
      <c r="J1132" s="4" t="s">
        <v>739</v>
      </c>
      <c r="K1132" s="4" t="s">
        <v>4394</v>
      </c>
      <c r="L1132" s="4"/>
      <c r="M1132" s="103">
        <v>500000</v>
      </c>
      <c r="N1132" s="6" t="s">
        <v>4437</v>
      </c>
    </row>
    <row r="1133" spans="1:14" hidden="1" x14ac:dyDescent="0.3">
      <c r="A1133" s="131">
        <v>51</v>
      </c>
      <c r="B1133" s="521"/>
      <c r="C1133" s="448">
        <v>46004</v>
      </c>
      <c r="D1133" s="4" t="s">
        <v>307</v>
      </c>
      <c r="E1133" s="4" t="s">
        <v>323</v>
      </c>
      <c r="F1133" s="4" t="s">
        <v>308</v>
      </c>
      <c r="G1133" s="207" t="s">
        <v>3491</v>
      </c>
      <c r="H1133" s="133" t="s">
        <v>4077</v>
      </c>
      <c r="I1133" s="441" t="s">
        <v>4438</v>
      </c>
      <c r="J1133" s="4" t="s">
        <v>3985</v>
      </c>
      <c r="K1133" s="4" t="s">
        <v>4439</v>
      </c>
      <c r="L1133" s="4"/>
      <c r="M1133" s="103">
        <v>500000</v>
      </c>
      <c r="N1133" s="6" t="s">
        <v>4440</v>
      </c>
    </row>
    <row r="1134" spans="1:14" hidden="1" x14ac:dyDescent="0.3">
      <c r="A1134" s="131">
        <v>51</v>
      </c>
      <c r="B1134" s="521"/>
      <c r="C1134" s="448" t="s">
        <v>4441</v>
      </c>
      <c r="D1134" s="4" t="s">
        <v>307</v>
      </c>
      <c r="E1134" s="4" t="s">
        <v>323</v>
      </c>
      <c r="F1134" s="4" t="s">
        <v>308</v>
      </c>
      <c r="G1134" s="207" t="s">
        <v>3491</v>
      </c>
      <c r="H1134" s="133" t="s">
        <v>3726</v>
      </c>
      <c r="I1134" s="441" t="s">
        <v>4442</v>
      </c>
      <c r="J1134" s="4" t="s">
        <v>3985</v>
      </c>
      <c r="K1134" s="4" t="s">
        <v>4443</v>
      </c>
      <c r="L1134" s="4"/>
      <c r="M1134" s="103">
        <v>1000000</v>
      </c>
      <c r="N1134" s="6"/>
    </row>
    <row r="1135" spans="1:14" hidden="1" x14ac:dyDescent="0.3">
      <c r="A1135" s="131">
        <v>51</v>
      </c>
      <c r="B1135" s="521"/>
      <c r="C1135" s="448">
        <v>46006</v>
      </c>
      <c r="D1135" s="4" t="s">
        <v>307</v>
      </c>
      <c r="E1135" s="4" t="s">
        <v>323</v>
      </c>
      <c r="F1135" s="4" t="s">
        <v>308</v>
      </c>
      <c r="G1135" s="207" t="s">
        <v>4444</v>
      </c>
      <c r="H1135" s="133" t="s">
        <v>4445</v>
      </c>
      <c r="I1135" s="441" t="s">
        <v>380</v>
      </c>
      <c r="J1135" s="4" t="s">
        <v>3655</v>
      </c>
      <c r="K1135" s="4" t="s">
        <v>4446</v>
      </c>
      <c r="L1135" s="4"/>
      <c r="M1135" s="103">
        <v>250000</v>
      </c>
      <c r="N1135" s="6"/>
    </row>
    <row r="1136" spans="1:14" hidden="1" x14ac:dyDescent="0.3">
      <c r="A1136" s="131">
        <v>51</v>
      </c>
      <c r="B1136" s="521"/>
      <c r="C1136" s="448">
        <v>46007</v>
      </c>
      <c r="D1136" s="4" t="s">
        <v>307</v>
      </c>
      <c r="E1136" s="4" t="s">
        <v>323</v>
      </c>
      <c r="F1136" s="4" t="s">
        <v>308</v>
      </c>
      <c r="G1136" s="207" t="s">
        <v>4444</v>
      </c>
      <c r="H1136" s="133" t="s">
        <v>3818</v>
      </c>
      <c r="I1136" s="441" t="s">
        <v>4113</v>
      </c>
      <c r="J1136" s="4" t="s">
        <v>3720</v>
      </c>
      <c r="K1136" s="4" t="s">
        <v>4114</v>
      </c>
      <c r="L1136" s="4"/>
      <c r="M1136" s="103">
        <v>250000</v>
      </c>
      <c r="N1136" s="6"/>
    </row>
    <row r="1137" spans="1:14" hidden="1" x14ac:dyDescent="0.3">
      <c r="A1137" s="131">
        <v>51</v>
      </c>
      <c r="B1137" s="521"/>
      <c r="C1137" s="448">
        <v>46009</v>
      </c>
      <c r="D1137" s="4" t="s">
        <v>307</v>
      </c>
      <c r="E1137" s="4" t="s">
        <v>323</v>
      </c>
      <c r="F1137" s="4" t="s">
        <v>308</v>
      </c>
      <c r="G1137" s="207" t="s">
        <v>3859</v>
      </c>
      <c r="H1137" s="133" t="s">
        <v>3736</v>
      </c>
      <c r="I1137" s="441" t="s">
        <v>3629</v>
      </c>
      <c r="J1137" s="4" t="s">
        <v>3720</v>
      </c>
      <c r="K1137" s="4" t="s">
        <v>4447</v>
      </c>
      <c r="L1137" s="4"/>
      <c r="M1137" s="103">
        <v>250000</v>
      </c>
      <c r="N1137" s="133"/>
    </row>
    <row r="1138" spans="1:14" hidden="1" x14ac:dyDescent="0.3">
      <c r="A1138" s="131">
        <v>51</v>
      </c>
      <c r="B1138" s="521" t="s">
        <v>21</v>
      </c>
      <c r="C1138" s="448">
        <v>46002</v>
      </c>
      <c r="D1138" s="4" t="s">
        <v>3739</v>
      </c>
      <c r="E1138" s="4" t="s">
        <v>3792</v>
      </c>
      <c r="F1138" s="34" t="s">
        <v>3771</v>
      </c>
      <c r="G1138" s="34" t="s">
        <v>4302</v>
      </c>
      <c r="H1138" s="17" t="s">
        <v>4448</v>
      </c>
      <c r="I1138" s="207" t="s">
        <v>4231</v>
      </c>
      <c r="J1138" s="4" t="s">
        <v>3869</v>
      </c>
      <c r="K1138" s="4" t="s">
        <v>4093</v>
      </c>
      <c r="L1138" s="133" t="s">
        <v>3813</v>
      </c>
      <c r="M1138" s="103">
        <v>500000</v>
      </c>
      <c r="N1138" s="6" t="s">
        <v>4449</v>
      </c>
    </row>
    <row r="1139" spans="1:14" hidden="1" x14ac:dyDescent="0.3">
      <c r="A1139" s="131">
        <v>51</v>
      </c>
      <c r="B1139" s="521"/>
      <c r="C1139" s="396">
        <v>46006</v>
      </c>
      <c r="D1139" s="4" t="s">
        <v>3739</v>
      </c>
      <c r="E1139" s="4" t="s">
        <v>3815</v>
      </c>
      <c r="F1139" s="34" t="s">
        <v>4450</v>
      </c>
      <c r="G1139" s="207">
        <v>7064</v>
      </c>
      <c r="H1139" s="17" t="s">
        <v>3929</v>
      </c>
      <c r="I1139" s="207" t="s">
        <v>4451</v>
      </c>
      <c r="J1139" s="207" t="s">
        <v>121</v>
      </c>
      <c r="K1139" s="34" t="s">
        <v>4040</v>
      </c>
      <c r="L1139" s="133" t="s">
        <v>3836</v>
      </c>
      <c r="M1139" s="64">
        <v>300000</v>
      </c>
      <c r="N1139" s="6" t="s">
        <v>3935</v>
      </c>
    </row>
    <row r="1140" spans="1:14" hidden="1" x14ac:dyDescent="0.3">
      <c r="A1140" s="131">
        <v>51</v>
      </c>
      <c r="B1140" s="521"/>
      <c r="C1140" s="396">
        <v>46006</v>
      </c>
      <c r="D1140" s="4" t="s">
        <v>3931</v>
      </c>
      <c r="E1140" s="4" t="s">
        <v>30</v>
      </c>
      <c r="F1140" s="34" t="s">
        <v>3779</v>
      </c>
      <c r="G1140" s="34" t="s">
        <v>4452</v>
      </c>
      <c r="H1140" s="17" t="s">
        <v>4434</v>
      </c>
      <c r="I1140" s="207" t="s">
        <v>4453</v>
      </c>
      <c r="J1140" s="207" t="s">
        <v>3782</v>
      </c>
      <c r="K1140" s="34" t="s">
        <v>3691</v>
      </c>
      <c r="L1140" s="133" t="s">
        <v>3760</v>
      </c>
      <c r="M1140" s="100">
        <v>250000</v>
      </c>
      <c r="N1140" s="6" t="s">
        <v>4036</v>
      </c>
    </row>
    <row r="1141" spans="1:14" hidden="1" x14ac:dyDescent="0.3">
      <c r="A1141" s="131">
        <v>51</v>
      </c>
      <c r="B1141" s="521"/>
      <c r="C1141" s="396" t="s">
        <v>4454</v>
      </c>
      <c r="D1141" s="4" t="s">
        <v>3749</v>
      </c>
      <c r="E1141" s="4" t="s">
        <v>3778</v>
      </c>
      <c r="F1141" s="34" t="s">
        <v>4213</v>
      </c>
      <c r="G1141" s="34" t="s">
        <v>4149</v>
      </c>
      <c r="H1141" s="17" t="s">
        <v>3454</v>
      </c>
      <c r="I1141" s="207" t="s">
        <v>3980</v>
      </c>
      <c r="J1141" s="34"/>
      <c r="K1141" s="207" t="s">
        <v>4455</v>
      </c>
      <c r="L1141" s="133" t="s">
        <v>84</v>
      </c>
      <c r="M1141" s="100">
        <v>1000000</v>
      </c>
      <c r="N1141" s="6" t="s">
        <v>1660</v>
      </c>
    </row>
    <row r="1142" spans="1:14" hidden="1" x14ac:dyDescent="0.3">
      <c r="A1142" s="131">
        <v>51</v>
      </c>
      <c r="B1142" s="521"/>
      <c r="C1142" s="396">
        <v>46007</v>
      </c>
      <c r="D1142" s="4" t="s">
        <v>3722</v>
      </c>
      <c r="E1142" s="4" t="s">
        <v>3740</v>
      </c>
      <c r="F1142" s="34" t="s">
        <v>637</v>
      </c>
      <c r="G1142" s="207" t="s">
        <v>4456</v>
      </c>
      <c r="H1142" s="17" t="s">
        <v>4457</v>
      </c>
      <c r="I1142" s="207" t="s">
        <v>4458</v>
      </c>
      <c r="J1142" s="34" t="s">
        <v>4459</v>
      </c>
      <c r="K1142" s="34" t="s">
        <v>4074</v>
      </c>
      <c r="L1142" s="133" t="s">
        <v>3760</v>
      </c>
      <c r="M1142" s="100">
        <v>300000</v>
      </c>
      <c r="N1142" s="6" t="s">
        <v>3329</v>
      </c>
    </row>
    <row r="1143" spans="1:14" ht="27" hidden="1" x14ac:dyDescent="0.3">
      <c r="A1143" s="131">
        <v>51</v>
      </c>
      <c r="B1143" s="521"/>
      <c r="C1143" s="396">
        <v>46008</v>
      </c>
      <c r="D1143" s="4" t="s">
        <v>21</v>
      </c>
      <c r="E1143" s="4" t="s">
        <v>30</v>
      </c>
      <c r="F1143" s="34" t="s">
        <v>4232</v>
      </c>
      <c r="G1143" s="207" t="s">
        <v>4460</v>
      </c>
      <c r="H1143" s="17" t="s">
        <v>4238</v>
      </c>
      <c r="I1143" s="207" t="s">
        <v>4461</v>
      </c>
      <c r="J1143" s="34" t="s">
        <v>3850</v>
      </c>
      <c r="K1143" s="34" t="s">
        <v>4462</v>
      </c>
      <c r="L1143" s="133" t="s">
        <v>4035</v>
      </c>
      <c r="M1143" s="100">
        <v>600000</v>
      </c>
      <c r="N1143" s="6" t="s">
        <v>3840</v>
      </c>
    </row>
    <row r="1144" spans="1:14" ht="27" hidden="1" x14ac:dyDescent="0.3">
      <c r="A1144" s="131">
        <v>51</v>
      </c>
      <c r="B1144" s="521"/>
      <c r="C1144" s="396">
        <v>46008</v>
      </c>
      <c r="D1144" s="4" t="s">
        <v>3739</v>
      </c>
      <c r="E1144" s="4" t="s">
        <v>4358</v>
      </c>
      <c r="F1144" s="34" t="s">
        <v>3741</v>
      </c>
      <c r="G1144" s="207" t="s">
        <v>4137</v>
      </c>
      <c r="H1144" s="17" t="s">
        <v>4367</v>
      </c>
      <c r="I1144" s="207" t="s">
        <v>4463</v>
      </c>
      <c r="J1144" s="34" t="s">
        <v>4464</v>
      </c>
      <c r="K1144" s="207" t="s">
        <v>4012</v>
      </c>
      <c r="L1144" s="133" t="s">
        <v>3821</v>
      </c>
      <c r="M1144" s="100">
        <v>250000</v>
      </c>
      <c r="N1144" s="6" t="s">
        <v>3617</v>
      </c>
    </row>
    <row r="1145" spans="1:14" ht="27" hidden="1" x14ac:dyDescent="0.3">
      <c r="A1145" s="131">
        <v>51</v>
      </c>
      <c r="B1145" s="521"/>
      <c r="C1145" s="396">
        <v>46009</v>
      </c>
      <c r="D1145" s="4" t="s">
        <v>3777</v>
      </c>
      <c r="E1145" s="4" t="s">
        <v>3755</v>
      </c>
      <c r="F1145" s="34" t="s">
        <v>159</v>
      </c>
      <c r="G1145" s="207" t="s">
        <v>4465</v>
      </c>
      <c r="H1145" s="17" t="s">
        <v>3309</v>
      </c>
      <c r="I1145" s="207" t="s">
        <v>4466</v>
      </c>
      <c r="J1145" s="34" t="s">
        <v>121</v>
      </c>
      <c r="K1145" s="34" t="s">
        <v>3753</v>
      </c>
      <c r="L1145" s="133" t="s">
        <v>3746</v>
      </c>
      <c r="M1145" s="100">
        <v>250000</v>
      </c>
      <c r="N1145" s="6" t="s">
        <v>3847</v>
      </c>
    </row>
    <row r="1146" spans="1:14" ht="27" hidden="1" x14ac:dyDescent="0.3">
      <c r="A1146" s="131">
        <v>51</v>
      </c>
      <c r="B1146" s="521"/>
      <c r="C1146" s="396">
        <v>46009</v>
      </c>
      <c r="D1146" s="4" t="s">
        <v>21</v>
      </c>
      <c r="E1146" s="4" t="s">
        <v>3825</v>
      </c>
      <c r="F1146" s="34" t="s">
        <v>101</v>
      </c>
      <c r="G1146" s="34" t="s">
        <v>4467</v>
      </c>
      <c r="H1146" s="17" t="s">
        <v>3653</v>
      </c>
      <c r="I1146" s="207" t="s">
        <v>4468</v>
      </c>
      <c r="J1146" s="34"/>
      <c r="K1146" s="34" t="s">
        <v>4469</v>
      </c>
      <c r="L1146" s="133" t="s">
        <v>84</v>
      </c>
      <c r="M1146" s="100">
        <v>300000</v>
      </c>
      <c r="N1146" s="6" t="s">
        <v>4470</v>
      </c>
    </row>
    <row r="1147" spans="1:14" ht="27" hidden="1" x14ac:dyDescent="0.3">
      <c r="A1147" s="131">
        <v>51</v>
      </c>
      <c r="B1147" s="521"/>
      <c r="C1147" s="396">
        <v>46010</v>
      </c>
      <c r="D1147" s="4" t="s">
        <v>3777</v>
      </c>
      <c r="E1147" s="4" t="s">
        <v>17</v>
      </c>
      <c r="F1147" s="34" t="s">
        <v>3741</v>
      </c>
      <c r="G1147" s="207" t="s">
        <v>4143</v>
      </c>
      <c r="H1147" s="17" t="s">
        <v>37</v>
      </c>
      <c r="I1147" s="207" t="s">
        <v>4403</v>
      </c>
      <c r="J1147" s="34" t="s">
        <v>3797</v>
      </c>
      <c r="K1147" s="207" t="s">
        <v>4114</v>
      </c>
      <c r="L1147" s="133" t="s">
        <v>3836</v>
      </c>
      <c r="M1147" s="100">
        <v>250000</v>
      </c>
      <c r="N1147" s="6" t="s">
        <v>3617</v>
      </c>
    </row>
    <row r="1148" spans="1:14" ht="22.5" hidden="1" x14ac:dyDescent="0.3">
      <c r="A1148" s="131">
        <v>51</v>
      </c>
      <c r="B1148" s="521"/>
      <c r="C1148" s="396">
        <v>46010</v>
      </c>
      <c r="D1148" s="4" t="s">
        <v>3803</v>
      </c>
      <c r="E1148" s="4" t="s">
        <v>677</v>
      </c>
      <c r="F1148" s="34" t="s">
        <v>1797</v>
      </c>
      <c r="G1148" s="310" t="s">
        <v>3427</v>
      </c>
      <c r="H1148" s="17" t="s">
        <v>4238</v>
      </c>
      <c r="I1148" s="207" t="s">
        <v>4471</v>
      </c>
      <c r="J1148" s="34" t="s">
        <v>3728</v>
      </c>
      <c r="K1148" s="207" t="s">
        <v>3881</v>
      </c>
      <c r="L1148" s="133" t="s">
        <v>3813</v>
      </c>
      <c r="M1148" s="100">
        <v>250000</v>
      </c>
      <c r="N1148" s="6" t="s">
        <v>2568</v>
      </c>
    </row>
    <row r="1149" spans="1:14" ht="22.5" hidden="1" x14ac:dyDescent="0.3">
      <c r="A1149" s="131">
        <v>51</v>
      </c>
      <c r="B1149" s="521"/>
      <c r="C1149" s="396">
        <v>46010</v>
      </c>
      <c r="D1149" s="4" t="s">
        <v>3739</v>
      </c>
      <c r="E1149" s="4" t="s">
        <v>677</v>
      </c>
      <c r="F1149" s="34" t="s">
        <v>4472</v>
      </c>
      <c r="G1149" s="310" t="s">
        <v>4473</v>
      </c>
      <c r="H1149" s="17" t="s">
        <v>4077</v>
      </c>
      <c r="I1149" s="207" t="s">
        <v>4474</v>
      </c>
      <c r="J1149" s="34" t="s">
        <v>3811</v>
      </c>
      <c r="K1149" s="207" t="s">
        <v>4475</v>
      </c>
      <c r="L1149" s="133" t="s">
        <v>3730</v>
      </c>
      <c r="M1149" s="100">
        <v>300000</v>
      </c>
      <c r="N1149" s="6" t="s">
        <v>4357</v>
      </c>
    </row>
    <row r="1150" spans="1:14" hidden="1" x14ac:dyDescent="0.3">
      <c r="A1150" s="131">
        <v>52</v>
      </c>
      <c r="B1150" s="521" t="s">
        <v>3704</v>
      </c>
      <c r="C1150" s="396" t="s">
        <v>4476</v>
      </c>
      <c r="D1150" s="4" t="s">
        <v>307</v>
      </c>
      <c r="E1150" s="4" t="s">
        <v>323</v>
      </c>
      <c r="F1150" s="4" t="s">
        <v>308</v>
      </c>
      <c r="G1150" s="207" t="s">
        <v>3491</v>
      </c>
      <c r="H1150" s="133" t="s">
        <v>116</v>
      </c>
      <c r="I1150" s="441" t="s">
        <v>3625</v>
      </c>
      <c r="J1150" s="4" t="s">
        <v>3863</v>
      </c>
      <c r="K1150" s="4" t="s">
        <v>2820</v>
      </c>
      <c r="L1150" s="4"/>
      <c r="M1150" s="103">
        <v>750000</v>
      </c>
      <c r="N1150" s="6" t="s">
        <v>4477</v>
      </c>
    </row>
    <row r="1151" spans="1:14" hidden="1" x14ac:dyDescent="0.3">
      <c r="A1151" s="131">
        <v>52</v>
      </c>
      <c r="B1151" s="521"/>
      <c r="C1151" s="448" t="s">
        <v>4478</v>
      </c>
      <c r="D1151" s="4" t="s">
        <v>307</v>
      </c>
      <c r="E1151" s="4" t="s">
        <v>323</v>
      </c>
      <c r="F1151" s="4" t="s">
        <v>308</v>
      </c>
      <c r="G1151" s="207" t="s">
        <v>3491</v>
      </c>
      <c r="H1151" s="133" t="s">
        <v>23</v>
      </c>
      <c r="I1151" s="441" t="s">
        <v>3629</v>
      </c>
      <c r="J1151" s="4" t="s">
        <v>739</v>
      </c>
      <c r="K1151" s="4" t="s">
        <v>3073</v>
      </c>
      <c r="L1151" s="4"/>
      <c r="M1151" s="103">
        <v>750000</v>
      </c>
      <c r="N1151" s="6"/>
    </row>
    <row r="1152" spans="1:14" hidden="1" x14ac:dyDescent="0.3">
      <c r="A1152" s="131">
        <v>52</v>
      </c>
      <c r="B1152" s="521"/>
      <c r="C1152" s="448">
        <v>46014</v>
      </c>
      <c r="D1152" s="4" t="s">
        <v>307</v>
      </c>
      <c r="E1152" s="4" t="s">
        <v>323</v>
      </c>
      <c r="F1152" s="4" t="s">
        <v>308</v>
      </c>
      <c r="G1152" s="207" t="s">
        <v>3491</v>
      </c>
      <c r="H1152" s="133" t="s">
        <v>116</v>
      </c>
      <c r="I1152" s="441" t="s">
        <v>4479</v>
      </c>
      <c r="J1152" s="4" t="s">
        <v>739</v>
      </c>
      <c r="K1152" s="4" t="s">
        <v>688</v>
      </c>
      <c r="L1152" s="4"/>
      <c r="M1152" s="103">
        <v>250000</v>
      </c>
      <c r="N1152" s="6"/>
    </row>
    <row r="1153" spans="1:14" hidden="1" x14ac:dyDescent="0.3">
      <c r="A1153" s="131">
        <v>52</v>
      </c>
      <c r="B1153" s="521"/>
      <c r="C1153" s="448">
        <v>46017</v>
      </c>
      <c r="D1153" s="4" t="s">
        <v>307</v>
      </c>
      <c r="E1153" s="4" t="s">
        <v>323</v>
      </c>
      <c r="F1153" s="4" t="s">
        <v>308</v>
      </c>
      <c r="G1153" s="207" t="s">
        <v>4480</v>
      </c>
      <c r="H1153" s="133" t="s">
        <v>23</v>
      </c>
      <c r="I1153" s="441" t="s">
        <v>4481</v>
      </c>
      <c r="J1153" s="4" t="s">
        <v>3666</v>
      </c>
      <c r="K1153" s="4" t="s">
        <v>4482</v>
      </c>
      <c r="L1153" s="4"/>
      <c r="M1153" s="103">
        <v>500000</v>
      </c>
      <c r="N1153" s="6"/>
    </row>
    <row r="1154" spans="1:14" hidden="1" x14ac:dyDescent="0.3">
      <c r="A1154" s="131">
        <v>52</v>
      </c>
      <c r="B1154" s="521"/>
      <c r="C1154" s="448">
        <v>46017</v>
      </c>
      <c r="D1154" s="4" t="s">
        <v>307</v>
      </c>
      <c r="E1154" s="4" t="s">
        <v>323</v>
      </c>
      <c r="F1154" s="4" t="s">
        <v>308</v>
      </c>
      <c r="G1154" s="207">
        <v>1569</v>
      </c>
      <c r="H1154" s="133" t="s">
        <v>3487</v>
      </c>
      <c r="I1154" s="441" t="s">
        <v>380</v>
      </c>
      <c r="J1154" s="4" t="s">
        <v>739</v>
      </c>
      <c r="K1154" s="4" t="s">
        <v>2850</v>
      </c>
      <c r="L1154" s="4"/>
      <c r="M1154" s="103">
        <v>250000</v>
      </c>
      <c r="N1154" s="6"/>
    </row>
    <row r="1155" spans="1:14" hidden="1" x14ac:dyDescent="0.3">
      <c r="A1155" s="131">
        <v>52</v>
      </c>
      <c r="B1155" s="521"/>
      <c r="C1155" s="448" t="s">
        <v>4483</v>
      </c>
      <c r="D1155" s="4" t="s">
        <v>307</v>
      </c>
      <c r="E1155" s="4" t="s">
        <v>323</v>
      </c>
      <c r="F1155" s="4" t="s">
        <v>308</v>
      </c>
      <c r="G1155" s="207">
        <v>8262</v>
      </c>
      <c r="H1155" s="133" t="s">
        <v>3706</v>
      </c>
      <c r="I1155" s="441" t="s">
        <v>4484</v>
      </c>
      <c r="J1155" s="4" t="s">
        <v>3863</v>
      </c>
      <c r="K1155" s="4" t="s">
        <v>4485</v>
      </c>
      <c r="L1155" s="4"/>
      <c r="M1155" s="103">
        <v>500000</v>
      </c>
      <c r="N1155" s="6"/>
    </row>
    <row r="1156" spans="1:14" hidden="1" x14ac:dyDescent="0.3">
      <c r="A1156" s="131">
        <v>52</v>
      </c>
      <c r="B1156" s="521"/>
      <c r="C1156" s="448">
        <v>46017</v>
      </c>
      <c r="D1156" s="4" t="s">
        <v>307</v>
      </c>
      <c r="E1156" s="4" t="s">
        <v>323</v>
      </c>
      <c r="F1156" s="4" t="s">
        <v>308</v>
      </c>
      <c r="G1156" s="207">
        <v>8262</v>
      </c>
      <c r="H1156" s="133" t="s">
        <v>3487</v>
      </c>
      <c r="I1156" s="441" t="s">
        <v>3545</v>
      </c>
      <c r="J1156" s="4" t="s">
        <v>739</v>
      </c>
      <c r="K1156" s="4" t="s">
        <v>1001</v>
      </c>
      <c r="L1156" s="4"/>
      <c r="M1156" s="103">
        <v>250000</v>
      </c>
      <c r="N1156" s="6"/>
    </row>
    <row r="1157" spans="1:14" ht="27" hidden="1" x14ac:dyDescent="0.3">
      <c r="A1157" s="131">
        <v>52</v>
      </c>
      <c r="B1157" s="521" t="s">
        <v>21</v>
      </c>
      <c r="C1157" s="396">
        <v>46009</v>
      </c>
      <c r="D1157" s="4" t="s">
        <v>3931</v>
      </c>
      <c r="E1157" s="4" t="s">
        <v>30</v>
      </c>
      <c r="F1157" s="34" t="s">
        <v>159</v>
      </c>
      <c r="G1157" s="207" t="s">
        <v>4460</v>
      </c>
      <c r="H1157" s="17" t="s">
        <v>3653</v>
      </c>
      <c r="I1157" s="207" t="s">
        <v>4486</v>
      </c>
      <c r="J1157" s="133" t="s">
        <v>121</v>
      </c>
      <c r="K1157" s="34" t="s">
        <v>185</v>
      </c>
      <c r="L1157" s="133" t="s">
        <v>3676</v>
      </c>
      <c r="M1157" s="103">
        <v>300000</v>
      </c>
      <c r="N1157" s="6" t="s">
        <v>4487</v>
      </c>
    </row>
    <row r="1158" spans="1:14" ht="27" hidden="1" x14ac:dyDescent="0.3">
      <c r="A1158" s="131">
        <v>52</v>
      </c>
      <c r="B1158" s="521"/>
      <c r="C1158" s="396">
        <v>46008</v>
      </c>
      <c r="D1158" s="4" t="s">
        <v>3931</v>
      </c>
      <c r="E1158" s="4" t="s">
        <v>4021</v>
      </c>
      <c r="F1158" s="34" t="s">
        <v>2461</v>
      </c>
      <c r="G1158" s="207" t="s">
        <v>4137</v>
      </c>
      <c r="H1158" s="17" t="s">
        <v>4488</v>
      </c>
      <c r="I1158" s="207" t="s">
        <v>4403</v>
      </c>
      <c r="J1158" s="207" t="s">
        <v>4092</v>
      </c>
      <c r="K1158" s="207" t="s">
        <v>688</v>
      </c>
      <c r="L1158" s="133" t="s">
        <v>3676</v>
      </c>
      <c r="M1158" s="64">
        <v>250000</v>
      </c>
      <c r="N1158" s="6" t="s">
        <v>4489</v>
      </c>
    </row>
    <row r="1159" spans="1:14" ht="27" hidden="1" x14ac:dyDescent="0.3">
      <c r="A1159" s="131">
        <v>52</v>
      </c>
      <c r="B1159" s="521"/>
      <c r="C1159" s="396">
        <v>46010</v>
      </c>
      <c r="D1159" s="4" t="s">
        <v>4490</v>
      </c>
      <c r="E1159" s="4" t="s">
        <v>17</v>
      </c>
      <c r="F1159" s="34" t="s">
        <v>4491</v>
      </c>
      <c r="G1159" s="207" t="s">
        <v>4492</v>
      </c>
      <c r="H1159" s="17" t="s">
        <v>4488</v>
      </c>
      <c r="I1159" s="207" t="s">
        <v>4493</v>
      </c>
      <c r="J1159" s="207" t="s">
        <v>497</v>
      </c>
      <c r="K1159" s="207" t="s">
        <v>3697</v>
      </c>
      <c r="L1159" s="133" t="s">
        <v>84</v>
      </c>
      <c r="M1159" s="64">
        <v>250000</v>
      </c>
      <c r="N1159" s="6" t="s">
        <v>4489</v>
      </c>
    </row>
    <row r="1160" spans="1:14" hidden="1" x14ac:dyDescent="0.3">
      <c r="A1160" s="131">
        <v>52</v>
      </c>
      <c r="B1160" s="521"/>
      <c r="C1160" s="396">
        <v>46013</v>
      </c>
      <c r="D1160" s="4" t="s">
        <v>21</v>
      </c>
      <c r="E1160" s="4" t="s">
        <v>30</v>
      </c>
      <c r="F1160" s="34" t="s">
        <v>383</v>
      </c>
      <c r="G1160" s="34" t="s">
        <v>3972</v>
      </c>
      <c r="H1160" s="17" t="s">
        <v>3974</v>
      </c>
      <c r="I1160" s="207" t="s">
        <v>4494</v>
      </c>
      <c r="J1160" s="34"/>
      <c r="K1160" s="207" t="s">
        <v>185</v>
      </c>
      <c r="L1160" s="133" t="s">
        <v>3676</v>
      </c>
      <c r="M1160" s="64">
        <v>300000</v>
      </c>
      <c r="N1160" s="6" t="s">
        <v>3329</v>
      </c>
    </row>
    <row r="1161" spans="1:14" ht="27" hidden="1" x14ac:dyDescent="0.3">
      <c r="A1161" s="131">
        <v>52</v>
      </c>
      <c r="B1161" s="521"/>
      <c r="C1161" s="396">
        <v>46013</v>
      </c>
      <c r="D1161" s="4" t="s">
        <v>3670</v>
      </c>
      <c r="E1161" s="4" t="s">
        <v>3785</v>
      </c>
      <c r="F1161" s="34" t="s">
        <v>159</v>
      </c>
      <c r="G1161" s="207" t="s">
        <v>4207</v>
      </c>
      <c r="H1161" s="17" t="s">
        <v>4014</v>
      </c>
      <c r="I1161" s="207" t="s">
        <v>4495</v>
      </c>
      <c r="J1161" s="34" t="s">
        <v>121</v>
      </c>
      <c r="K1161" s="34" t="s">
        <v>3753</v>
      </c>
      <c r="L1161" s="133" t="s">
        <v>3676</v>
      </c>
      <c r="M1161" s="64">
        <v>250000</v>
      </c>
      <c r="N1161" s="6" t="s">
        <v>3701</v>
      </c>
    </row>
    <row r="1162" spans="1:14" hidden="1" x14ac:dyDescent="0.3">
      <c r="A1162" s="131">
        <v>52</v>
      </c>
      <c r="B1162" s="521"/>
      <c r="C1162" s="396">
        <v>46013</v>
      </c>
      <c r="D1162" s="4" t="s">
        <v>21</v>
      </c>
      <c r="E1162" s="4" t="s">
        <v>30</v>
      </c>
      <c r="F1162" s="34" t="s">
        <v>3470</v>
      </c>
      <c r="G1162" s="207">
        <v>7064</v>
      </c>
      <c r="H1162" s="17" t="s">
        <v>208</v>
      </c>
      <c r="I1162" s="207" t="s">
        <v>4496</v>
      </c>
      <c r="J1162" s="207"/>
      <c r="K1162" s="34" t="s">
        <v>1001</v>
      </c>
      <c r="L1162" s="133" t="s">
        <v>3676</v>
      </c>
      <c r="M1162" s="64">
        <v>300000</v>
      </c>
      <c r="N1162" s="6" t="s">
        <v>3329</v>
      </c>
    </row>
    <row r="1163" spans="1:14" hidden="1" x14ac:dyDescent="0.3">
      <c r="A1163" s="131">
        <v>52</v>
      </c>
      <c r="B1163" s="521"/>
      <c r="C1163" s="396">
        <v>46013</v>
      </c>
      <c r="D1163" s="4" t="s">
        <v>3670</v>
      </c>
      <c r="E1163" s="4" t="s">
        <v>3785</v>
      </c>
      <c r="F1163" s="34" t="s">
        <v>4429</v>
      </c>
      <c r="G1163" s="207">
        <v>7064</v>
      </c>
      <c r="H1163" s="17" t="s">
        <v>208</v>
      </c>
      <c r="I1163" s="207" t="s">
        <v>4497</v>
      </c>
      <c r="J1163" s="207"/>
      <c r="K1163" s="34" t="s">
        <v>3697</v>
      </c>
      <c r="L1163" s="133" t="s">
        <v>84</v>
      </c>
      <c r="M1163" s="64">
        <v>250000</v>
      </c>
      <c r="N1163" s="6" t="s">
        <v>3618</v>
      </c>
    </row>
    <row r="1164" spans="1:14" ht="27" hidden="1" x14ac:dyDescent="0.3">
      <c r="A1164" s="131">
        <v>52</v>
      </c>
      <c r="B1164" s="521"/>
      <c r="C1164" s="396" t="s">
        <v>4498</v>
      </c>
      <c r="D1164" s="4" t="s">
        <v>3670</v>
      </c>
      <c r="E1164" s="4" t="s">
        <v>30</v>
      </c>
      <c r="F1164" s="34" t="s">
        <v>383</v>
      </c>
      <c r="G1164" s="34" t="s">
        <v>3972</v>
      </c>
      <c r="H1164" s="17" t="s">
        <v>3974</v>
      </c>
      <c r="I1164" s="207" t="s">
        <v>3662</v>
      </c>
      <c r="J1164" s="34"/>
      <c r="K1164" s="207" t="s">
        <v>3953</v>
      </c>
      <c r="L1164" s="133" t="s">
        <v>84</v>
      </c>
      <c r="M1164" s="64">
        <v>1000000</v>
      </c>
      <c r="N1164" s="6" t="s">
        <v>1660</v>
      </c>
    </row>
    <row r="1165" spans="1:14" hidden="1" x14ac:dyDescent="0.3">
      <c r="A1165" s="131">
        <v>52</v>
      </c>
      <c r="B1165" s="521"/>
      <c r="C1165" s="396">
        <v>46014</v>
      </c>
      <c r="D1165" s="4" t="s">
        <v>3670</v>
      </c>
      <c r="E1165" s="4" t="s">
        <v>3785</v>
      </c>
      <c r="F1165" s="34" t="s">
        <v>2140</v>
      </c>
      <c r="G1165" s="34" t="s">
        <v>2727</v>
      </c>
      <c r="H1165" s="17" t="s">
        <v>116</v>
      </c>
      <c r="I1165" s="207" t="s">
        <v>4499</v>
      </c>
      <c r="J1165" s="34"/>
      <c r="K1165" s="207" t="s">
        <v>796</v>
      </c>
      <c r="L1165" s="133" t="s">
        <v>84</v>
      </c>
      <c r="M1165" s="64">
        <v>500000</v>
      </c>
      <c r="N1165" s="6" t="s">
        <v>3329</v>
      </c>
    </row>
    <row r="1166" spans="1:14" hidden="1" x14ac:dyDescent="0.3">
      <c r="A1166" s="131">
        <v>52</v>
      </c>
      <c r="B1166" s="521"/>
      <c r="C1166" s="396">
        <v>46014</v>
      </c>
      <c r="D1166" s="4" t="s">
        <v>3722</v>
      </c>
      <c r="E1166" s="4" t="s">
        <v>30</v>
      </c>
      <c r="F1166" s="34" t="s">
        <v>3692</v>
      </c>
      <c r="G1166" s="34" t="s">
        <v>2727</v>
      </c>
      <c r="H1166" s="17" t="s">
        <v>116</v>
      </c>
      <c r="I1166" s="207" t="s">
        <v>4499</v>
      </c>
      <c r="J1166" s="34" t="s">
        <v>121</v>
      </c>
      <c r="K1166" s="207" t="s">
        <v>3934</v>
      </c>
      <c r="L1166" s="133" t="s">
        <v>84</v>
      </c>
      <c r="M1166" s="64">
        <v>600000</v>
      </c>
      <c r="N1166" s="6" t="s">
        <v>3329</v>
      </c>
    </row>
    <row r="1167" spans="1:14" hidden="1" x14ac:dyDescent="0.3">
      <c r="A1167" s="131">
        <v>52</v>
      </c>
      <c r="B1167" s="521"/>
      <c r="C1167" s="396">
        <v>46015</v>
      </c>
      <c r="D1167" s="4" t="s">
        <v>3670</v>
      </c>
      <c r="E1167" s="4" t="s">
        <v>3671</v>
      </c>
      <c r="F1167" s="34" t="s">
        <v>383</v>
      </c>
      <c r="G1167" s="34" t="s">
        <v>3972</v>
      </c>
      <c r="H1167" s="17" t="s">
        <v>3454</v>
      </c>
      <c r="I1167" s="207" t="s">
        <v>4500</v>
      </c>
      <c r="J1167" s="34"/>
      <c r="K1167" s="207" t="s">
        <v>796</v>
      </c>
      <c r="L1167" s="133" t="s">
        <v>3676</v>
      </c>
      <c r="M1167" s="64">
        <v>500000</v>
      </c>
      <c r="N1167" s="6" t="s">
        <v>3701</v>
      </c>
    </row>
    <row r="1168" spans="1:14" hidden="1" x14ac:dyDescent="0.3">
      <c r="A1168" s="131">
        <v>52</v>
      </c>
      <c r="B1168" s="521"/>
      <c r="C1168" s="396">
        <v>46017</v>
      </c>
      <c r="D1168" s="4" t="s">
        <v>21</v>
      </c>
      <c r="E1168" s="4" t="s">
        <v>3733</v>
      </c>
      <c r="F1168" s="34" t="s">
        <v>383</v>
      </c>
      <c r="G1168" s="34" t="s">
        <v>4501</v>
      </c>
      <c r="H1168" s="17" t="s">
        <v>4502</v>
      </c>
      <c r="I1168" s="207" t="s">
        <v>4503</v>
      </c>
      <c r="J1168" s="34"/>
      <c r="K1168" s="34" t="s">
        <v>4504</v>
      </c>
      <c r="L1168" s="133" t="s">
        <v>84</v>
      </c>
      <c r="M1168" s="64">
        <v>500000</v>
      </c>
      <c r="N1168" s="6" t="s">
        <v>4505</v>
      </c>
    </row>
    <row r="1169" spans="1:14" hidden="1" x14ac:dyDescent="0.3">
      <c r="A1169" s="131">
        <v>53</v>
      </c>
      <c r="B1169" s="521" t="s">
        <v>176</v>
      </c>
      <c r="C1169" s="396">
        <v>46016</v>
      </c>
      <c r="D1169" s="4" t="s">
        <v>307</v>
      </c>
      <c r="E1169" s="4" t="s">
        <v>323</v>
      </c>
      <c r="F1169" s="4" t="s">
        <v>308</v>
      </c>
      <c r="G1169" s="207">
        <v>8262</v>
      </c>
      <c r="H1169" s="133" t="s">
        <v>3487</v>
      </c>
      <c r="I1169" s="441" t="s">
        <v>4506</v>
      </c>
      <c r="J1169" s="4"/>
      <c r="K1169" s="4" t="s">
        <v>3753</v>
      </c>
      <c r="L1169" s="4"/>
      <c r="M1169" s="103">
        <v>250000</v>
      </c>
      <c r="N1169" s="6" t="s">
        <v>3490</v>
      </c>
    </row>
    <row r="1170" spans="1:14" hidden="1" x14ac:dyDescent="0.3">
      <c r="A1170" s="131">
        <v>53</v>
      </c>
      <c r="B1170" s="521"/>
      <c r="C1170" s="396">
        <v>46020</v>
      </c>
      <c r="D1170" s="4" t="s">
        <v>307</v>
      </c>
      <c r="E1170" s="4" t="s">
        <v>323</v>
      </c>
      <c r="F1170" s="4" t="s">
        <v>308</v>
      </c>
      <c r="G1170" s="207" t="s">
        <v>3491</v>
      </c>
      <c r="H1170" s="133" t="s">
        <v>4350</v>
      </c>
      <c r="I1170" s="441" t="s">
        <v>380</v>
      </c>
      <c r="J1170" s="4"/>
      <c r="K1170" s="4" t="s">
        <v>4507</v>
      </c>
      <c r="L1170" s="4"/>
      <c r="M1170" s="103">
        <v>250000</v>
      </c>
      <c r="N1170" s="6"/>
    </row>
    <row r="1171" spans="1:14" ht="27" hidden="1" x14ac:dyDescent="0.3">
      <c r="A1171" s="131">
        <v>53</v>
      </c>
      <c r="B1171" s="521"/>
      <c r="C1171" s="396">
        <v>46020</v>
      </c>
      <c r="D1171" s="4" t="s">
        <v>307</v>
      </c>
      <c r="E1171" s="4" t="s">
        <v>323</v>
      </c>
      <c r="F1171" s="4" t="s">
        <v>308</v>
      </c>
      <c r="G1171" s="207">
        <v>8262</v>
      </c>
      <c r="H1171" s="133" t="s">
        <v>4508</v>
      </c>
      <c r="I1171" s="441" t="s">
        <v>4509</v>
      </c>
      <c r="J1171" s="4"/>
      <c r="K1171" s="4" t="s">
        <v>4510</v>
      </c>
      <c r="L1171" s="4"/>
      <c r="M1171" s="103">
        <v>500000</v>
      </c>
      <c r="N1171" s="6"/>
    </row>
    <row r="1172" spans="1:14" hidden="1" x14ac:dyDescent="0.3">
      <c r="A1172" s="131">
        <v>53</v>
      </c>
      <c r="B1172" s="521"/>
      <c r="C1172" s="396">
        <v>46021</v>
      </c>
      <c r="D1172" s="4" t="s">
        <v>307</v>
      </c>
      <c r="E1172" s="4" t="s">
        <v>323</v>
      </c>
      <c r="F1172" s="4" t="s">
        <v>308</v>
      </c>
      <c r="G1172" s="207" t="s">
        <v>4511</v>
      </c>
      <c r="H1172" s="133" t="s">
        <v>4513</v>
      </c>
      <c r="I1172" s="441" t="s">
        <v>4506</v>
      </c>
      <c r="J1172" s="4"/>
      <c r="K1172" s="4" t="s">
        <v>4514</v>
      </c>
      <c r="L1172" s="4"/>
      <c r="M1172" s="103">
        <v>250000</v>
      </c>
      <c r="N1172" s="6"/>
    </row>
    <row r="1173" spans="1:14" hidden="1" x14ac:dyDescent="0.3">
      <c r="A1173" s="131">
        <v>53</v>
      </c>
      <c r="B1173" s="521"/>
      <c r="C1173" s="448">
        <v>46021</v>
      </c>
      <c r="D1173" s="4" t="s">
        <v>307</v>
      </c>
      <c r="E1173" s="4" t="s">
        <v>323</v>
      </c>
      <c r="F1173" s="4" t="s">
        <v>308</v>
      </c>
      <c r="G1173" s="207">
        <v>8262</v>
      </c>
      <c r="H1173" s="133" t="s">
        <v>4508</v>
      </c>
      <c r="I1173" s="441" t="s">
        <v>4515</v>
      </c>
      <c r="J1173" s="4"/>
      <c r="K1173" s="4" t="s">
        <v>4012</v>
      </c>
      <c r="L1173" s="4"/>
      <c r="M1173" s="103">
        <v>250000</v>
      </c>
      <c r="N1173" s="6"/>
    </row>
    <row r="1174" spans="1:14" hidden="1" x14ac:dyDescent="0.3">
      <c r="A1174" s="131">
        <v>53</v>
      </c>
      <c r="B1174" s="521"/>
      <c r="C1174" s="448">
        <v>46021</v>
      </c>
      <c r="D1174" s="4" t="s">
        <v>307</v>
      </c>
      <c r="E1174" s="4" t="s">
        <v>323</v>
      </c>
      <c r="F1174" s="4" t="s">
        <v>308</v>
      </c>
      <c r="G1174" s="207" t="s">
        <v>4516</v>
      </c>
      <c r="H1174" s="133" t="s">
        <v>4512</v>
      </c>
      <c r="I1174" s="441" t="s">
        <v>4506</v>
      </c>
      <c r="J1174" s="4"/>
      <c r="K1174" s="4" t="s">
        <v>4517</v>
      </c>
      <c r="L1174" s="4"/>
      <c r="M1174" s="103">
        <v>250000</v>
      </c>
      <c r="N1174" s="6"/>
    </row>
    <row r="1175" spans="1:14" ht="27" hidden="1" x14ac:dyDescent="0.3">
      <c r="A1175" s="131">
        <v>53</v>
      </c>
      <c r="B1175" s="521"/>
      <c r="C1175" s="448">
        <v>45659</v>
      </c>
      <c r="D1175" s="4" t="s">
        <v>307</v>
      </c>
      <c r="E1175" s="4" t="s">
        <v>323</v>
      </c>
      <c r="F1175" s="4" t="s">
        <v>308</v>
      </c>
      <c r="G1175" s="207">
        <v>1569</v>
      </c>
      <c r="H1175" s="133" t="s">
        <v>4508</v>
      </c>
      <c r="I1175" s="441" t="s">
        <v>380</v>
      </c>
      <c r="J1175" s="4"/>
      <c r="K1175" s="4" t="s">
        <v>4518</v>
      </c>
      <c r="L1175" s="4"/>
      <c r="M1175" s="103">
        <v>500000</v>
      </c>
      <c r="N1175" s="6"/>
    </row>
    <row r="1176" spans="1:14" hidden="1" x14ac:dyDescent="0.3">
      <c r="A1176" s="131">
        <v>53</v>
      </c>
      <c r="B1176" s="521" t="s">
        <v>4519</v>
      </c>
      <c r="C1176" s="396">
        <v>46020</v>
      </c>
      <c r="D1176" s="4" t="s">
        <v>4519</v>
      </c>
      <c r="E1176" s="4" t="s">
        <v>4520</v>
      </c>
      <c r="F1176" s="34" t="s">
        <v>2140</v>
      </c>
      <c r="G1176" s="34" t="s">
        <v>4521</v>
      </c>
      <c r="H1176" s="17" t="s">
        <v>4014</v>
      </c>
      <c r="I1176" s="207" t="s">
        <v>4522</v>
      </c>
      <c r="J1176" s="34" t="s">
        <v>4523</v>
      </c>
      <c r="K1176" s="207" t="s">
        <v>4507</v>
      </c>
      <c r="L1176" s="133" t="s">
        <v>4524</v>
      </c>
      <c r="M1176" s="437">
        <v>250000</v>
      </c>
      <c r="N1176" s="6" t="s">
        <v>3329</v>
      </c>
    </row>
    <row r="1177" spans="1:14" hidden="1" x14ac:dyDescent="0.3">
      <c r="A1177" s="131">
        <v>53</v>
      </c>
      <c r="B1177" s="521"/>
      <c r="C1177" s="396">
        <v>46020</v>
      </c>
      <c r="D1177" s="4" t="s">
        <v>21</v>
      </c>
      <c r="E1177" s="4" t="s">
        <v>4520</v>
      </c>
      <c r="F1177" s="34" t="s">
        <v>2140</v>
      </c>
      <c r="G1177" s="34" t="s">
        <v>2727</v>
      </c>
      <c r="H1177" s="17" t="s">
        <v>116</v>
      </c>
      <c r="I1177" s="207" t="s">
        <v>4522</v>
      </c>
      <c r="J1177" s="34" t="s">
        <v>121</v>
      </c>
      <c r="K1177" s="207" t="s">
        <v>4408</v>
      </c>
      <c r="L1177" s="133" t="s">
        <v>4524</v>
      </c>
      <c r="M1177" s="437">
        <v>300000</v>
      </c>
      <c r="N1177" s="6" t="s">
        <v>3329</v>
      </c>
    </row>
    <row r="1178" spans="1:14" hidden="1" x14ac:dyDescent="0.3">
      <c r="A1178" s="131">
        <v>53</v>
      </c>
      <c r="B1178" s="521"/>
      <c r="C1178" s="396">
        <v>46020</v>
      </c>
      <c r="D1178" s="4" t="s">
        <v>21</v>
      </c>
      <c r="E1178" s="4" t="s">
        <v>30</v>
      </c>
      <c r="F1178" s="34" t="s">
        <v>383</v>
      </c>
      <c r="G1178" s="34" t="s">
        <v>4525</v>
      </c>
      <c r="H1178" s="17" t="s">
        <v>4526</v>
      </c>
      <c r="I1178" s="207" t="s">
        <v>4527</v>
      </c>
      <c r="J1178" s="34" t="s">
        <v>1958</v>
      </c>
      <c r="K1178" s="207" t="s">
        <v>2850</v>
      </c>
      <c r="L1178" s="133" t="s">
        <v>84</v>
      </c>
      <c r="M1178" s="437">
        <v>250000</v>
      </c>
      <c r="N1178" s="6" t="s">
        <v>1660</v>
      </c>
    </row>
    <row r="1179" spans="1:14" hidden="1" x14ac:dyDescent="0.3">
      <c r="A1179" s="131">
        <v>53</v>
      </c>
      <c r="B1179" s="521"/>
      <c r="C1179" s="396">
        <v>46022</v>
      </c>
      <c r="D1179" s="4" t="s">
        <v>21</v>
      </c>
      <c r="E1179" s="4" t="s">
        <v>4528</v>
      </c>
      <c r="F1179" s="34" t="s">
        <v>101</v>
      </c>
      <c r="G1179" s="34" t="s">
        <v>4529</v>
      </c>
      <c r="H1179" s="17" t="s">
        <v>23</v>
      </c>
      <c r="I1179" s="207" t="s">
        <v>4531</v>
      </c>
      <c r="J1179" s="34" t="s">
        <v>3855</v>
      </c>
      <c r="K1179" s="34" t="s">
        <v>4532</v>
      </c>
      <c r="L1179" s="133" t="s">
        <v>84</v>
      </c>
      <c r="M1179" s="470">
        <v>300000</v>
      </c>
      <c r="N1179" s="6" t="s">
        <v>3329</v>
      </c>
    </row>
    <row r="1180" spans="1:14" hidden="1" x14ac:dyDescent="0.3">
      <c r="A1180" s="131">
        <v>53</v>
      </c>
      <c r="B1180" s="521"/>
      <c r="C1180" s="396">
        <v>46022</v>
      </c>
      <c r="D1180" s="4" t="s">
        <v>21</v>
      </c>
      <c r="E1180" s="4" t="s">
        <v>17</v>
      </c>
      <c r="F1180" s="34" t="s">
        <v>101</v>
      </c>
      <c r="G1180" s="34" t="s">
        <v>2020</v>
      </c>
      <c r="H1180" s="17" t="s">
        <v>4238</v>
      </c>
      <c r="I1180" s="207" t="s">
        <v>4530</v>
      </c>
      <c r="J1180" s="34" t="s">
        <v>121</v>
      </c>
      <c r="K1180" s="34" t="s">
        <v>688</v>
      </c>
      <c r="L1180" s="133" t="s">
        <v>4524</v>
      </c>
      <c r="M1180" s="470">
        <v>250000</v>
      </c>
      <c r="N1180" s="6" t="s">
        <v>3618</v>
      </c>
    </row>
    <row r="1181" spans="1:14" hidden="1" x14ac:dyDescent="0.3">
      <c r="A1181" s="131">
        <v>53</v>
      </c>
      <c r="B1181" s="521"/>
      <c r="C1181" s="396">
        <v>46022</v>
      </c>
      <c r="D1181" s="4" t="s">
        <v>3931</v>
      </c>
      <c r="E1181" s="4" t="s">
        <v>30</v>
      </c>
      <c r="F1181" s="34" t="s">
        <v>1796</v>
      </c>
      <c r="G1181" s="34" t="s">
        <v>4533</v>
      </c>
      <c r="H1181" s="17" t="s">
        <v>4534</v>
      </c>
      <c r="I1181" s="207" t="s">
        <v>4535</v>
      </c>
      <c r="J1181" s="34"/>
      <c r="K1181" s="207" t="s">
        <v>185</v>
      </c>
      <c r="L1181" s="133" t="s">
        <v>84</v>
      </c>
      <c r="M1181" s="470">
        <v>300000</v>
      </c>
      <c r="N1181" s="6" t="s">
        <v>3329</v>
      </c>
    </row>
    <row r="1182" spans="1:14" hidden="1" x14ac:dyDescent="0.3">
      <c r="A1182" s="131">
        <v>53</v>
      </c>
      <c r="B1182" s="521"/>
      <c r="C1182" s="396">
        <v>46022</v>
      </c>
      <c r="D1182" s="4" t="s">
        <v>21</v>
      </c>
      <c r="E1182" s="4" t="s">
        <v>30</v>
      </c>
      <c r="F1182" s="34" t="s">
        <v>4536</v>
      </c>
      <c r="G1182" s="34">
        <v>222003</v>
      </c>
      <c r="H1182" s="17" t="s">
        <v>116</v>
      </c>
      <c r="I1182" s="207" t="s">
        <v>4537</v>
      </c>
      <c r="J1182" s="34"/>
      <c r="K1182" s="207" t="s">
        <v>688</v>
      </c>
      <c r="L1182" s="133" t="s">
        <v>84</v>
      </c>
      <c r="M1182" s="470">
        <v>250000</v>
      </c>
      <c r="N1182" s="6" t="s">
        <v>3794</v>
      </c>
    </row>
    <row r="1183" spans="1:14" hidden="1" x14ac:dyDescent="0.3">
      <c r="A1183" s="131">
        <v>53</v>
      </c>
      <c r="B1183" s="521"/>
      <c r="C1183" s="396">
        <v>46022</v>
      </c>
      <c r="D1183" s="4" t="s">
        <v>21</v>
      </c>
      <c r="E1183" s="4" t="s">
        <v>3733</v>
      </c>
      <c r="F1183" s="34" t="s">
        <v>3470</v>
      </c>
      <c r="G1183" s="207">
        <v>7064</v>
      </c>
      <c r="H1183" s="17" t="s">
        <v>208</v>
      </c>
      <c r="I1183" s="207" t="s">
        <v>3539</v>
      </c>
      <c r="J1183" s="207"/>
      <c r="K1183" s="207" t="s">
        <v>3540</v>
      </c>
      <c r="L1183" s="133" t="s">
        <v>84</v>
      </c>
      <c r="M1183" s="100">
        <v>600000</v>
      </c>
      <c r="N1183" s="6" t="s">
        <v>3329</v>
      </c>
    </row>
    <row r="1184" spans="1:14" hidden="1" x14ac:dyDescent="0.3">
      <c r="A1184" s="131">
        <v>53</v>
      </c>
      <c r="B1184" s="521"/>
      <c r="C1184" s="396">
        <v>46022</v>
      </c>
      <c r="D1184" s="4" t="s">
        <v>4519</v>
      </c>
      <c r="E1184" s="4" t="s">
        <v>4520</v>
      </c>
      <c r="F1184" s="34" t="s">
        <v>3470</v>
      </c>
      <c r="G1184" s="207">
        <v>7064</v>
      </c>
      <c r="H1184" s="17" t="s">
        <v>208</v>
      </c>
      <c r="I1184" s="207" t="s">
        <v>4538</v>
      </c>
      <c r="J1184" s="207"/>
      <c r="K1184" s="207" t="s">
        <v>4012</v>
      </c>
      <c r="L1184" s="133" t="s">
        <v>4524</v>
      </c>
      <c r="M1184" s="100">
        <v>250000</v>
      </c>
      <c r="N1184" s="6" t="s">
        <v>3329</v>
      </c>
    </row>
    <row r="1185" spans="1:14" x14ac:dyDescent="0.3">
      <c r="A1185" s="131">
        <v>53</v>
      </c>
      <c r="B1185" s="521"/>
      <c r="C1185" s="396">
        <v>46024</v>
      </c>
      <c r="D1185" s="4" t="s">
        <v>4519</v>
      </c>
      <c r="E1185" s="4" t="s">
        <v>30</v>
      </c>
      <c r="F1185" s="34" t="s">
        <v>3470</v>
      </c>
      <c r="G1185" s="207">
        <v>7064</v>
      </c>
      <c r="H1185" s="17" t="s">
        <v>208</v>
      </c>
      <c r="I1185" s="207" t="s">
        <v>4539</v>
      </c>
      <c r="J1185" s="207"/>
      <c r="K1185" s="34" t="s">
        <v>185</v>
      </c>
      <c r="L1185" s="133" t="s">
        <v>4524</v>
      </c>
      <c r="M1185" s="470">
        <v>300000</v>
      </c>
      <c r="N1185" s="6" t="s">
        <v>3614</v>
      </c>
    </row>
    <row r="1186" spans="1:14" x14ac:dyDescent="0.3">
      <c r="A1186" s="131">
        <v>53</v>
      </c>
      <c r="B1186" s="521"/>
      <c r="C1186" s="396">
        <v>46024</v>
      </c>
      <c r="D1186" s="4" t="s">
        <v>21</v>
      </c>
      <c r="E1186" s="4" t="s">
        <v>30</v>
      </c>
      <c r="F1186" s="34" t="s">
        <v>4540</v>
      </c>
      <c r="G1186" s="207">
        <v>7064</v>
      </c>
      <c r="H1186" s="17" t="s">
        <v>208</v>
      </c>
      <c r="I1186" s="207" t="s">
        <v>4541</v>
      </c>
      <c r="J1186" s="34"/>
      <c r="K1186" s="34" t="s">
        <v>4408</v>
      </c>
      <c r="L1186" s="133" t="s">
        <v>84</v>
      </c>
      <c r="M1186" s="470">
        <v>300000</v>
      </c>
      <c r="N1186" s="6" t="s">
        <v>3329</v>
      </c>
    </row>
    <row r="1187" spans="1:14" x14ac:dyDescent="0.3">
      <c r="A1187" s="131">
        <v>53</v>
      </c>
      <c r="B1187" s="521"/>
      <c r="C1187" s="396">
        <v>46024</v>
      </c>
      <c r="D1187" s="4" t="s">
        <v>21</v>
      </c>
      <c r="E1187" s="4" t="s">
        <v>30</v>
      </c>
      <c r="F1187" s="34" t="s">
        <v>3470</v>
      </c>
      <c r="G1187" s="207">
        <v>7064</v>
      </c>
      <c r="H1187" s="17" t="s">
        <v>4542</v>
      </c>
      <c r="I1187" s="207" t="s">
        <v>3543</v>
      </c>
      <c r="J1187" s="34"/>
      <c r="K1187" s="34" t="s">
        <v>2850</v>
      </c>
      <c r="L1187" s="133" t="s">
        <v>84</v>
      </c>
      <c r="M1187" s="470">
        <v>250000</v>
      </c>
      <c r="N1187" s="6" t="s">
        <v>3614</v>
      </c>
    </row>
    <row r="1188" spans="1:14" x14ac:dyDescent="0.3">
      <c r="A1188" s="131">
        <v>53</v>
      </c>
      <c r="B1188" s="521"/>
      <c r="C1188" s="396">
        <v>46024</v>
      </c>
      <c r="D1188" s="4" t="s">
        <v>21</v>
      </c>
      <c r="E1188" s="4" t="s">
        <v>30</v>
      </c>
      <c r="F1188" s="34" t="s">
        <v>159</v>
      </c>
      <c r="G1188" s="207">
        <v>222003</v>
      </c>
      <c r="H1188" s="17" t="s">
        <v>4534</v>
      </c>
      <c r="I1188" s="207" t="s">
        <v>4543</v>
      </c>
      <c r="J1188" s="34"/>
      <c r="K1188" s="207" t="s">
        <v>4544</v>
      </c>
      <c r="L1188" s="133" t="s">
        <v>84</v>
      </c>
      <c r="M1188" s="470">
        <v>250000</v>
      </c>
      <c r="N1188" s="6" t="s">
        <v>1660</v>
      </c>
    </row>
  </sheetData>
  <autoFilter ref="A1:S1188">
    <filterColumn colId="2">
      <filters>
        <dateGroupItem year="2026" dateTimeGrouping="year"/>
      </filters>
    </filterColumn>
  </autoFilter>
  <mergeCells count="795">
    <mergeCell ref="B899:B902"/>
    <mergeCell ref="B903:B910"/>
    <mergeCell ref="B911:B916"/>
    <mergeCell ref="B917:B926"/>
    <mergeCell ref="B889:B892"/>
    <mergeCell ref="B885:B888"/>
    <mergeCell ref="B896:B898"/>
    <mergeCell ref="B893:B895"/>
    <mergeCell ref="M878:M879"/>
    <mergeCell ref="N878:N879"/>
    <mergeCell ref="D883:D884"/>
    <mergeCell ref="E883:E884"/>
    <mergeCell ref="F883:F884"/>
    <mergeCell ref="G883:G884"/>
    <mergeCell ref="H883:H884"/>
    <mergeCell ref="I883:I884"/>
    <mergeCell ref="J883:J884"/>
    <mergeCell ref="K883:K884"/>
    <mergeCell ref="L883:L884"/>
    <mergeCell ref="M883:M884"/>
    <mergeCell ref="N883:N884"/>
    <mergeCell ref="D878:D879"/>
    <mergeCell ref="E878:E879"/>
    <mergeCell ref="F878:F879"/>
    <mergeCell ref="G878:G879"/>
    <mergeCell ref="H878:H879"/>
    <mergeCell ref="I878:I879"/>
    <mergeCell ref="J878:J879"/>
    <mergeCell ref="K878:K879"/>
    <mergeCell ref="L878:L879"/>
    <mergeCell ref="M873:M874"/>
    <mergeCell ref="N873:N874"/>
    <mergeCell ref="B856:B868"/>
    <mergeCell ref="C876:C877"/>
    <mergeCell ref="D876:D877"/>
    <mergeCell ref="E876:E877"/>
    <mergeCell ref="F876:F877"/>
    <mergeCell ref="G876:G877"/>
    <mergeCell ref="H876:H877"/>
    <mergeCell ref="J876:J877"/>
    <mergeCell ref="K876:K877"/>
    <mergeCell ref="L876:L877"/>
    <mergeCell ref="M876:M877"/>
    <mergeCell ref="N876:N877"/>
    <mergeCell ref="B869:B874"/>
    <mergeCell ref="B875:B884"/>
    <mergeCell ref="D873:D874"/>
    <mergeCell ref="E873:E874"/>
    <mergeCell ref="F873:F874"/>
    <mergeCell ref="G873:G874"/>
    <mergeCell ref="H873:H874"/>
    <mergeCell ref="I873:I874"/>
    <mergeCell ref="J873:J874"/>
    <mergeCell ref="K873:K874"/>
    <mergeCell ref="L873:L874"/>
    <mergeCell ref="M867:M868"/>
    <mergeCell ref="N867:N868"/>
    <mergeCell ref="B851:B855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L870:L871"/>
    <mergeCell ref="M870:M871"/>
    <mergeCell ref="N870:N871"/>
    <mergeCell ref="C867:C868"/>
    <mergeCell ref="D867:D868"/>
    <mergeCell ref="E867:E868"/>
    <mergeCell ref="F867:F868"/>
    <mergeCell ref="G867:G868"/>
    <mergeCell ref="H867:H868"/>
    <mergeCell ref="J867:J868"/>
    <mergeCell ref="K867:K868"/>
    <mergeCell ref="L867:L868"/>
    <mergeCell ref="M862:M863"/>
    <mergeCell ref="N862:N863"/>
    <mergeCell ref="D864:D865"/>
    <mergeCell ref="E864:E865"/>
    <mergeCell ref="F864:F865"/>
    <mergeCell ref="G864:G865"/>
    <mergeCell ref="H864:H865"/>
    <mergeCell ref="I864:I865"/>
    <mergeCell ref="J864:J865"/>
    <mergeCell ref="K864:K865"/>
    <mergeCell ref="L864:L865"/>
    <mergeCell ref="M864:M865"/>
    <mergeCell ref="N864:N865"/>
    <mergeCell ref="D862:D863"/>
    <mergeCell ref="E862:E863"/>
    <mergeCell ref="F862:F863"/>
    <mergeCell ref="G862:G863"/>
    <mergeCell ref="H862:H863"/>
    <mergeCell ref="I862:I863"/>
    <mergeCell ref="J862:J863"/>
    <mergeCell ref="K862:K863"/>
    <mergeCell ref="L862:L863"/>
    <mergeCell ref="M858:M859"/>
    <mergeCell ref="N858:N859"/>
    <mergeCell ref="C860:C861"/>
    <mergeCell ref="D860:D861"/>
    <mergeCell ref="E860:E861"/>
    <mergeCell ref="F860:F861"/>
    <mergeCell ref="G860:G861"/>
    <mergeCell ref="H860:H861"/>
    <mergeCell ref="J860:J861"/>
    <mergeCell ref="K860:K861"/>
    <mergeCell ref="L860:L861"/>
    <mergeCell ref="M860:M861"/>
    <mergeCell ref="N860:N861"/>
    <mergeCell ref="C858:C859"/>
    <mergeCell ref="D858:D859"/>
    <mergeCell ref="E858:E859"/>
    <mergeCell ref="F858:F859"/>
    <mergeCell ref="H858:H859"/>
    <mergeCell ref="I858:I859"/>
    <mergeCell ref="J858:J859"/>
    <mergeCell ref="K858:K859"/>
    <mergeCell ref="L858:L859"/>
    <mergeCell ref="L853:L854"/>
    <mergeCell ref="M853:M854"/>
    <mergeCell ref="N853:N854"/>
    <mergeCell ref="C856:C857"/>
    <mergeCell ref="D856:D857"/>
    <mergeCell ref="E856:E857"/>
    <mergeCell ref="F856:F857"/>
    <mergeCell ref="G856:G857"/>
    <mergeCell ref="H856:H857"/>
    <mergeCell ref="I856:I857"/>
    <mergeCell ref="J856:J857"/>
    <mergeCell ref="K856:K857"/>
    <mergeCell ref="L856:L857"/>
    <mergeCell ref="M856:M857"/>
    <mergeCell ref="B840:B850"/>
    <mergeCell ref="B835:B839"/>
    <mergeCell ref="D853:D854"/>
    <mergeCell ref="E853:E854"/>
    <mergeCell ref="F853:F854"/>
    <mergeCell ref="G853:G854"/>
    <mergeCell ref="H853:H854"/>
    <mergeCell ref="I853:I854"/>
    <mergeCell ref="J853:J854"/>
    <mergeCell ref="H835:H837"/>
    <mergeCell ref="I835:I837"/>
    <mergeCell ref="J835:J837"/>
    <mergeCell ref="M846:M848"/>
    <mergeCell ref="N846:N848"/>
    <mergeCell ref="D849:D850"/>
    <mergeCell ref="E849:E850"/>
    <mergeCell ref="F849:F850"/>
    <mergeCell ref="G849:G850"/>
    <mergeCell ref="H849:H850"/>
    <mergeCell ref="I849:I850"/>
    <mergeCell ref="J849:J850"/>
    <mergeCell ref="K849:K850"/>
    <mergeCell ref="L849:L850"/>
    <mergeCell ref="M849:M850"/>
    <mergeCell ref="N849:N850"/>
    <mergeCell ref="D846:D848"/>
    <mergeCell ref="E846:E848"/>
    <mergeCell ref="F846:F848"/>
    <mergeCell ref="G846:G848"/>
    <mergeCell ref="H846:H848"/>
    <mergeCell ref="I846:I848"/>
    <mergeCell ref="J846:J848"/>
    <mergeCell ref="K846:K848"/>
    <mergeCell ref="L846:L848"/>
    <mergeCell ref="N840:N841"/>
    <mergeCell ref="D844:D845"/>
    <mergeCell ref="E844:E845"/>
    <mergeCell ref="F844:F845"/>
    <mergeCell ref="G844:G845"/>
    <mergeCell ref="H844:H845"/>
    <mergeCell ref="J844:J845"/>
    <mergeCell ref="K844:K845"/>
    <mergeCell ref="L844:L845"/>
    <mergeCell ref="M844:M845"/>
    <mergeCell ref="N844:N845"/>
    <mergeCell ref="L835:L837"/>
    <mergeCell ref="M835:M837"/>
    <mergeCell ref="D840:D841"/>
    <mergeCell ref="E840:E841"/>
    <mergeCell ref="F840:F841"/>
    <mergeCell ref="G840:G841"/>
    <mergeCell ref="H840:H841"/>
    <mergeCell ref="I840:I841"/>
    <mergeCell ref="J840:J841"/>
    <mergeCell ref="K840:K841"/>
    <mergeCell ref="L840:L841"/>
    <mergeCell ref="M840:M841"/>
    <mergeCell ref="B820:B828"/>
    <mergeCell ref="B829:B834"/>
    <mergeCell ref="D835:D837"/>
    <mergeCell ref="E835:E837"/>
    <mergeCell ref="F835:F837"/>
    <mergeCell ref="G835:G837"/>
    <mergeCell ref="B792:B793"/>
    <mergeCell ref="B794:B796"/>
    <mergeCell ref="B798:B802"/>
    <mergeCell ref="B803:B806"/>
    <mergeCell ref="B807:B809"/>
    <mergeCell ref="B810:B813"/>
    <mergeCell ref="B814:B815"/>
    <mergeCell ref="B816:B819"/>
    <mergeCell ref="B786:B787"/>
    <mergeCell ref="B788:B791"/>
    <mergeCell ref="B761:B763"/>
    <mergeCell ref="B764:B767"/>
    <mergeCell ref="B768:B770"/>
    <mergeCell ref="B771:B773"/>
    <mergeCell ref="B774:B776"/>
    <mergeCell ref="B777:B780"/>
    <mergeCell ref="B782:B785"/>
    <mergeCell ref="B727:B731"/>
    <mergeCell ref="B737:B743"/>
    <mergeCell ref="B744:B745"/>
    <mergeCell ref="B746:B750"/>
    <mergeCell ref="B751:B755"/>
    <mergeCell ref="B756:B759"/>
    <mergeCell ref="N733:N734"/>
    <mergeCell ref="B732:B736"/>
    <mergeCell ref="B702:B704"/>
    <mergeCell ref="B706:B708"/>
    <mergeCell ref="B710:B713"/>
    <mergeCell ref="B714:B715"/>
    <mergeCell ref="B718:B722"/>
    <mergeCell ref="B723:B726"/>
    <mergeCell ref="B716:B717"/>
    <mergeCell ref="M699:M700"/>
    <mergeCell ref="N699:N700"/>
    <mergeCell ref="B695:B701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M693:M694"/>
    <mergeCell ref="N693:N694"/>
    <mergeCell ref="B692:B694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N697:N698"/>
    <mergeCell ref="C693:C694"/>
    <mergeCell ref="D693:D694"/>
    <mergeCell ref="E693:E694"/>
    <mergeCell ref="G693:G694"/>
    <mergeCell ref="H693:H694"/>
    <mergeCell ref="I693:I694"/>
    <mergeCell ref="J693:J694"/>
    <mergeCell ref="K693:K694"/>
    <mergeCell ref="L693:L694"/>
    <mergeCell ref="K687:K688"/>
    <mergeCell ref="L687:L688"/>
    <mergeCell ref="M687:M688"/>
    <mergeCell ref="N687:N688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L690:L691"/>
    <mergeCell ref="M690:M691"/>
    <mergeCell ref="N690:N691"/>
    <mergeCell ref="B678:B682"/>
    <mergeCell ref="B683:B684"/>
    <mergeCell ref="D687:D688"/>
    <mergeCell ref="E687:E688"/>
    <mergeCell ref="F687:F688"/>
    <mergeCell ref="G687:G688"/>
    <mergeCell ref="H687:H688"/>
    <mergeCell ref="I687:I688"/>
    <mergeCell ref="J687:J688"/>
    <mergeCell ref="B685:B691"/>
    <mergeCell ref="B676:B677"/>
    <mergeCell ref="B673:B675"/>
    <mergeCell ref="B628:B630"/>
    <mergeCell ref="B622:B626"/>
    <mergeCell ref="B582:B585"/>
    <mergeCell ref="B586:B589"/>
    <mergeCell ref="B590:B595"/>
    <mergeCell ref="B596:B598"/>
    <mergeCell ref="B599:B601"/>
    <mergeCell ref="B602:B605"/>
    <mergeCell ref="B606:B607"/>
    <mergeCell ref="B609:B611"/>
    <mergeCell ref="B612:B615"/>
    <mergeCell ref="B616:B617"/>
    <mergeCell ref="B618:B621"/>
    <mergeCell ref="B658:B661"/>
    <mergeCell ref="B663:B666"/>
    <mergeCell ref="B668:B671"/>
    <mergeCell ref="B643:B644"/>
    <mergeCell ref="B645:B649"/>
    <mergeCell ref="B650:B652"/>
    <mergeCell ref="B654:B655"/>
    <mergeCell ref="B656:B657"/>
    <mergeCell ref="B632:B634"/>
    <mergeCell ref="B579:B580"/>
    <mergeCell ref="B574:B577"/>
    <mergeCell ref="B565:B567"/>
    <mergeCell ref="B568:B570"/>
    <mergeCell ref="B558:B560"/>
    <mergeCell ref="B561:B564"/>
    <mergeCell ref="B531:B533"/>
    <mergeCell ref="B534:B536"/>
    <mergeCell ref="B537:B541"/>
    <mergeCell ref="B542:B545"/>
    <mergeCell ref="B571:B572"/>
    <mergeCell ref="B501:B504"/>
    <mergeCell ref="B505:B506"/>
    <mergeCell ref="B492:B497"/>
    <mergeCell ref="B498:B500"/>
    <mergeCell ref="B551:B553"/>
    <mergeCell ref="B554:B557"/>
    <mergeCell ref="B546:B549"/>
    <mergeCell ref="B466:B469"/>
    <mergeCell ref="B470:B474"/>
    <mergeCell ref="B475:B478"/>
    <mergeCell ref="B479:B481"/>
    <mergeCell ref="B482:B486"/>
    <mergeCell ref="B487:B491"/>
    <mergeCell ref="B524:B525"/>
    <mergeCell ref="B526:B530"/>
    <mergeCell ref="B507:B510"/>
    <mergeCell ref="B511:B515"/>
    <mergeCell ref="B516:B518"/>
    <mergeCell ref="B519:B523"/>
    <mergeCell ref="B434:B438"/>
    <mergeCell ref="B439:B443"/>
    <mergeCell ref="M424:M425"/>
    <mergeCell ref="B449:B451"/>
    <mergeCell ref="B444:B448"/>
    <mergeCell ref="B427:B431"/>
    <mergeCell ref="B432:B433"/>
    <mergeCell ref="M452:M453"/>
    <mergeCell ref="M459:M460"/>
    <mergeCell ref="L452:L453"/>
    <mergeCell ref="H454:H455"/>
    <mergeCell ref="I454:I455"/>
    <mergeCell ref="J454:J455"/>
    <mergeCell ref="K454:K455"/>
    <mergeCell ref="L454:L455"/>
    <mergeCell ref="M454:M455"/>
    <mergeCell ref="F454:F455"/>
    <mergeCell ref="G454:G455"/>
    <mergeCell ref="F452:F453"/>
    <mergeCell ref="G452:G453"/>
    <mergeCell ref="H452:H453"/>
    <mergeCell ref="I452:I453"/>
    <mergeCell ref="J452:J453"/>
    <mergeCell ref="K452:K453"/>
    <mergeCell ref="M462:M463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9:L460"/>
    <mergeCell ref="H459:H460"/>
    <mergeCell ref="I459:I460"/>
    <mergeCell ref="J459:J460"/>
    <mergeCell ref="K459:K460"/>
    <mergeCell ref="F459:F460"/>
    <mergeCell ref="G459:G460"/>
    <mergeCell ref="E459:E460"/>
    <mergeCell ref="N424:N425"/>
    <mergeCell ref="B415:B418"/>
    <mergeCell ref="B419:B426"/>
    <mergeCell ref="C424:C425"/>
    <mergeCell ref="D424:D425"/>
    <mergeCell ref="E424:E425"/>
    <mergeCell ref="F424:F425"/>
    <mergeCell ref="G424:G425"/>
    <mergeCell ref="H424:H425"/>
    <mergeCell ref="J424:J425"/>
    <mergeCell ref="K424:K425"/>
    <mergeCell ref="L424:L425"/>
    <mergeCell ref="L419:L420"/>
    <mergeCell ref="M419:M420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K421:K422"/>
    <mergeCell ref="L421:L422"/>
    <mergeCell ref="M421:M422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N415:N416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D415:D416"/>
    <mergeCell ref="E415:E416"/>
    <mergeCell ref="F415:F416"/>
    <mergeCell ref="G415:G416"/>
    <mergeCell ref="H415:H416"/>
    <mergeCell ref="I415:I416"/>
    <mergeCell ref="J415:J416"/>
    <mergeCell ref="L415:L416"/>
    <mergeCell ref="M415:M416"/>
    <mergeCell ref="M413:M414"/>
    <mergeCell ref="N413:N414"/>
    <mergeCell ref="B403:B409"/>
    <mergeCell ref="B410:B414"/>
    <mergeCell ref="C413:C414"/>
    <mergeCell ref="D413:D414"/>
    <mergeCell ref="E413:E414"/>
    <mergeCell ref="F413:F414"/>
    <mergeCell ref="G413:G414"/>
    <mergeCell ref="H413:H414"/>
    <mergeCell ref="J413:J414"/>
    <mergeCell ref="K413:K414"/>
    <mergeCell ref="L413:L414"/>
    <mergeCell ref="M408:M409"/>
    <mergeCell ref="N408:N409"/>
    <mergeCell ref="C410:C411"/>
    <mergeCell ref="D410:D411"/>
    <mergeCell ref="E410:E411"/>
    <mergeCell ref="F410:F411"/>
    <mergeCell ref="G410:G411"/>
    <mergeCell ref="H410:H411"/>
    <mergeCell ref="J410:J411"/>
    <mergeCell ref="K410:K411"/>
    <mergeCell ref="L410:L411"/>
    <mergeCell ref="K403:K404"/>
    <mergeCell ref="L403:L404"/>
    <mergeCell ref="M410:M411"/>
    <mergeCell ref="N410:N411"/>
    <mergeCell ref="D408:D409"/>
    <mergeCell ref="E408:E409"/>
    <mergeCell ref="F408:F409"/>
    <mergeCell ref="G408:G409"/>
    <mergeCell ref="H408:H409"/>
    <mergeCell ref="I408:I409"/>
    <mergeCell ref="J408:J409"/>
    <mergeCell ref="K408:K409"/>
    <mergeCell ref="L408:L409"/>
    <mergeCell ref="M117:M119"/>
    <mergeCell ref="J123:J125"/>
    <mergeCell ref="K123:K125"/>
    <mergeCell ref="M123:M125"/>
    <mergeCell ref="N117:N119"/>
    <mergeCell ref="D148:D149"/>
    <mergeCell ref="E148:E149"/>
    <mergeCell ref="N141:N142"/>
    <mergeCell ref="C135:C138"/>
    <mergeCell ref="C117:C120"/>
    <mergeCell ref="K117:K119"/>
    <mergeCell ref="E146:E147"/>
    <mergeCell ref="J117:J119"/>
    <mergeCell ref="C130:C131"/>
    <mergeCell ref="C132:C133"/>
    <mergeCell ref="D146:D147"/>
    <mergeCell ref="C140:C141"/>
    <mergeCell ref="B268:B270"/>
    <mergeCell ref="C268:C270"/>
    <mergeCell ref="B393:B395"/>
    <mergeCell ref="B396:B402"/>
    <mergeCell ref="B385:B388"/>
    <mergeCell ref="B389:B392"/>
    <mergeCell ref="N153:N155"/>
    <mergeCell ref="C154:C155"/>
    <mergeCell ref="C156:C157"/>
    <mergeCell ref="N156:N161"/>
    <mergeCell ref="B271:B277"/>
    <mergeCell ref="C271:C273"/>
    <mergeCell ref="C275:C276"/>
    <mergeCell ref="C293:C294"/>
    <mergeCell ref="B299:B301"/>
    <mergeCell ref="C158:C159"/>
    <mergeCell ref="M181:M182"/>
    <mergeCell ref="B171:B175"/>
    <mergeCell ref="B176:B179"/>
    <mergeCell ref="C178:C179"/>
    <mergeCell ref="B180:B184"/>
    <mergeCell ref="C181:C183"/>
    <mergeCell ref="J181:J182"/>
    <mergeCell ref="B189:B191"/>
    <mergeCell ref="B114:B116"/>
    <mergeCell ref="C115:C116"/>
    <mergeCell ref="C93:C95"/>
    <mergeCell ref="B99:B103"/>
    <mergeCell ref="C99:C100"/>
    <mergeCell ref="B80:B81"/>
    <mergeCell ref="B82:B89"/>
    <mergeCell ref="C83:C84"/>
    <mergeCell ref="C85:C86"/>
    <mergeCell ref="B90:B91"/>
    <mergeCell ref="B104:B107"/>
    <mergeCell ref="B108:B109"/>
    <mergeCell ref="B110:B113"/>
    <mergeCell ref="A1:A2"/>
    <mergeCell ref="B6:B7"/>
    <mergeCell ref="B8:B17"/>
    <mergeCell ref="C9:C10"/>
    <mergeCell ref="C12:C14"/>
    <mergeCell ref="C15:C16"/>
    <mergeCell ref="B3:B5"/>
    <mergeCell ref="B163:B166"/>
    <mergeCell ref="B18:B19"/>
    <mergeCell ref="B20:B21"/>
    <mergeCell ref="B35:B36"/>
    <mergeCell ref="C35:C36"/>
    <mergeCell ref="B30:B34"/>
    <mergeCell ref="C32:C33"/>
    <mergeCell ref="B37:B38"/>
    <mergeCell ref="C37:C38"/>
    <mergeCell ref="B150:B152"/>
    <mergeCell ref="B72:B76"/>
    <mergeCell ref="B139:B142"/>
    <mergeCell ref="C110:C111"/>
    <mergeCell ref="C112:C113"/>
    <mergeCell ref="B127:B134"/>
    <mergeCell ref="B153:B162"/>
    <mergeCell ref="B135:B138"/>
    <mergeCell ref="M1:M2"/>
    <mergeCell ref="N1:N2"/>
    <mergeCell ref="B1:B2"/>
    <mergeCell ref="C1:C2"/>
    <mergeCell ref="D1:D2"/>
    <mergeCell ref="E1:E2"/>
    <mergeCell ref="G1:G2"/>
    <mergeCell ref="H1:H2"/>
    <mergeCell ref="I1:I2"/>
    <mergeCell ref="J1:J2"/>
    <mergeCell ref="K1:K2"/>
    <mergeCell ref="L1:L2"/>
    <mergeCell ref="N22:N23"/>
    <mergeCell ref="B24:B27"/>
    <mergeCell ref="C24:C25"/>
    <mergeCell ref="J24:J25"/>
    <mergeCell ref="K24:K25"/>
    <mergeCell ref="B63:B65"/>
    <mergeCell ref="B67:B71"/>
    <mergeCell ref="B92:B97"/>
    <mergeCell ref="C67:C69"/>
    <mergeCell ref="K67:K68"/>
    <mergeCell ref="M24:M25"/>
    <mergeCell ref="C26:C27"/>
    <mergeCell ref="J26:J27"/>
    <mergeCell ref="B59:B61"/>
    <mergeCell ref="B55:B56"/>
    <mergeCell ref="B44:B47"/>
    <mergeCell ref="C45:C46"/>
    <mergeCell ref="B49:B52"/>
    <mergeCell ref="C40:C41"/>
    <mergeCell ref="B39:B42"/>
    <mergeCell ref="B77:B79"/>
    <mergeCell ref="M67:M68"/>
    <mergeCell ref="B146:B147"/>
    <mergeCell ref="C146:C147"/>
    <mergeCell ref="B117:B120"/>
    <mergeCell ref="B122:B126"/>
    <mergeCell ref="C122:C126"/>
    <mergeCell ref="B148:B149"/>
    <mergeCell ref="K181:K182"/>
    <mergeCell ref="B167:B170"/>
    <mergeCell ref="C167:C170"/>
    <mergeCell ref="C148:C149"/>
    <mergeCell ref="B144:B145"/>
    <mergeCell ref="B185:B188"/>
    <mergeCell ref="C187:C188"/>
    <mergeCell ref="B200:B203"/>
    <mergeCell ref="C200:C201"/>
    <mergeCell ref="C202:C203"/>
    <mergeCell ref="B204:B206"/>
    <mergeCell ref="B192:B194"/>
    <mergeCell ref="C192:C193"/>
    <mergeCell ref="B195:B199"/>
    <mergeCell ref="C196:C197"/>
    <mergeCell ref="C198:C199"/>
    <mergeCell ref="N249:N250"/>
    <mergeCell ref="B251:B254"/>
    <mergeCell ref="B212:B214"/>
    <mergeCell ref="B215:B217"/>
    <mergeCell ref="B207:B209"/>
    <mergeCell ref="C207:C208"/>
    <mergeCell ref="B210:B211"/>
    <mergeCell ref="N225:N227"/>
    <mergeCell ref="B240:B242"/>
    <mergeCell ref="B228:B229"/>
    <mergeCell ref="B230:B233"/>
    <mergeCell ref="B234:B235"/>
    <mergeCell ref="B236:B238"/>
    <mergeCell ref="B218:B220"/>
    <mergeCell ref="C218:C219"/>
    <mergeCell ref="B221:B223"/>
    <mergeCell ref="B224:B227"/>
    <mergeCell ref="B244:B245"/>
    <mergeCell ref="B246:B247"/>
    <mergeCell ref="B248:B250"/>
    <mergeCell ref="C249:C250"/>
    <mergeCell ref="N261:N262"/>
    <mergeCell ref="B255:B257"/>
    <mergeCell ref="C256:C257"/>
    <mergeCell ref="N256:N257"/>
    <mergeCell ref="B258:B259"/>
    <mergeCell ref="B263:B267"/>
    <mergeCell ref="C263:C267"/>
    <mergeCell ref="B260:B262"/>
    <mergeCell ref="K291:K292"/>
    <mergeCell ref="M291:M292"/>
    <mergeCell ref="C279:C280"/>
    <mergeCell ref="C281:C282"/>
    <mergeCell ref="C283:C284"/>
    <mergeCell ref="C287:C288"/>
    <mergeCell ref="C289:C290"/>
    <mergeCell ref="C291:C292"/>
    <mergeCell ref="J291:J292"/>
    <mergeCell ref="J283:J284"/>
    <mergeCell ref="K283:K284"/>
    <mergeCell ref="A278:N278"/>
    <mergeCell ref="B279:B280"/>
    <mergeCell ref="B281:B286"/>
    <mergeCell ref="B287:B288"/>
    <mergeCell ref="B289:B295"/>
    <mergeCell ref="C296:C298"/>
    <mergeCell ref="B296:B298"/>
    <mergeCell ref="C302:C306"/>
    <mergeCell ref="B302:B306"/>
    <mergeCell ref="B324:B328"/>
    <mergeCell ref="B329:B331"/>
    <mergeCell ref="C329:C331"/>
    <mergeCell ref="B332:B333"/>
    <mergeCell ref="B316:B318"/>
    <mergeCell ref="C316:C318"/>
    <mergeCell ref="B319:B321"/>
    <mergeCell ref="C322:C323"/>
    <mergeCell ref="B322:B323"/>
    <mergeCell ref="B308:B309"/>
    <mergeCell ref="C308:C309"/>
    <mergeCell ref="B310:B312"/>
    <mergeCell ref="B313:B314"/>
    <mergeCell ref="C313:C314"/>
    <mergeCell ref="B369:B372"/>
    <mergeCell ref="B373:B374"/>
    <mergeCell ref="B334:B337"/>
    <mergeCell ref="C334:C337"/>
    <mergeCell ref="B338:B341"/>
    <mergeCell ref="K377:K378"/>
    <mergeCell ref="B351:B355"/>
    <mergeCell ref="B356:B359"/>
    <mergeCell ref="B360:B362"/>
    <mergeCell ref="B363:B368"/>
    <mergeCell ref="B345:B350"/>
    <mergeCell ref="C349:C350"/>
    <mergeCell ref="B342:B344"/>
    <mergeCell ref="C342:C343"/>
    <mergeCell ref="I377:I378"/>
    <mergeCell ref="N377:N378"/>
    <mergeCell ref="B375:B378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D377:D378"/>
    <mergeCell ref="E377:E378"/>
    <mergeCell ref="F377:F378"/>
    <mergeCell ref="G377:G378"/>
    <mergeCell ref="H377:H378"/>
    <mergeCell ref="J377:J378"/>
    <mergeCell ref="L377:L378"/>
    <mergeCell ref="M377:M378"/>
    <mergeCell ref="D452:D453"/>
    <mergeCell ref="E452:E453"/>
    <mergeCell ref="B379:B382"/>
    <mergeCell ref="B383:B384"/>
    <mergeCell ref="M403:M404"/>
    <mergeCell ref="N403:N404"/>
    <mergeCell ref="D406:D407"/>
    <mergeCell ref="E406:E407"/>
    <mergeCell ref="F406:F407"/>
    <mergeCell ref="G406:G407"/>
    <mergeCell ref="H406:H407"/>
    <mergeCell ref="I406:I407"/>
    <mergeCell ref="J406:J407"/>
    <mergeCell ref="K406:K407"/>
    <mergeCell ref="L406:L407"/>
    <mergeCell ref="M406:M407"/>
    <mergeCell ref="N406:N407"/>
    <mergeCell ref="D403:D404"/>
    <mergeCell ref="E403:E404"/>
    <mergeCell ref="F403:F404"/>
    <mergeCell ref="G403:G404"/>
    <mergeCell ref="H403:H404"/>
    <mergeCell ref="I403:I404"/>
    <mergeCell ref="J403:J404"/>
    <mergeCell ref="B635:B637"/>
    <mergeCell ref="B638:B639"/>
    <mergeCell ref="B640:B642"/>
    <mergeCell ref="N459:N460"/>
    <mergeCell ref="L457:L458"/>
    <mergeCell ref="N462:N463"/>
    <mergeCell ref="B452:B460"/>
    <mergeCell ref="B461:B465"/>
    <mergeCell ref="C462:C463"/>
    <mergeCell ref="D462:D463"/>
    <mergeCell ref="E462:E463"/>
    <mergeCell ref="F462:F463"/>
    <mergeCell ref="G462:G463"/>
    <mergeCell ref="H462:H463"/>
    <mergeCell ref="J462:J463"/>
    <mergeCell ref="K462:K463"/>
    <mergeCell ref="L462:L463"/>
    <mergeCell ref="M457:M458"/>
    <mergeCell ref="N457:N458"/>
    <mergeCell ref="D459:D460"/>
    <mergeCell ref="N452:N453"/>
    <mergeCell ref="D454:D455"/>
    <mergeCell ref="E454:E455"/>
    <mergeCell ref="N454:N455"/>
    <mergeCell ref="B927:B931"/>
    <mergeCell ref="B932:B938"/>
    <mergeCell ref="B939:B942"/>
    <mergeCell ref="B943:B953"/>
    <mergeCell ref="B954:B955"/>
    <mergeCell ref="B956:B964"/>
    <mergeCell ref="B965:B967"/>
    <mergeCell ref="B968:B975"/>
    <mergeCell ref="B976:B978"/>
    <mergeCell ref="B979:B984"/>
    <mergeCell ref="B985:B986"/>
    <mergeCell ref="B987:B988"/>
    <mergeCell ref="B989:B992"/>
    <mergeCell ref="B993:B995"/>
    <mergeCell ref="B996:B998"/>
    <mergeCell ref="B999:B1005"/>
    <mergeCell ref="B1006:B1010"/>
    <mergeCell ref="B1011:B1021"/>
    <mergeCell ref="B1022:B1027"/>
    <mergeCell ref="B1028:B1035"/>
    <mergeCell ref="B1036:B1039"/>
    <mergeCell ref="B1040:B1048"/>
    <mergeCell ref="B1049:B1053"/>
    <mergeCell ref="B1054:B1071"/>
    <mergeCell ref="B1072:B1074"/>
    <mergeCell ref="B1075:B1090"/>
    <mergeCell ref="B1091:B1099"/>
    <mergeCell ref="B1169:B1175"/>
    <mergeCell ref="B1176:B1188"/>
    <mergeCell ref="B1100:B1114"/>
    <mergeCell ref="B1115:B1119"/>
    <mergeCell ref="B1120:B1131"/>
    <mergeCell ref="B1132:B1137"/>
    <mergeCell ref="B1138:B1149"/>
    <mergeCell ref="B1150:B1156"/>
    <mergeCell ref="B1157:B1168"/>
  </mergeCells>
  <phoneticPr fontId="2" type="noConversion"/>
  <pageMargins left="0.7" right="0.7" top="0.75" bottom="0.75" header="0.3" footer="0.3"/>
  <pageSetup paperSize="9" scale="77" orientation="landscape" horizontalDpi="4294967292" r:id="rId1"/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N627"/>
  <sheetViews>
    <sheetView topLeftCell="A121" zoomScale="115" zoomScaleNormal="115" workbookViewId="0">
      <selection activeCell="D188" sqref="D188"/>
    </sheetView>
  </sheetViews>
  <sheetFormatPr defaultRowHeight="16.5" x14ac:dyDescent="0.3"/>
  <cols>
    <col min="1" max="1" width="11.25" customWidth="1"/>
    <col min="2" max="2" width="9.75" bestFit="1" customWidth="1"/>
    <col min="6" max="6" width="11.875" customWidth="1"/>
    <col min="8" max="8" width="35.875" customWidth="1"/>
    <col min="11" max="11" width="18.375" customWidth="1"/>
    <col min="12" max="12" width="10.875" style="238" bestFit="1" customWidth="1"/>
    <col min="14" max="14" width="9.875" bestFit="1" customWidth="1"/>
  </cols>
  <sheetData>
    <row r="4" spans="1:12" ht="27" x14ac:dyDescent="0.3">
      <c r="A4" s="20" t="s">
        <v>43</v>
      </c>
      <c r="B4" s="20" t="s">
        <v>44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2" t="s">
        <v>45</v>
      </c>
      <c r="I4" s="21" t="s">
        <v>16</v>
      </c>
      <c r="J4" s="23" t="s">
        <v>46</v>
      </c>
      <c r="K4" s="24" t="s">
        <v>47</v>
      </c>
      <c r="L4" s="24" t="s">
        <v>48</v>
      </c>
    </row>
    <row r="5" spans="1:12" x14ac:dyDescent="0.3">
      <c r="A5" s="667" t="s">
        <v>741</v>
      </c>
      <c r="B5" s="62">
        <v>45134</v>
      </c>
      <c r="C5" s="3" t="s">
        <v>220</v>
      </c>
      <c r="D5" s="14" t="s">
        <v>299</v>
      </c>
      <c r="E5" s="3" t="s">
        <v>20</v>
      </c>
      <c r="F5" s="3" t="s">
        <v>891</v>
      </c>
      <c r="G5" s="3" t="s">
        <v>854</v>
      </c>
      <c r="H5" s="9" t="s">
        <v>892</v>
      </c>
      <c r="I5" s="42" t="s">
        <v>893</v>
      </c>
      <c r="J5" s="26">
        <v>2</v>
      </c>
      <c r="K5" s="26" t="s">
        <v>50</v>
      </c>
      <c r="L5" s="26" t="s">
        <v>51</v>
      </c>
    </row>
    <row r="6" spans="1:12" x14ac:dyDescent="0.3">
      <c r="A6" s="677"/>
      <c r="B6" s="62">
        <v>45135</v>
      </c>
      <c r="C6" s="3" t="s">
        <v>19</v>
      </c>
      <c r="D6" s="14" t="s">
        <v>300</v>
      </c>
      <c r="E6" s="3" t="s">
        <v>20</v>
      </c>
      <c r="F6" s="3" t="s">
        <v>891</v>
      </c>
      <c r="G6" s="3" t="s">
        <v>854</v>
      </c>
      <c r="H6" s="9" t="s">
        <v>892</v>
      </c>
      <c r="I6" s="42" t="s">
        <v>893</v>
      </c>
      <c r="J6" s="26">
        <v>2</v>
      </c>
      <c r="K6" s="26" t="s">
        <v>50</v>
      </c>
      <c r="L6" s="26" t="s">
        <v>51</v>
      </c>
    </row>
    <row r="7" spans="1:12" x14ac:dyDescent="0.3">
      <c r="A7" s="677"/>
      <c r="B7" s="62">
        <v>45138</v>
      </c>
      <c r="C7" s="3" t="s">
        <v>19</v>
      </c>
      <c r="D7" s="14" t="s">
        <v>300</v>
      </c>
      <c r="E7" s="3" t="s">
        <v>20</v>
      </c>
      <c r="F7" s="3" t="s">
        <v>894</v>
      </c>
      <c r="G7" s="3" t="s">
        <v>895</v>
      </c>
      <c r="H7" s="9" t="s">
        <v>892</v>
      </c>
      <c r="I7" s="42" t="s">
        <v>893</v>
      </c>
      <c r="J7" s="26">
        <v>2</v>
      </c>
      <c r="K7" s="26" t="s">
        <v>50</v>
      </c>
      <c r="L7" s="26" t="s">
        <v>51</v>
      </c>
    </row>
    <row r="8" spans="1:12" x14ac:dyDescent="0.3">
      <c r="A8" s="677"/>
      <c r="B8" s="62">
        <v>45139</v>
      </c>
      <c r="C8" s="3" t="s">
        <v>19</v>
      </c>
      <c r="D8" s="14" t="s">
        <v>300</v>
      </c>
      <c r="E8" s="3" t="s">
        <v>20</v>
      </c>
      <c r="F8" s="3" t="s">
        <v>894</v>
      </c>
      <c r="G8" s="3" t="s">
        <v>895</v>
      </c>
      <c r="H8" s="9" t="s">
        <v>892</v>
      </c>
      <c r="I8" s="42" t="s">
        <v>893</v>
      </c>
      <c r="J8" s="26">
        <v>2</v>
      </c>
      <c r="K8" s="26" t="s">
        <v>50</v>
      </c>
      <c r="L8" s="26" t="s">
        <v>51</v>
      </c>
    </row>
    <row r="9" spans="1:12" ht="16.5" customHeight="1" x14ac:dyDescent="0.3">
      <c r="A9" s="677"/>
      <c r="B9" s="62">
        <v>45145</v>
      </c>
      <c r="C9" s="3" t="s">
        <v>19</v>
      </c>
      <c r="D9" s="14" t="s">
        <v>300</v>
      </c>
      <c r="E9" s="3" t="s">
        <v>20</v>
      </c>
      <c r="F9" s="3" t="s">
        <v>891</v>
      </c>
      <c r="G9" s="3" t="s">
        <v>854</v>
      </c>
      <c r="H9" s="9" t="s">
        <v>892</v>
      </c>
      <c r="I9" s="42" t="s">
        <v>893</v>
      </c>
      <c r="J9" s="26">
        <v>2</v>
      </c>
      <c r="K9" s="26" t="s">
        <v>50</v>
      </c>
      <c r="L9" s="26" t="s">
        <v>51</v>
      </c>
    </row>
    <row r="10" spans="1:12" x14ac:dyDescent="0.3">
      <c r="A10" s="677"/>
      <c r="B10" s="62">
        <v>45146</v>
      </c>
      <c r="C10" s="3" t="s">
        <v>19</v>
      </c>
      <c r="D10" s="14" t="s">
        <v>300</v>
      </c>
      <c r="E10" s="3" t="s">
        <v>20</v>
      </c>
      <c r="F10" s="3" t="s">
        <v>894</v>
      </c>
      <c r="G10" s="3" t="s">
        <v>895</v>
      </c>
      <c r="H10" s="9" t="s">
        <v>892</v>
      </c>
      <c r="I10" s="42" t="s">
        <v>893</v>
      </c>
      <c r="J10" s="26">
        <v>2</v>
      </c>
      <c r="K10" s="26" t="s">
        <v>50</v>
      </c>
      <c r="L10" s="26" t="s">
        <v>51</v>
      </c>
    </row>
    <row r="11" spans="1:12" x14ac:dyDescent="0.3">
      <c r="A11" s="677"/>
      <c r="B11" s="62">
        <v>45147</v>
      </c>
      <c r="C11" s="3" t="s">
        <v>19</v>
      </c>
      <c r="D11" s="14" t="s">
        <v>300</v>
      </c>
      <c r="E11" s="3" t="s">
        <v>20</v>
      </c>
      <c r="F11" s="3">
        <v>4209</v>
      </c>
      <c r="G11" s="3" t="s">
        <v>852</v>
      </c>
      <c r="H11" s="9" t="s">
        <v>892</v>
      </c>
      <c r="I11" s="42" t="s">
        <v>893</v>
      </c>
      <c r="J11" s="26">
        <v>2</v>
      </c>
      <c r="K11" s="26" t="s">
        <v>50</v>
      </c>
      <c r="L11" s="26" t="s">
        <v>51</v>
      </c>
    </row>
    <row r="12" spans="1:12" x14ac:dyDescent="0.3">
      <c r="A12" s="677"/>
      <c r="B12" s="62">
        <v>45149</v>
      </c>
      <c r="C12" s="3" t="s">
        <v>19</v>
      </c>
      <c r="D12" s="14" t="s">
        <v>25</v>
      </c>
      <c r="E12" s="3" t="s">
        <v>20</v>
      </c>
      <c r="F12" s="15">
        <v>2579</v>
      </c>
      <c r="G12" s="3" t="s">
        <v>896</v>
      </c>
      <c r="H12" s="9" t="s">
        <v>892</v>
      </c>
      <c r="I12" s="42" t="s">
        <v>893</v>
      </c>
      <c r="J12" s="26">
        <v>1</v>
      </c>
      <c r="K12" s="26" t="s">
        <v>50</v>
      </c>
      <c r="L12" s="26" t="s">
        <v>51</v>
      </c>
    </row>
    <row r="13" spans="1:12" x14ac:dyDescent="0.3">
      <c r="A13" s="677"/>
      <c r="B13" s="62">
        <v>45150</v>
      </c>
      <c r="C13" s="3" t="s">
        <v>19</v>
      </c>
      <c r="D13" s="14" t="s">
        <v>25</v>
      </c>
      <c r="E13" s="3" t="s">
        <v>20</v>
      </c>
      <c r="F13" s="15">
        <v>2579</v>
      </c>
      <c r="G13" s="3" t="s">
        <v>896</v>
      </c>
      <c r="H13" s="9" t="s">
        <v>892</v>
      </c>
      <c r="I13" s="42" t="s">
        <v>893</v>
      </c>
      <c r="J13" s="26">
        <v>2</v>
      </c>
      <c r="K13" s="26" t="s">
        <v>50</v>
      </c>
      <c r="L13" s="26" t="s">
        <v>51</v>
      </c>
    </row>
    <row r="14" spans="1:12" x14ac:dyDescent="0.3">
      <c r="A14" s="677"/>
      <c r="B14" s="62">
        <v>45154</v>
      </c>
      <c r="C14" s="3" t="s">
        <v>19</v>
      </c>
      <c r="D14" s="14" t="s">
        <v>25</v>
      </c>
      <c r="E14" s="3" t="s">
        <v>20</v>
      </c>
      <c r="F14" s="3" t="s">
        <v>894</v>
      </c>
      <c r="G14" s="3" t="s">
        <v>895</v>
      </c>
      <c r="H14" s="9" t="s">
        <v>892</v>
      </c>
      <c r="I14" s="42" t="s">
        <v>893</v>
      </c>
      <c r="J14" s="26">
        <v>2</v>
      </c>
      <c r="K14" s="26" t="s">
        <v>50</v>
      </c>
      <c r="L14" s="26" t="s">
        <v>51</v>
      </c>
    </row>
    <row r="15" spans="1:12" x14ac:dyDescent="0.3">
      <c r="A15" s="677"/>
      <c r="B15" s="62">
        <v>45155</v>
      </c>
      <c r="C15" s="3" t="s">
        <v>19</v>
      </c>
      <c r="D15" s="14" t="s">
        <v>25</v>
      </c>
      <c r="E15" s="3" t="s">
        <v>20</v>
      </c>
      <c r="F15" s="3" t="s">
        <v>891</v>
      </c>
      <c r="G15" s="3" t="s">
        <v>854</v>
      </c>
      <c r="H15" s="9" t="s">
        <v>892</v>
      </c>
      <c r="I15" s="42" t="s">
        <v>893</v>
      </c>
      <c r="J15" s="26">
        <v>2</v>
      </c>
      <c r="K15" s="26" t="s">
        <v>50</v>
      </c>
      <c r="L15" s="26" t="s">
        <v>51</v>
      </c>
    </row>
    <row r="16" spans="1:12" x14ac:dyDescent="0.3">
      <c r="A16" s="677"/>
      <c r="B16" s="62">
        <v>45156</v>
      </c>
      <c r="C16" s="3" t="s">
        <v>19</v>
      </c>
      <c r="D16" s="14" t="s">
        <v>25</v>
      </c>
      <c r="E16" s="3" t="s">
        <v>20</v>
      </c>
      <c r="F16" s="15">
        <v>2579</v>
      </c>
      <c r="G16" s="3" t="s">
        <v>896</v>
      </c>
      <c r="H16" s="9" t="s">
        <v>892</v>
      </c>
      <c r="I16" s="42" t="s">
        <v>893</v>
      </c>
      <c r="J16" s="26">
        <v>2</v>
      </c>
      <c r="K16" s="26" t="s">
        <v>50</v>
      </c>
      <c r="L16" s="26" t="s">
        <v>51</v>
      </c>
    </row>
    <row r="17" spans="1:12" x14ac:dyDescent="0.3">
      <c r="A17" s="677"/>
      <c r="B17" s="62">
        <v>45157</v>
      </c>
      <c r="C17" s="3" t="s">
        <v>19</v>
      </c>
      <c r="D17" s="14" t="s">
        <v>25</v>
      </c>
      <c r="E17" s="3" t="s">
        <v>20</v>
      </c>
      <c r="F17" s="15">
        <v>2579</v>
      </c>
      <c r="G17" s="3" t="s">
        <v>896</v>
      </c>
      <c r="H17" s="9" t="s">
        <v>892</v>
      </c>
      <c r="I17" s="42" t="s">
        <v>893</v>
      </c>
      <c r="J17" s="26">
        <v>2</v>
      </c>
      <c r="K17" s="26" t="s">
        <v>50</v>
      </c>
      <c r="L17" s="26" t="s">
        <v>51</v>
      </c>
    </row>
    <row r="18" spans="1:12" x14ac:dyDescent="0.3">
      <c r="A18" s="677"/>
      <c r="B18" s="62">
        <v>45159</v>
      </c>
      <c r="C18" s="3" t="s">
        <v>19</v>
      </c>
      <c r="D18" s="14" t="s">
        <v>25</v>
      </c>
      <c r="E18" s="3" t="s">
        <v>20</v>
      </c>
      <c r="F18" s="3">
        <v>4209</v>
      </c>
      <c r="G18" s="3" t="s">
        <v>852</v>
      </c>
      <c r="H18" s="9" t="s">
        <v>892</v>
      </c>
      <c r="I18" s="42" t="s">
        <v>893</v>
      </c>
      <c r="J18" s="26">
        <v>2</v>
      </c>
      <c r="K18" s="26" t="s">
        <v>50</v>
      </c>
      <c r="L18" s="26" t="s">
        <v>51</v>
      </c>
    </row>
    <row r="19" spans="1:12" x14ac:dyDescent="0.3">
      <c r="A19" s="677"/>
      <c r="B19" s="62">
        <v>45160</v>
      </c>
      <c r="C19" s="3" t="s">
        <v>19</v>
      </c>
      <c r="D19" s="14" t="s">
        <v>25</v>
      </c>
      <c r="E19" s="3" t="s">
        <v>20</v>
      </c>
      <c r="F19" s="3">
        <v>4209</v>
      </c>
      <c r="G19" s="3" t="s">
        <v>852</v>
      </c>
      <c r="H19" s="9" t="s">
        <v>892</v>
      </c>
      <c r="I19" s="42" t="s">
        <v>893</v>
      </c>
      <c r="J19" s="26">
        <v>2</v>
      </c>
      <c r="K19" s="26" t="s">
        <v>50</v>
      </c>
      <c r="L19" s="26" t="s">
        <v>51</v>
      </c>
    </row>
    <row r="20" spans="1:12" x14ac:dyDescent="0.3">
      <c r="A20" s="668"/>
      <c r="B20" s="62">
        <v>45161</v>
      </c>
      <c r="C20" s="3" t="s">
        <v>19</v>
      </c>
      <c r="D20" s="14" t="s">
        <v>300</v>
      </c>
      <c r="E20" s="3" t="s">
        <v>20</v>
      </c>
      <c r="F20" s="3">
        <v>4209</v>
      </c>
      <c r="G20" s="3" t="s">
        <v>852</v>
      </c>
      <c r="H20" s="9" t="s">
        <v>892</v>
      </c>
      <c r="I20" s="42" t="s">
        <v>893</v>
      </c>
      <c r="J20" s="26">
        <v>2</v>
      </c>
      <c r="K20" s="26" t="s">
        <v>50</v>
      </c>
      <c r="L20" s="26" t="s">
        <v>51</v>
      </c>
    </row>
    <row r="21" spans="1:12" x14ac:dyDescent="0.3">
      <c r="A21" s="661" t="s">
        <v>53</v>
      </c>
      <c r="B21" s="661"/>
      <c r="C21" s="661"/>
      <c r="D21" s="661"/>
      <c r="E21" s="661"/>
      <c r="F21" s="661"/>
      <c r="G21" s="661"/>
      <c r="H21" s="661"/>
      <c r="I21" s="661"/>
      <c r="J21" s="26">
        <f>SUM(J5:J20)</f>
        <v>31</v>
      </c>
      <c r="K21" s="27"/>
      <c r="L21" s="59"/>
    </row>
    <row r="24" spans="1:12" ht="27" x14ac:dyDescent="0.3">
      <c r="A24" s="20" t="s">
        <v>43</v>
      </c>
      <c r="B24" s="20" t="s">
        <v>44</v>
      </c>
      <c r="C24" s="21" t="s">
        <v>2</v>
      </c>
      <c r="D24" s="21" t="s">
        <v>3</v>
      </c>
      <c r="E24" s="21" t="s">
        <v>4</v>
      </c>
      <c r="F24" s="21" t="s">
        <v>5</v>
      </c>
      <c r="G24" s="21" t="s">
        <v>6</v>
      </c>
      <c r="H24" s="22" t="s">
        <v>45</v>
      </c>
      <c r="I24" s="21" t="s">
        <v>16</v>
      </c>
      <c r="J24" s="23" t="s">
        <v>46</v>
      </c>
      <c r="K24" s="24" t="s">
        <v>47</v>
      </c>
      <c r="L24" s="24" t="s">
        <v>48</v>
      </c>
    </row>
    <row r="25" spans="1:12" ht="36.75" customHeight="1" x14ac:dyDescent="0.3">
      <c r="A25" s="60" t="s">
        <v>224</v>
      </c>
      <c r="B25" s="25">
        <v>45089</v>
      </c>
      <c r="C25" s="3" t="s">
        <v>139</v>
      </c>
      <c r="D25" s="4" t="s">
        <v>225</v>
      </c>
      <c r="E25" s="3" t="s">
        <v>226</v>
      </c>
      <c r="F25" s="15" t="s">
        <v>617</v>
      </c>
      <c r="G25" s="3" t="s">
        <v>126</v>
      </c>
      <c r="H25" s="9" t="s">
        <v>618</v>
      </c>
      <c r="I25" s="14" t="s">
        <v>227</v>
      </c>
      <c r="J25" s="60">
        <v>3</v>
      </c>
      <c r="K25" s="95" t="s">
        <v>619</v>
      </c>
      <c r="L25" s="26" t="s">
        <v>51</v>
      </c>
    </row>
    <row r="26" spans="1:12" x14ac:dyDescent="0.3">
      <c r="A26" s="662" t="s">
        <v>53</v>
      </c>
      <c r="B26" s="663"/>
      <c r="C26" s="663"/>
      <c r="D26" s="663"/>
      <c r="E26" s="663"/>
      <c r="F26" s="663"/>
      <c r="G26" s="663"/>
      <c r="H26" s="663"/>
      <c r="I26" s="664"/>
      <c r="J26" s="26">
        <f>SUM(J25:J25)</f>
        <v>3</v>
      </c>
      <c r="K26" s="27"/>
      <c r="L26" s="59"/>
    </row>
    <row r="29" spans="1:12" ht="27" x14ac:dyDescent="0.3">
      <c r="A29" s="20" t="s">
        <v>43</v>
      </c>
      <c r="B29" s="20" t="s">
        <v>44</v>
      </c>
      <c r="C29" s="21" t="s">
        <v>2</v>
      </c>
      <c r="D29" s="21" t="s">
        <v>3</v>
      </c>
      <c r="E29" s="21" t="s">
        <v>4</v>
      </c>
      <c r="F29" s="21" t="s">
        <v>5</v>
      </c>
      <c r="G29" s="21" t="s">
        <v>6</v>
      </c>
      <c r="H29" s="22" t="s">
        <v>45</v>
      </c>
      <c r="I29" s="21" t="s">
        <v>16</v>
      </c>
      <c r="J29" s="23" t="s">
        <v>46</v>
      </c>
      <c r="K29" s="24" t="s">
        <v>47</v>
      </c>
      <c r="L29" s="24" t="s">
        <v>48</v>
      </c>
    </row>
    <row r="30" spans="1:12" x14ac:dyDescent="0.3">
      <c r="A30" s="677" t="s">
        <v>462</v>
      </c>
      <c r="B30" s="62">
        <v>45064</v>
      </c>
      <c r="C30" s="56" t="s">
        <v>386</v>
      </c>
      <c r="D30" s="56" t="s">
        <v>387</v>
      </c>
      <c r="E30" s="43" t="s">
        <v>388</v>
      </c>
      <c r="F30" s="67">
        <v>2518</v>
      </c>
      <c r="G30" s="56" t="s">
        <v>511</v>
      </c>
      <c r="H30" s="42" t="s">
        <v>131</v>
      </c>
      <c r="I30" s="56" t="s">
        <v>95</v>
      </c>
      <c r="J30" s="26">
        <v>2</v>
      </c>
      <c r="K30" s="26" t="s">
        <v>52</v>
      </c>
      <c r="L30" s="26" t="s">
        <v>51</v>
      </c>
    </row>
    <row r="31" spans="1:12" x14ac:dyDescent="0.3">
      <c r="A31" s="677"/>
      <c r="B31" s="62">
        <v>45065</v>
      </c>
      <c r="C31" s="56" t="s">
        <v>386</v>
      </c>
      <c r="D31" s="56" t="s">
        <v>387</v>
      </c>
      <c r="E31" s="43" t="s">
        <v>388</v>
      </c>
      <c r="F31" s="67">
        <v>4207</v>
      </c>
      <c r="G31" s="56" t="s">
        <v>512</v>
      </c>
      <c r="H31" s="42" t="s">
        <v>131</v>
      </c>
      <c r="I31" s="56" t="s">
        <v>95</v>
      </c>
      <c r="J31" s="26">
        <v>2</v>
      </c>
      <c r="K31" s="26" t="s">
        <v>52</v>
      </c>
      <c r="L31" s="26" t="s">
        <v>51</v>
      </c>
    </row>
    <row r="32" spans="1:12" x14ac:dyDescent="0.3">
      <c r="A32" s="677"/>
      <c r="B32" s="62">
        <v>45066</v>
      </c>
      <c r="C32" s="56" t="s">
        <v>386</v>
      </c>
      <c r="D32" s="56" t="s">
        <v>387</v>
      </c>
      <c r="E32" s="43" t="s">
        <v>388</v>
      </c>
      <c r="F32" s="67" t="s">
        <v>513</v>
      </c>
      <c r="G32" s="56" t="s">
        <v>514</v>
      </c>
      <c r="H32" s="42" t="s">
        <v>131</v>
      </c>
      <c r="I32" s="56" t="s">
        <v>95</v>
      </c>
      <c r="J32" s="26">
        <v>2</v>
      </c>
      <c r="K32" s="26" t="s">
        <v>52</v>
      </c>
      <c r="L32" s="26" t="s">
        <v>51</v>
      </c>
    </row>
    <row r="33" spans="1:12" x14ac:dyDescent="0.3">
      <c r="A33" s="677"/>
      <c r="B33" s="62">
        <v>45070</v>
      </c>
      <c r="C33" s="56" t="s">
        <v>386</v>
      </c>
      <c r="D33" s="56" t="s">
        <v>387</v>
      </c>
      <c r="E33" s="43" t="s">
        <v>388</v>
      </c>
      <c r="F33" s="67" t="s">
        <v>515</v>
      </c>
      <c r="G33" s="56" t="s">
        <v>516</v>
      </c>
      <c r="H33" s="42" t="s">
        <v>131</v>
      </c>
      <c r="I33" s="56" t="s">
        <v>95</v>
      </c>
      <c r="J33" s="26">
        <v>2</v>
      </c>
      <c r="K33" s="26" t="s">
        <v>52</v>
      </c>
      <c r="L33" s="26" t="s">
        <v>51</v>
      </c>
    </row>
    <row r="34" spans="1:12" x14ac:dyDescent="0.3">
      <c r="A34" s="677"/>
      <c r="B34" s="62">
        <v>45071</v>
      </c>
      <c r="C34" s="56" t="s">
        <v>386</v>
      </c>
      <c r="D34" s="56" t="s">
        <v>387</v>
      </c>
      <c r="E34" s="43" t="s">
        <v>388</v>
      </c>
      <c r="F34" s="67">
        <v>4207</v>
      </c>
      <c r="G34" s="56" t="s">
        <v>512</v>
      </c>
      <c r="H34" s="42" t="s">
        <v>131</v>
      </c>
      <c r="I34" s="56" t="s">
        <v>95</v>
      </c>
      <c r="J34" s="26">
        <v>2</v>
      </c>
      <c r="K34" s="26" t="s">
        <v>52</v>
      </c>
      <c r="L34" s="26" t="s">
        <v>51</v>
      </c>
    </row>
    <row r="35" spans="1:12" x14ac:dyDescent="0.3">
      <c r="A35" s="662" t="s">
        <v>53</v>
      </c>
      <c r="B35" s="663"/>
      <c r="C35" s="663"/>
      <c r="D35" s="663"/>
      <c r="E35" s="663"/>
      <c r="F35" s="663"/>
      <c r="G35" s="663"/>
      <c r="H35" s="663"/>
      <c r="I35" s="664"/>
      <c r="J35" s="26">
        <f>SUM(J30:J34)</f>
        <v>10</v>
      </c>
      <c r="K35" s="27"/>
      <c r="L35" s="26"/>
    </row>
    <row r="38" spans="1:12" ht="27" x14ac:dyDescent="0.3">
      <c r="A38" s="20" t="s">
        <v>43</v>
      </c>
      <c r="B38" s="20" t="s">
        <v>44</v>
      </c>
      <c r="C38" s="21" t="s">
        <v>2</v>
      </c>
      <c r="D38" s="21" t="s">
        <v>3</v>
      </c>
      <c r="E38" s="21" t="s">
        <v>4</v>
      </c>
      <c r="F38" s="21" t="s">
        <v>5</v>
      </c>
      <c r="G38" s="21" t="s">
        <v>6</v>
      </c>
      <c r="H38" s="22" t="s">
        <v>45</v>
      </c>
      <c r="I38" s="21" t="s">
        <v>16</v>
      </c>
      <c r="J38" s="23" t="s">
        <v>46</v>
      </c>
      <c r="K38" s="24" t="s">
        <v>47</v>
      </c>
      <c r="L38" s="24" t="s">
        <v>48</v>
      </c>
    </row>
    <row r="39" spans="1:12" x14ac:dyDescent="0.3">
      <c r="A39" s="667" t="s">
        <v>219</v>
      </c>
      <c r="B39" s="16">
        <v>45094</v>
      </c>
      <c r="C39" s="49" t="s">
        <v>125</v>
      </c>
      <c r="D39" s="49" t="s">
        <v>152</v>
      </c>
      <c r="E39" s="49" t="s">
        <v>124</v>
      </c>
      <c r="F39" s="49" t="s">
        <v>590</v>
      </c>
      <c r="G39" s="49" t="s">
        <v>146</v>
      </c>
      <c r="H39" s="49" t="s">
        <v>592</v>
      </c>
      <c r="I39" s="49" t="s">
        <v>95</v>
      </c>
      <c r="J39" s="26">
        <v>4</v>
      </c>
      <c r="K39" s="26" t="s">
        <v>50</v>
      </c>
      <c r="L39" s="26" t="s">
        <v>51</v>
      </c>
    </row>
    <row r="40" spans="1:12" x14ac:dyDescent="0.3">
      <c r="A40" s="677"/>
      <c r="B40" s="37">
        <v>45105</v>
      </c>
      <c r="C40" s="85" t="s">
        <v>49</v>
      </c>
      <c r="D40" s="85" t="s">
        <v>152</v>
      </c>
      <c r="E40" s="101" t="s">
        <v>124</v>
      </c>
      <c r="F40" s="85">
        <v>4208</v>
      </c>
      <c r="G40" s="85" t="s">
        <v>18</v>
      </c>
      <c r="H40" s="84" t="s">
        <v>609</v>
      </c>
      <c r="I40" s="49" t="s">
        <v>95</v>
      </c>
      <c r="J40" s="26">
        <v>2</v>
      </c>
      <c r="K40" s="26" t="s">
        <v>50</v>
      </c>
      <c r="L40" s="26" t="s">
        <v>51</v>
      </c>
    </row>
    <row r="41" spans="1:12" x14ac:dyDescent="0.3">
      <c r="A41" s="668"/>
      <c r="B41" s="37">
        <v>45106</v>
      </c>
      <c r="C41" s="85" t="s">
        <v>49</v>
      </c>
      <c r="D41" s="85" t="s">
        <v>152</v>
      </c>
      <c r="E41" s="101" t="s">
        <v>124</v>
      </c>
      <c r="F41" s="85">
        <v>4208</v>
      </c>
      <c r="G41" s="85" t="s">
        <v>18</v>
      </c>
      <c r="H41" s="84" t="s">
        <v>609</v>
      </c>
      <c r="I41" s="49" t="s">
        <v>95</v>
      </c>
      <c r="J41" s="26">
        <v>2</v>
      </c>
      <c r="K41" s="26" t="s">
        <v>50</v>
      </c>
      <c r="L41" s="26" t="s">
        <v>51</v>
      </c>
    </row>
    <row r="42" spans="1:12" x14ac:dyDescent="0.3">
      <c r="A42" s="662" t="s">
        <v>53</v>
      </c>
      <c r="B42" s="663"/>
      <c r="C42" s="663"/>
      <c r="D42" s="663"/>
      <c r="E42" s="663"/>
      <c r="F42" s="663"/>
      <c r="G42" s="663"/>
      <c r="H42" s="663"/>
      <c r="I42" s="664"/>
      <c r="J42" s="26">
        <f>SUM(J39:J41)</f>
        <v>8</v>
      </c>
      <c r="K42" s="27"/>
      <c r="L42" s="59"/>
    </row>
    <row r="46" spans="1:12" ht="27" x14ac:dyDescent="0.3">
      <c r="A46" s="20" t="s">
        <v>43</v>
      </c>
      <c r="B46" s="20" t="s">
        <v>44</v>
      </c>
      <c r="C46" s="21" t="s">
        <v>2</v>
      </c>
      <c r="D46" s="21" t="s">
        <v>3</v>
      </c>
      <c r="E46" s="21" t="s">
        <v>4</v>
      </c>
      <c r="F46" s="21" t="s">
        <v>5</v>
      </c>
      <c r="G46" s="21" t="s">
        <v>6</v>
      </c>
      <c r="H46" s="22" t="s">
        <v>45</v>
      </c>
      <c r="I46" s="21" t="s">
        <v>16</v>
      </c>
      <c r="J46" s="23" t="s">
        <v>46</v>
      </c>
      <c r="K46" s="24" t="s">
        <v>47</v>
      </c>
      <c r="L46" s="24" t="s">
        <v>48</v>
      </c>
    </row>
    <row r="47" spans="1:12" x14ac:dyDescent="0.3">
      <c r="A47" s="60" t="s">
        <v>229</v>
      </c>
      <c r="B47" s="62">
        <v>45016</v>
      </c>
      <c r="C47" s="3" t="s">
        <v>21</v>
      </c>
      <c r="D47" s="14" t="s">
        <v>14</v>
      </c>
      <c r="E47" s="3" t="s">
        <v>383</v>
      </c>
      <c r="F47" s="3">
        <v>2579</v>
      </c>
      <c r="G47" s="3" t="s">
        <v>384</v>
      </c>
      <c r="H47" s="42" t="s">
        <v>385</v>
      </c>
      <c r="I47" s="56" t="s">
        <v>95</v>
      </c>
      <c r="J47" s="26">
        <v>1</v>
      </c>
      <c r="K47" s="26" t="s">
        <v>50</v>
      </c>
      <c r="L47" s="26" t="s">
        <v>51</v>
      </c>
    </row>
    <row r="48" spans="1:12" x14ac:dyDescent="0.3">
      <c r="A48" s="662" t="s">
        <v>53</v>
      </c>
      <c r="B48" s="663"/>
      <c r="C48" s="663"/>
      <c r="D48" s="663"/>
      <c r="E48" s="663"/>
      <c r="F48" s="663"/>
      <c r="G48" s="663"/>
      <c r="H48" s="663"/>
      <c r="I48" s="664"/>
      <c r="J48" s="26">
        <f>SUM(J47:J47)</f>
        <v>1</v>
      </c>
      <c r="K48" s="27"/>
      <c r="L48" s="59"/>
    </row>
    <row r="51" spans="1:12" ht="27" x14ac:dyDescent="0.3">
      <c r="A51" s="20" t="s">
        <v>43</v>
      </c>
      <c r="B51" s="20" t="s">
        <v>44</v>
      </c>
      <c r="C51" s="21" t="s">
        <v>2</v>
      </c>
      <c r="D51" s="21" t="s">
        <v>3</v>
      </c>
      <c r="E51" s="21" t="s">
        <v>4</v>
      </c>
      <c r="F51" s="21" t="s">
        <v>5</v>
      </c>
      <c r="G51" s="21" t="s">
        <v>6</v>
      </c>
      <c r="H51" s="22" t="s">
        <v>45</v>
      </c>
      <c r="I51" s="21" t="s">
        <v>16</v>
      </c>
      <c r="J51" s="23" t="s">
        <v>46</v>
      </c>
      <c r="K51" s="24" t="s">
        <v>47</v>
      </c>
      <c r="L51" s="24" t="s">
        <v>48</v>
      </c>
    </row>
    <row r="52" spans="1:12" x14ac:dyDescent="0.3">
      <c r="A52" s="677" t="s">
        <v>634</v>
      </c>
      <c r="B52" s="62">
        <v>45101</v>
      </c>
      <c r="C52" s="3" t="s">
        <v>623</v>
      </c>
      <c r="D52" s="14" t="s">
        <v>626</v>
      </c>
      <c r="E52" s="3" t="s">
        <v>627</v>
      </c>
      <c r="F52" s="3" t="s">
        <v>629</v>
      </c>
      <c r="G52" s="3" t="s">
        <v>630</v>
      </c>
      <c r="H52" s="9" t="s">
        <v>631</v>
      </c>
      <c r="I52" s="42" t="s">
        <v>628</v>
      </c>
      <c r="J52" s="26">
        <v>2</v>
      </c>
      <c r="K52" s="26" t="s">
        <v>633</v>
      </c>
      <c r="L52" s="26" t="s">
        <v>51</v>
      </c>
    </row>
    <row r="53" spans="1:12" x14ac:dyDescent="0.3">
      <c r="A53" s="668"/>
      <c r="B53" s="62">
        <v>45103</v>
      </c>
      <c r="C53" s="3" t="s">
        <v>623</v>
      </c>
      <c r="D53" s="14" t="s">
        <v>626</v>
      </c>
      <c r="E53" s="3" t="s">
        <v>627</v>
      </c>
      <c r="F53" s="3" t="s">
        <v>629</v>
      </c>
      <c r="G53" s="3" t="s">
        <v>630</v>
      </c>
      <c r="H53" s="9" t="s">
        <v>631</v>
      </c>
      <c r="I53" s="42" t="s">
        <v>628</v>
      </c>
      <c r="J53" s="26">
        <v>2</v>
      </c>
      <c r="K53" s="26" t="s">
        <v>633</v>
      </c>
      <c r="L53" s="26" t="s">
        <v>51</v>
      </c>
    </row>
    <row r="54" spans="1:12" x14ac:dyDescent="0.3">
      <c r="A54" s="662" t="s">
        <v>53</v>
      </c>
      <c r="B54" s="663"/>
      <c r="C54" s="663"/>
      <c r="D54" s="663"/>
      <c r="E54" s="663"/>
      <c r="F54" s="663"/>
      <c r="G54" s="663"/>
      <c r="H54" s="663"/>
      <c r="I54" s="664"/>
      <c r="J54" s="26">
        <f>SUM(J52:J53)</f>
        <v>4</v>
      </c>
      <c r="K54" s="27"/>
      <c r="L54" s="59"/>
    </row>
    <row r="57" spans="1:12" ht="27" x14ac:dyDescent="0.3">
      <c r="A57" s="20" t="s">
        <v>43</v>
      </c>
      <c r="B57" s="20" t="s">
        <v>44</v>
      </c>
      <c r="C57" s="21" t="s">
        <v>2</v>
      </c>
      <c r="D57" s="21" t="s">
        <v>3</v>
      </c>
      <c r="E57" s="21" t="s">
        <v>4</v>
      </c>
      <c r="F57" s="21" t="s">
        <v>5</v>
      </c>
      <c r="G57" s="21" t="s">
        <v>6</v>
      </c>
      <c r="H57" s="22" t="s">
        <v>45</v>
      </c>
      <c r="I57" s="21" t="s">
        <v>16</v>
      </c>
      <c r="J57" s="23" t="s">
        <v>46</v>
      </c>
      <c r="K57" s="24" t="s">
        <v>47</v>
      </c>
      <c r="L57" s="24" t="s">
        <v>48</v>
      </c>
    </row>
    <row r="58" spans="1:12" ht="27" x14ac:dyDescent="0.3">
      <c r="A58" s="667" t="s">
        <v>230</v>
      </c>
      <c r="B58" s="62" t="s">
        <v>874</v>
      </c>
      <c r="C58" s="3" t="s">
        <v>19</v>
      </c>
      <c r="D58" s="4" t="s">
        <v>25</v>
      </c>
      <c r="E58" s="4" t="s">
        <v>124</v>
      </c>
      <c r="F58" s="4" t="s">
        <v>776</v>
      </c>
      <c r="G58" s="3" t="s">
        <v>777</v>
      </c>
      <c r="H58" s="9" t="s">
        <v>735</v>
      </c>
      <c r="I58" s="14" t="s">
        <v>169</v>
      </c>
      <c r="J58" s="4">
        <v>5</v>
      </c>
      <c r="K58" s="26" t="s">
        <v>50</v>
      </c>
      <c r="L58" s="26" t="s">
        <v>51</v>
      </c>
    </row>
    <row r="59" spans="1:12" ht="40.5" x14ac:dyDescent="0.3">
      <c r="A59" s="677"/>
      <c r="B59" s="16" t="s">
        <v>875</v>
      </c>
      <c r="C59" s="3" t="s">
        <v>19</v>
      </c>
      <c r="D59" s="4" t="s">
        <v>25</v>
      </c>
      <c r="E59" s="4" t="s">
        <v>124</v>
      </c>
      <c r="F59" s="4" t="s">
        <v>788</v>
      </c>
      <c r="G59" s="3" t="s">
        <v>789</v>
      </c>
      <c r="H59" s="9" t="s">
        <v>735</v>
      </c>
      <c r="I59" s="14" t="s">
        <v>739</v>
      </c>
      <c r="J59" s="4">
        <v>4</v>
      </c>
      <c r="K59" s="26" t="s">
        <v>50</v>
      </c>
      <c r="L59" s="26" t="s">
        <v>51</v>
      </c>
    </row>
    <row r="60" spans="1:12" ht="27" x14ac:dyDescent="0.3">
      <c r="A60" s="677"/>
      <c r="B60" s="62" t="s">
        <v>876</v>
      </c>
      <c r="C60" s="3" t="s">
        <v>19</v>
      </c>
      <c r="D60" s="4" t="s">
        <v>25</v>
      </c>
      <c r="E60" s="4" t="s">
        <v>124</v>
      </c>
      <c r="F60" s="4">
        <v>3306</v>
      </c>
      <c r="G60" s="3" t="s">
        <v>813</v>
      </c>
      <c r="H60" s="9" t="s">
        <v>829</v>
      </c>
      <c r="I60" s="14" t="s">
        <v>814</v>
      </c>
      <c r="J60" s="4">
        <v>5</v>
      </c>
      <c r="K60" s="26" t="s">
        <v>50</v>
      </c>
      <c r="L60" s="26" t="s">
        <v>51</v>
      </c>
    </row>
    <row r="61" spans="1:12" x14ac:dyDescent="0.3">
      <c r="A61" s="677"/>
      <c r="B61" s="682" t="s">
        <v>877</v>
      </c>
      <c r="C61" s="118" t="s">
        <v>307</v>
      </c>
      <c r="D61" s="118" t="s">
        <v>323</v>
      </c>
      <c r="E61" s="4" t="s">
        <v>124</v>
      </c>
      <c r="F61" s="4">
        <v>4210</v>
      </c>
      <c r="G61" s="4" t="s">
        <v>852</v>
      </c>
      <c r="H61" s="9" t="s">
        <v>857</v>
      </c>
      <c r="I61" s="14" t="s">
        <v>814</v>
      </c>
      <c r="J61" s="4">
        <v>2</v>
      </c>
      <c r="K61" s="26" t="s">
        <v>50</v>
      </c>
      <c r="L61" s="26" t="s">
        <v>51</v>
      </c>
    </row>
    <row r="62" spans="1:12" x14ac:dyDescent="0.3">
      <c r="A62" s="677"/>
      <c r="B62" s="683"/>
      <c r="C62" s="118" t="s">
        <v>307</v>
      </c>
      <c r="D62" s="118" t="s">
        <v>323</v>
      </c>
      <c r="E62" s="4" t="s">
        <v>124</v>
      </c>
      <c r="F62" s="4" t="s">
        <v>853</v>
      </c>
      <c r="G62" s="4" t="s">
        <v>854</v>
      </c>
      <c r="H62" s="9" t="s">
        <v>857</v>
      </c>
      <c r="I62" s="14" t="s">
        <v>814</v>
      </c>
      <c r="J62" s="4">
        <v>1</v>
      </c>
      <c r="K62" s="26" t="s">
        <v>50</v>
      </c>
      <c r="L62" s="26" t="s">
        <v>51</v>
      </c>
    </row>
    <row r="63" spans="1:12" x14ac:dyDescent="0.3">
      <c r="A63" s="677"/>
      <c r="B63" s="684"/>
      <c r="C63" s="118" t="s">
        <v>307</v>
      </c>
      <c r="D63" s="118" t="s">
        <v>323</v>
      </c>
      <c r="E63" s="4" t="s">
        <v>124</v>
      </c>
      <c r="F63" s="4" t="s">
        <v>855</v>
      </c>
      <c r="G63" s="4" t="s">
        <v>856</v>
      </c>
      <c r="H63" s="9" t="s">
        <v>857</v>
      </c>
      <c r="I63" s="14" t="s">
        <v>814</v>
      </c>
      <c r="J63" s="4">
        <v>1</v>
      </c>
      <c r="K63" s="26" t="s">
        <v>50</v>
      </c>
      <c r="L63" s="26" t="s">
        <v>51</v>
      </c>
    </row>
    <row r="64" spans="1:12" x14ac:dyDescent="0.3">
      <c r="A64" s="662" t="s">
        <v>53</v>
      </c>
      <c r="B64" s="663"/>
      <c r="C64" s="663"/>
      <c r="D64" s="663"/>
      <c r="E64" s="663"/>
      <c r="F64" s="663"/>
      <c r="G64" s="663"/>
      <c r="H64" s="663"/>
      <c r="I64" s="664"/>
      <c r="J64" s="26">
        <f>SUM(J58:J63)</f>
        <v>18</v>
      </c>
      <c r="K64" s="27"/>
      <c r="L64" s="59"/>
    </row>
    <row r="67" spans="1:12" ht="27" x14ac:dyDescent="0.3">
      <c r="A67" s="20" t="s">
        <v>43</v>
      </c>
      <c r="B67" s="20" t="s">
        <v>44</v>
      </c>
      <c r="C67" s="21" t="s">
        <v>2</v>
      </c>
      <c r="D67" s="21" t="s">
        <v>3</v>
      </c>
      <c r="E67" s="21" t="s">
        <v>4</v>
      </c>
      <c r="F67" s="21" t="s">
        <v>5</v>
      </c>
      <c r="G67" s="21" t="s">
        <v>6</v>
      </c>
      <c r="H67" s="22" t="s">
        <v>45</v>
      </c>
      <c r="I67" s="21" t="s">
        <v>16</v>
      </c>
      <c r="J67" s="23" t="s">
        <v>46</v>
      </c>
      <c r="K67" s="24" t="s">
        <v>47</v>
      </c>
      <c r="L67" s="24" t="s">
        <v>48</v>
      </c>
    </row>
    <row r="68" spans="1:12" x14ac:dyDescent="0.3">
      <c r="A68" s="688" t="s">
        <v>1096</v>
      </c>
      <c r="B68" s="99">
        <v>45289</v>
      </c>
      <c r="C68" s="4" t="s">
        <v>19</v>
      </c>
      <c r="D68" s="4" t="s">
        <v>25</v>
      </c>
      <c r="E68" s="4" t="s">
        <v>20</v>
      </c>
      <c r="F68" s="4">
        <v>8384</v>
      </c>
      <c r="G68" s="4" t="s">
        <v>18</v>
      </c>
      <c r="H68" s="9" t="s">
        <v>1108</v>
      </c>
      <c r="I68" s="14" t="s">
        <v>169</v>
      </c>
      <c r="J68" s="4">
        <v>2</v>
      </c>
      <c r="K68" s="26" t="s">
        <v>1095</v>
      </c>
      <c r="L68" s="26" t="s">
        <v>51</v>
      </c>
    </row>
    <row r="69" spans="1:12" x14ac:dyDescent="0.3">
      <c r="A69" s="689"/>
      <c r="B69" s="99">
        <v>45316</v>
      </c>
      <c r="C69" s="4" t="s">
        <v>19</v>
      </c>
      <c r="D69" s="4" t="s">
        <v>25</v>
      </c>
      <c r="E69" s="4" t="s">
        <v>20</v>
      </c>
      <c r="F69" s="4" t="s">
        <v>1249</v>
      </c>
      <c r="G69" s="4" t="s">
        <v>265</v>
      </c>
      <c r="H69" s="9" t="s">
        <v>443</v>
      </c>
      <c r="I69" s="14"/>
      <c r="J69" s="4">
        <v>1</v>
      </c>
      <c r="K69" s="26" t="s">
        <v>1095</v>
      </c>
      <c r="L69" s="26" t="s">
        <v>51</v>
      </c>
    </row>
    <row r="70" spans="1:12" x14ac:dyDescent="0.3">
      <c r="A70" s="662" t="s">
        <v>53</v>
      </c>
      <c r="B70" s="663"/>
      <c r="C70" s="663"/>
      <c r="D70" s="663"/>
      <c r="E70" s="663"/>
      <c r="F70" s="663"/>
      <c r="G70" s="663"/>
      <c r="H70" s="663"/>
      <c r="I70" s="664"/>
      <c r="J70" s="26">
        <f>SUM(J68:J69)</f>
        <v>3</v>
      </c>
      <c r="K70" s="27"/>
      <c r="L70" s="59"/>
    </row>
    <row r="75" spans="1:12" ht="27" x14ac:dyDescent="0.3">
      <c r="A75" s="20" t="s">
        <v>43</v>
      </c>
      <c r="B75" s="20" t="s">
        <v>44</v>
      </c>
      <c r="C75" s="21" t="s">
        <v>2</v>
      </c>
      <c r="D75" s="21" t="s">
        <v>3</v>
      </c>
      <c r="E75" s="21" t="s">
        <v>4</v>
      </c>
      <c r="F75" s="21" t="s">
        <v>5</v>
      </c>
      <c r="G75" s="21" t="s">
        <v>6</v>
      </c>
      <c r="H75" s="22" t="s">
        <v>45</v>
      </c>
      <c r="I75" s="21" t="s">
        <v>16</v>
      </c>
      <c r="J75" s="23" t="s">
        <v>46</v>
      </c>
      <c r="K75" s="24" t="s">
        <v>47</v>
      </c>
      <c r="L75" s="24" t="s">
        <v>48</v>
      </c>
    </row>
    <row r="76" spans="1:12" ht="27" x14ac:dyDescent="0.3">
      <c r="A76" s="667" t="s">
        <v>1278</v>
      </c>
      <c r="B76" s="99">
        <v>45289</v>
      </c>
      <c r="C76" s="3" t="s">
        <v>21</v>
      </c>
      <c r="D76" s="4" t="s">
        <v>30</v>
      </c>
      <c r="E76" s="3" t="s">
        <v>212</v>
      </c>
      <c r="F76" s="154">
        <v>2461</v>
      </c>
      <c r="G76" s="155" t="s">
        <v>1133</v>
      </c>
      <c r="H76" s="154" t="s">
        <v>239</v>
      </c>
      <c r="I76" s="14"/>
      <c r="J76" s="4">
        <v>2</v>
      </c>
      <c r="K76" s="26" t="s">
        <v>50</v>
      </c>
      <c r="L76" s="26" t="s">
        <v>51</v>
      </c>
    </row>
    <row r="77" spans="1:12" ht="27" x14ac:dyDescent="0.3">
      <c r="A77" s="677"/>
      <c r="B77" s="99">
        <v>45307</v>
      </c>
      <c r="C77" s="3" t="s">
        <v>139</v>
      </c>
      <c r="D77" s="4" t="s">
        <v>14</v>
      </c>
      <c r="E77" s="3" t="s">
        <v>212</v>
      </c>
      <c r="F77" s="3" t="s">
        <v>804</v>
      </c>
      <c r="G77" s="3" t="s">
        <v>1231</v>
      </c>
      <c r="H77" s="9" t="s">
        <v>1232</v>
      </c>
      <c r="I77" s="4"/>
      <c r="J77" s="4">
        <v>1</v>
      </c>
      <c r="K77" s="26" t="s">
        <v>50</v>
      </c>
      <c r="L77" s="26" t="s">
        <v>51</v>
      </c>
    </row>
    <row r="78" spans="1:12" x14ac:dyDescent="0.3">
      <c r="A78" s="661" t="s">
        <v>53</v>
      </c>
      <c r="B78" s="661"/>
      <c r="C78" s="661"/>
      <c r="D78" s="661"/>
      <c r="E78" s="661"/>
      <c r="F78" s="661"/>
      <c r="G78" s="661"/>
      <c r="H78" s="661"/>
      <c r="I78" s="661"/>
      <c r="J78" s="26">
        <f>SUM(J76:J77)</f>
        <v>3</v>
      </c>
      <c r="K78" s="27"/>
      <c r="L78" s="59"/>
    </row>
    <row r="81" spans="1:12" ht="27" x14ac:dyDescent="0.3">
      <c r="A81" s="20" t="s">
        <v>43</v>
      </c>
      <c r="B81" s="20" t="s">
        <v>44</v>
      </c>
      <c r="C81" s="21" t="s">
        <v>2</v>
      </c>
      <c r="D81" s="21" t="s">
        <v>3</v>
      </c>
      <c r="E81" s="21" t="s">
        <v>4</v>
      </c>
      <c r="F81" s="21" t="s">
        <v>5</v>
      </c>
      <c r="G81" s="21" t="s">
        <v>6</v>
      </c>
      <c r="H81" s="22" t="s">
        <v>45</v>
      </c>
      <c r="I81" s="21" t="s">
        <v>16</v>
      </c>
      <c r="J81" s="23" t="s">
        <v>46</v>
      </c>
      <c r="K81" s="24" t="s">
        <v>47</v>
      </c>
      <c r="L81" s="24" t="s">
        <v>48</v>
      </c>
    </row>
    <row r="82" spans="1:12" x14ac:dyDescent="0.3">
      <c r="A82" s="677" t="s">
        <v>740</v>
      </c>
      <c r="B82" s="128">
        <v>45150</v>
      </c>
      <c r="C82" s="68" t="s">
        <v>883</v>
      </c>
      <c r="D82" s="68" t="s">
        <v>321</v>
      </c>
      <c r="E82" s="68" t="s">
        <v>802</v>
      </c>
      <c r="F82" s="68">
        <v>4207</v>
      </c>
      <c r="G82" s="68" t="s">
        <v>803</v>
      </c>
      <c r="H82" s="112" t="s">
        <v>884</v>
      </c>
      <c r="I82" s="68" t="s">
        <v>640</v>
      </c>
      <c r="J82" s="113">
        <v>2</v>
      </c>
      <c r="K82" s="26" t="s">
        <v>50</v>
      </c>
      <c r="L82" s="26" t="s">
        <v>51</v>
      </c>
    </row>
    <row r="83" spans="1:12" x14ac:dyDescent="0.3">
      <c r="A83" s="677"/>
      <c r="B83" s="120">
        <v>45152</v>
      </c>
      <c r="C83" s="68" t="s">
        <v>312</v>
      </c>
      <c r="D83" s="121" t="s">
        <v>885</v>
      </c>
      <c r="E83" s="68" t="s">
        <v>338</v>
      </c>
      <c r="F83" s="68" t="s">
        <v>886</v>
      </c>
      <c r="G83" s="68" t="s">
        <v>887</v>
      </c>
      <c r="H83" s="112" t="s">
        <v>888</v>
      </c>
      <c r="I83" s="121" t="s">
        <v>889</v>
      </c>
      <c r="J83" s="26">
        <v>2</v>
      </c>
      <c r="K83" s="26" t="s">
        <v>50</v>
      </c>
      <c r="L83" s="26" t="s">
        <v>51</v>
      </c>
    </row>
    <row r="84" spans="1:12" x14ac:dyDescent="0.3">
      <c r="A84" s="677"/>
      <c r="B84" s="120">
        <v>45157</v>
      </c>
      <c r="C84" s="68" t="s">
        <v>312</v>
      </c>
      <c r="D84" s="118" t="s">
        <v>321</v>
      </c>
      <c r="E84" s="118" t="s">
        <v>802</v>
      </c>
      <c r="F84" s="118">
        <v>4207</v>
      </c>
      <c r="G84" s="118" t="s">
        <v>852</v>
      </c>
      <c r="H84" s="119" t="s">
        <v>890</v>
      </c>
      <c r="I84" s="68" t="s">
        <v>640</v>
      </c>
      <c r="J84" s="118">
        <v>2</v>
      </c>
      <c r="K84" s="26" t="s">
        <v>50</v>
      </c>
      <c r="L84" s="26" t="s">
        <v>51</v>
      </c>
    </row>
    <row r="85" spans="1:12" x14ac:dyDescent="0.3">
      <c r="A85" s="677"/>
      <c r="B85" s="120">
        <v>45158</v>
      </c>
      <c r="C85" s="68" t="s">
        <v>312</v>
      </c>
      <c r="D85" s="4" t="s">
        <v>14</v>
      </c>
      <c r="E85" s="118" t="s">
        <v>802</v>
      </c>
      <c r="F85" s="118">
        <v>4208</v>
      </c>
      <c r="G85" s="118" t="s">
        <v>852</v>
      </c>
      <c r="H85" s="119" t="s">
        <v>890</v>
      </c>
      <c r="I85" s="68" t="s">
        <v>640</v>
      </c>
      <c r="J85" s="118">
        <v>2</v>
      </c>
      <c r="K85" s="26" t="s">
        <v>50</v>
      </c>
      <c r="L85" s="26" t="s">
        <v>51</v>
      </c>
    </row>
    <row r="86" spans="1:12" x14ac:dyDescent="0.3">
      <c r="A86" s="662" t="s">
        <v>53</v>
      </c>
      <c r="B86" s="663"/>
      <c r="C86" s="663"/>
      <c r="D86" s="663"/>
      <c r="E86" s="663"/>
      <c r="F86" s="663"/>
      <c r="G86" s="663"/>
      <c r="H86" s="663"/>
      <c r="I86" s="664"/>
      <c r="J86" s="26">
        <f>SUM(J82:J85)</f>
        <v>8</v>
      </c>
      <c r="K86" s="27"/>
      <c r="L86" s="26"/>
    </row>
    <row r="90" spans="1:12" ht="27" x14ac:dyDescent="0.3">
      <c r="A90" s="20" t="s">
        <v>43</v>
      </c>
      <c r="B90" s="20" t="s">
        <v>44</v>
      </c>
      <c r="C90" s="21" t="s">
        <v>2</v>
      </c>
      <c r="D90" s="21" t="s">
        <v>3</v>
      </c>
      <c r="E90" s="21" t="s">
        <v>4</v>
      </c>
      <c r="F90" s="21" t="s">
        <v>5</v>
      </c>
      <c r="G90" s="21" t="s">
        <v>6</v>
      </c>
      <c r="H90" s="22" t="s">
        <v>45</v>
      </c>
      <c r="I90" s="21" t="s">
        <v>16</v>
      </c>
      <c r="J90" s="23" t="s">
        <v>46</v>
      </c>
      <c r="K90" s="24" t="s">
        <v>47</v>
      </c>
      <c r="L90" s="24" t="s">
        <v>48</v>
      </c>
    </row>
    <row r="91" spans="1:12" ht="40.5" x14ac:dyDescent="0.3">
      <c r="A91" s="132" t="s">
        <v>230</v>
      </c>
      <c r="B91" s="38">
        <v>45248</v>
      </c>
      <c r="C91" s="3" t="s">
        <v>21</v>
      </c>
      <c r="D91" s="4" t="s">
        <v>30</v>
      </c>
      <c r="E91" s="3" t="s">
        <v>1082</v>
      </c>
      <c r="F91" s="3">
        <v>4210</v>
      </c>
      <c r="G91" s="3" t="s">
        <v>18</v>
      </c>
      <c r="H91" s="9" t="s">
        <v>1083</v>
      </c>
      <c r="I91" s="4" t="s">
        <v>1054</v>
      </c>
      <c r="J91" s="6">
        <v>1</v>
      </c>
      <c r="K91" s="26" t="s">
        <v>1084</v>
      </c>
      <c r="L91" s="26" t="s">
        <v>51</v>
      </c>
    </row>
    <row r="92" spans="1:12" x14ac:dyDescent="0.3">
      <c r="A92" s="662" t="s">
        <v>53</v>
      </c>
      <c r="B92" s="663"/>
      <c r="C92" s="663"/>
      <c r="D92" s="663"/>
      <c r="E92" s="663"/>
      <c r="F92" s="663"/>
      <c r="G92" s="663"/>
      <c r="H92" s="663"/>
      <c r="I92" s="664"/>
      <c r="J92" s="26">
        <f>SUM(J91:J91)</f>
        <v>1</v>
      </c>
      <c r="K92" s="27"/>
      <c r="L92" s="26"/>
    </row>
    <row r="96" spans="1:12" ht="27" x14ac:dyDescent="0.3">
      <c r="A96" s="20" t="s">
        <v>43</v>
      </c>
      <c r="B96" s="20" t="s">
        <v>44</v>
      </c>
      <c r="C96" s="21" t="s">
        <v>2</v>
      </c>
      <c r="D96" s="21" t="s">
        <v>3</v>
      </c>
      <c r="E96" s="21" t="s">
        <v>4</v>
      </c>
      <c r="F96" s="21" t="s">
        <v>5</v>
      </c>
      <c r="G96" s="21" t="s">
        <v>6</v>
      </c>
      <c r="H96" s="22" t="s">
        <v>45</v>
      </c>
      <c r="I96" s="21" t="s">
        <v>16</v>
      </c>
      <c r="J96" s="23" t="s">
        <v>46</v>
      </c>
      <c r="K96" s="24" t="s">
        <v>47</v>
      </c>
      <c r="L96" s="24" t="s">
        <v>48</v>
      </c>
    </row>
    <row r="97" spans="1:12" x14ac:dyDescent="0.3">
      <c r="A97" s="677" t="s">
        <v>740</v>
      </c>
      <c r="B97" s="120">
        <v>45103</v>
      </c>
      <c r="C97" s="121" t="s">
        <v>751</v>
      </c>
      <c r="D97" s="121" t="s">
        <v>750</v>
      </c>
      <c r="E97" s="121" t="s">
        <v>749</v>
      </c>
      <c r="F97" s="68" t="s">
        <v>752</v>
      </c>
      <c r="G97" s="68" t="s">
        <v>748</v>
      </c>
      <c r="H97" s="122" t="s">
        <v>753</v>
      </c>
      <c r="I97" s="121" t="s">
        <v>746</v>
      </c>
      <c r="J97" s="113">
        <v>2</v>
      </c>
      <c r="K97" s="26" t="s">
        <v>50</v>
      </c>
      <c r="L97" s="26" t="s">
        <v>51</v>
      </c>
    </row>
    <row r="98" spans="1:12" x14ac:dyDescent="0.3">
      <c r="A98" s="677"/>
      <c r="B98" s="120">
        <v>45121</v>
      </c>
      <c r="C98" s="121" t="s">
        <v>751</v>
      </c>
      <c r="D98" s="121" t="s">
        <v>750</v>
      </c>
      <c r="E98" s="121" t="s">
        <v>749</v>
      </c>
      <c r="F98" s="68" t="s">
        <v>747</v>
      </c>
      <c r="G98" s="68" t="s">
        <v>748</v>
      </c>
      <c r="H98" s="112" t="s">
        <v>743</v>
      </c>
      <c r="I98" s="121" t="s">
        <v>746</v>
      </c>
      <c r="J98" s="113">
        <v>2</v>
      </c>
      <c r="K98" s="26" t="s">
        <v>50</v>
      </c>
      <c r="L98" s="26" t="s">
        <v>51</v>
      </c>
    </row>
    <row r="99" spans="1:12" x14ac:dyDescent="0.3">
      <c r="A99" s="677"/>
      <c r="B99" s="120">
        <v>45122</v>
      </c>
      <c r="C99" s="121" t="s">
        <v>751</v>
      </c>
      <c r="D99" s="121" t="s">
        <v>750</v>
      </c>
      <c r="E99" s="121" t="s">
        <v>749</v>
      </c>
      <c r="F99" s="68" t="s">
        <v>747</v>
      </c>
      <c r="G99" s="68" t="s">
        <v>748</v>
      </c>
      <c r="H99" s="112" t="s">
        <v>744</v>
      </c>
      <c r="I99" s="121" t="s">
        <v>746</v>
      </c>
      <c r="J99" s="26">
        <v>3</v>
      </c>
      <c r="K99" s="26" t="s">
        <v>50</v>
      </c>
      <c r="L99" s="26" t="s">
        <v>51</v>
      </c>
    </row>
    <row r="100" spans="1:12" x14ac:dyDescent="0.3">
      <c r="A100" s="677"/>
      <c r="B100" s="120">
        <v>45124</v>
      </c>
      <c r="C100" s="121" t="s">
        <v>751</v>
      </c>
      <c r="D100" s="121" t="s">
        <v>750</v>
      </c>
      <c r="E100" s="121" t="s">
        <v>749</v>
      </c>
      <c r="F100" s="68" t="s">
        <v>747</v>
      </c>
      <c r="G100" s="68" t="s">
        <v>748</v>
      </c>
      <c r="H100" s="119" t="s">
        <v>745</v>
      </c>
      <c r="I100" s="121" t="s">
        <v>746</v>
      </c>
      <c r="J100" s="118">
        <v>3</v>
      </c>
      <c r="K100" s="26" t="s">
        <v>50</v>
      </c>
      <c r="L100" s="26" t="s">
        <v>51</v>
      </c>
    </row>
    <row r="101" spans="1:12" x14ac:dyDescent="0.3">
      <c r="A101" s="662" t="s">
        <v>53</v>
      </c>
      <c r="B101" s="663"/>
      <c r="C101" s="663"/>
      <c r="D101" s="663"/>
      <c r="E101" s="663"/>
      <c r="F101" s="663"/>
      <c r="G101" s="663"/>
      <c r="H101" s="663"/>
      <c r="I101" s="664"/>
      <c r="J101" s="26">
        <f>SUM(J97:J100)</f>
        <v>10</v>
      </c>
      <c r="K101" s="27"/>
      <c r="L101" s="26"/>
    </row>
    <row r="105" spans="1:12" ht="27" x14ac:dyDescent="0.3">
      <c r="A105" s="20" t="s">
        <v>43</v>
      </c>
      <c r="B105" s="20" t="s">
        <v>44</v>
      </c>
      <c r="C105" s="21" t="s">
        <v>2</v>
      </c>
      <c r="D105" s="21" t="s">
        <v>3</v>
      </c>
      <c r="E105" s="21" t="s">
        <v>4</v>
      </c>
      <c r="F105" s="21" t="s">
        <v>5</v>
      </c>
      <c r="G105" s="21" t="s">
        <v>6</v>
      </c>
      <c r="H105" s="22" t="s">
        <v>45</v>
      </c>
      <c r="I105" s="21" t="s">
        <v>8</v>
      </c>
      <c r="J105" s="23" t="s">
        <v>46</v>
      </c>
      <c r="K105" s="24" t="s">
        <v>47</v>
      </c>
      <c r="L105" s="24" t="s">
        <v>48</v>
      </c>
    </row>
    <row r="106" spans="1:12" x14ac:dyDescent="0.3">
      <c r="A106" s="667" t="s">
        <v>219</v>
      </c>
      <c r="B106" s="16">
        <v>45156</v>
      </c>
      <c r="C106" s="3" t="s">
        <v>19</v>
      </c>
      <c r="D106" s="4" t="s">
        <v>25</v>
      </c>
      <c r="E106" s="4" t="s">
        <v>124</v>
      </c>
      <c r="F106" s="4">
        <v>4209</v>
      </c>
      <c r="G106" s="3" t="s">
        <v>803</v>
      </c>
      <c r="H106" s="9" t="s">
        <v>734</v>
      </c>
      <c r="I106" s="14" t="s">
        <v>904</v>
      </c>
      <c r="J106" s="26">
        <v>1</v>
      </c>
      <c r="K106" s="26" t="s">
        <v>52</v>
      </c>
      <c r="L106" s="26" t="s">
        <v>51</v>
      </c>
    </row>
    <row r="107" spans="1:12" x14ac:dyDescent="0.3">
      <c r="A107" s="677"/>
      <c r="B107" s="687">
        <v>45157</v>
      </c>
      <c r="C107" s="3" t="s">
        <v>19</v>
      </c>
      <c r="D107" s="4" t="s">
        <v>25</v>
      </c>
      <c r="E107" s="4" t="s">
        <v>124</v>
      </c>
      <c r="F107" s="4">
        <v>4209</v>
      </c>
      <c r="G107" s="3" t="s">
        <v>803</v>
      </c>
      <c r="H107" s="9" t="s">
        <v>734</v>
      </c>
      <c r="I107" s="14" t="s">
        <v>904</v>
      </c>
      <c r="J107" s="26">
        <v>1</v>
      </c>
      <c r="K107" s="26" t="s">
        <v>52</v>
      </c>
      <c r="L107" s="26" t="s">
        <v>51</v>
      </c>
    </row>
    <row r="108" spans="1:12" x14ac:dyDescent="0.3">
      <c r="A108" s="677"/>
      <c r="B108" s="687"/>
      <c r="C108" s="3" t="s">
        <v>19</v>
      </c>
      <c r="D108" s="4" t="s">
        <v>25</v>
      </c>
      <c r="E108" s="4" t="s">
        <v>124</v>
      </c>
      <c r="F108" s="4" t="s">
        <v>804</v>
      </c>
      <c r="G108" s="3" t="s">
        <v>805</v>
      </c>
      <c r="H108" s="9" t="s">
        <v>734</v>
      </c>
      <c r="I108" s="14" t="s">
        <v>904</v>
      </c>
      <c r="J108" s="26">
        <v>1</v>
      </c>
      <c r="K108" s="26" t="s">
        <v>52</v>
      </c>
      <c r="L108" s="26" t="s">
        <v>51</v>
      </c>
    </row>
    <row r="109" spans="1:12" x14ac:dyDescent="0.3">
      <c r="A109" s="677"/>
      <c r="B109" s="16">
        <v>45161</v>
      </c>
      <c r="C109" s="3" t="s">
        <v>19</v>
      </c>
      <c r="D109" s="4" t="s">
        <v>25</v>
      </c>
      <c r="E109" s="4" t="s">
        <v>124</v>
      </c>
      <c r="F109" s="4">
        <v>2584</v>
      </c>
      <c r="G109" s="3" t="s">
        <v>825</v>
      </c>
      <c r="H109" s="9" t="s">
        <v>734</v>
      </c>
      <c r="I109" s="14" t="s">
        <v>904</v>
      </c>
      <c r="J109" s="26">
        <v>2</v>
      </c>
      <c r="K109" s="26" t="s">
        <v>52</v>
      </c>
      <c r="L109" s="26" t="s">
        <v>51</v>
      </c>
    </row>
    <row r="110" spans="1:12" x14ac:dyDescent="0.3">
      <c r="A110" s="677"/>
      <c r="B110" s="37">
        <v>45162</v>
      </c>
      <c r="C110" s="35" t="s">
        <v>19</v>
      </c>
      <c r="D110" s="10" t="s">
        <v>25</v>
      </c>
      <c r="E110" s="10" t="s">
        <v>124</v>
      </c>
      <c r="F110" s="10">
        <v>2584</v>
      </c>
      <c r="G110" s="35" t="s">
        <v>825</v>
      </c>
      <c r="H110" s="5" t="s">
        <v>734</v>
      </c>
      <c r="I110" s="14" t="s">
        <v>904</v>
      </c>
      <c r="J110" s="60">
        <v>2</v>
      </c>
      <c r="K110" s="60" t="s">
        <v>52</v>
      </c>
      <c r="L110" s="26" t="s">
        <v>51</v>
      </c>
    </row>
    <row r="111" spans="1:12" x14ac:dyDescent="0.3">
      <c r="A111" s="668"/>
      <c r="B111" s="16">
        <v>45167</v>
      </c>
      <c r="C111" s="4" t="s">
        <v>19</v>
      </c>
      <c r="D111" s="4" t="s">
        <v>25</v>
      </c>
      <c r="E111" s="4" t="s">
        <v>124</v>
      </c>
      <c r="F111" s="4" t="s">
        <v>855</v>
      </c>
      <c r="G111" s="4" t="s">
        <v>862</v>
      </c>
      <c r="H111" s="9" t="s">
        <v>863</v>
      </c>
      <c r="I111" s="14" t="s">
        <v>904</v>
      </c>
      <c r="J111" s="60">
        <v>2</v>
      </c>
      <c r="K111" s="60" t="s">
        <v>50</v>
      </c>
      <c r="L111" s="26" t="s">
        <v>51</v>
      </c>
    </row>
    <row r="112" spans="1:12" x14ac:dyDescent="0.3">
      <c r="A112" s="661" t="s">
        <v>53</v>
      </c>
      <c r="B112" s="661"/>
      <c r="C112" s="661"/>
      <c r="D112" s="661"/>
      <c r="E112" s="661"/>
      <c r="F112" s="661"/>
      <c r="G112" s="661"/>
      <c r="H112" s="661"/>
      <c r="I112" s="661"/>
      <c r="J112" s="26">
        <f>SUM(J106:J111)</f>
        <v>9</v>
      </c>
      <c r="K112" s="27"/>
      <c r="L112" s="26"/>
    </row>
    <row r="118" spans="1:12" ht="27" x14ac:dyDescent="0.3">
      <c r="A118" s="20" t="s">
        <v>43</v>
      </c>
      <c r="B118" s="20" t="s">
        <v>44</v>
      </c>
      <c r="C118" s="21" t="s">
        <v>2</v>
      </c>
      <c r="D118" s="21" t="s">
        <v>3</v>
      </c>
      <c r="E118" s="21" t="s">
        <v>4</v>
      </c>
      <c r="F118" s="21" t="s">
        <v>5</v>
      </c>
      <c r="G118" s="21" t="s">
        <v>6</v>
      </c>
      <c r="H118" s="22" t="s">
        <v>45</v>
      </c>
      <c r="I118" s="21" t="s">
        <v>8</v>
      </c>
      <c r="J118" s="23" t="s">
        <v>46</v>
      </c>
      <c r="K118" s="24" t="s">
        <v>47</v>
      </c>
      <c r="L118" s="24" t="s">
        <v>48</v>
      </c>
    </row>
    <row r="119" spans="1:12" x14ac:dyDescent="0.3">
      <c r="A119" s="522" t="s">
        <v>956</v>
      </c>
      <c r="B119" s="547" t="s">
        <v>1356</v>
      </c>
      <c r="C119" s="4" t="s">
        <v>1074</v>
      </c>
      <c r="D119" s="4" t="s">
        <v>14</v>
      </c>
      <c r="E119" s="4" t="s">
        <v>157</v>
      </c>
      <c r="F119" s="4" t="s">
        <v>364</v>
      </c>
      <c r="G119" s="4" t="s">
        <v>149</v>
      </c>
      <c r="H119" s="9" t="s">
        <v>1282</v>
      </c>
      <c r="I119" s="14"/>
      <c r="J119" s="4">
        <v>4</v>
      </c>
      <c r="K119" s="26" t="s">
        <v>1283</v>
      </c>
      <c r="L119" s="26" t="s">
        <v>51</v>
      </c>
    </row>
    <row r="120" spans="1:12" x14ac:dyDescent="0.3">
      <c r="A120" s="523"/>
      <c r="B120" s="549"/>
      <c r="C120" s="4" t="s">
        <v>1074</v>
      </c>
      <c r="D120" s="4" t="s">
        <v>14</v>
      </c>
      <c r="E120" s="4" t="s">
        <v>157</v>
      </c>
      <c r="F120" s="4" t="s">
        <v>364</v>
      </c>
      <c r="G120" s="4" t="s">
        <v>149</v>
      </c>
      <c r="H120" s="9" t="s">
        <v>1282</v>
      </c>
      <c r="I120" s="14"/>
      <c r="J120" s="4">
        <v>4</v>
      </c>
      <c r="K120" s="26" t="s">
        <v>1283</v>
      </c>
      <c r="L120" s="26" t="s">
        <v>51</v>
      </c>
    </row>
    <row r="121" spans="1:12" x14ac:dyDescent="0.3">
      <c r="A121" s="661" t="s">
        <v>53</v>
      </c>
      <c r="B121" s="661"/>
      <c r="C121" s="661"/>
      <c r="D121" s="661"/>
      <c r="E121" s="661"/>
      <c r="F121" s="661"/>
      <c r="G121" s="661"/>
      <c r="H121" s="661"/>
      <c r="I121" s="661"/>
      <c r="J121" s="26">
        <f>SUM(J119:J120)</f>
        <v>8</v>
      </c>
      <c r="K121" s="26"/>
      <c r="L121" s="26"/>
    </row>
    <row r="125" spans="1:12" ht="27" x14ac:dyDescent="0.3">
      <c r="A125" s="20" t="s">
        <v>43</v>
      </c>
      <c r="B125" s="20" t="s">
        <v>44</v>
      </c>
      <c r="C125" s="21" t="s">
        <v>2</v>
      </c>
      <c r="D125" s="21" t="s">
        <v>3</v>
      </c>
      <c r="E125" s="21" t="s">
        <v>4</v>
      </c>
      <c r="F125" s="21" t="s">
        <v>5</v>
      </c>
      <c r="G125" s="21" t="s">
        <v>6</v>
      </c>
      <c r="H125" s="22" t="s">
        <v>45</v>
      </c>
      <c r="I125" s="21" t="s">
        <v>8</v>
      </c>
      <c r="J125" s="23" t="s">
        <v>46</v>
      </c>
      <c r="K125" s="24" t="s">
        <v>47</v>
      </c>
      <c r="L125" s="24" t="s">
        <v>48</v>
      </c>
    </row>
    <row r="126" spans="1:12" ht="27" x14ac:dyDescent="0.3">
      <c r="A126" s="522" t="s">
        <v>957</v>
      </c>
      <c r="B126" s="16">
        <v>45287</v>
      </c>
      <c r="C126" s="3" t="s">
        <v>24</v>
      </c>
      <c r="D126" s="4" t="s">
        <v>30</v>
      </c>
      <c r="E126" s="3" t="s">
        <v>1127</v>
      </c>
      <c r="F126" s="3" t="s">
        <v>606</v>
      </c>
      <c r="G126" s="3" t="s">
        <v>103</v>
      </c>
      <c r="H126" s="9" t="s">
        <v>1129</v>
      </c>
      <c r="I126" s="14" t="s">
        <v>1281</v>
      </c>
      <c r="J126" s="9">
        <v>1</v>
      </c>
      <c r="K126" s="26" t="s">
        <v>52</v>
      </c>
      <c r="L126" s="26" t="s">
        <v>51</v>
      </c>
    </row>
    <row r="127" spans="1:12" x14ac:dyDescent="0.3">
      <c r="A127" s="523"/>
      <c r="B127" s="16">
        <v>45288</v>
      </c>
      <c r="C127" s="3" t="s">
        <v>24</v>
      </c>
      <c r="D127" s="4" t="s">
        <v>30</v>
      </c>
      <c r="E127" s="3" t="s">
        <v>625</v>
      </c>
      <c r="F127" s="3" t="s">
        <v>1125</v>
      </c>
      <c r="G127" s="3" t="s">
        <v>103</v>
      </c>
      <c r="H127" s="9" t="s">
        <v>1279</v>
      </c>
      <c r="I127" s="14" t="s">
        <v>1281</v>
      </c>
      <c r="J127" s="9">
        <v>1</v>
      </c>
      <c r="K127" s="26" t="s">
        <v>52</v>
      </c>
      <c r="L127" s="26" t="s">
        <v>51</v>
      </c>
    </row>
    <row r="128" spans="1:12" x14ac:dyDescent="0.3">
      <c r="A128" s="523"/>
      <c r="B128" s="16">
        <v>45293</v>
      </c>
      <c r="C128" s="3" t="s">
        <v>64</v>
      </c>
      <c r="D128" s="4" t="s">
        <v>17</v>
      </c>
      <c r="E128" s="3" t="s">
        <v>157</v>
      </c>
      <c r="F128" s="3" t="s">
        <v>1169</v>
      </c>
      <c r="G128" s="3" t="s">
        <v>155</v>
      </c>
      <c r="H128" s="9" t="s">
        <v>1171</v>
      </c>
      <c r="I128" s="14" t="s">
        <v>90</v>
      </c>
      <c r="J128" s="9">
        <v>2</v>
      </c>
      <c r="K128" s="26" t="s">
        <v>52</v>
      </c>
      <c r="L128" s="26" t="s">
        <v>51</v>
      </c>
    </row>
    <row r="129" spans="1:12" x14ac:dyDescent="0.3">
      <c r="A129" s="523"/>
      <c r="B129" s="685">
        <v>45294</v>
      </c>
      <c r="C129" s="3" t="s">
        <v>24</v>
      </c>
      <c r="D129" s="4" t="s">
        <v>31</v>
      </c>
      <c r="E129" s="3" t="s">
        <v>78</v>
      </c>
      <c r="F129" s="3" t="s">
        <v>1120</v>
      </c>
      <c r="G129" s="3" t="s">
        <v>347</v>
      </c>
      <c r="H129" s="9" t="s">
        <v>1121</v>
      </c>
      <c r="I129" s="686" t="s">
        <v>90</v>
      </c>
      <c r="J129" s="679">
        <v>2</v>
      </c>
      <c r="K129" s="26" t="s">
        <v>52</v>
      </c>
      <c r="L129" s="26" t="s">
        <v>51</v>
      </c>
    </row>
    <row r="130" spans="1:12" x14ac:dyDescent="0.3">
      <c r="A130" s="523"/>
      <c r="B130" s="685"/>
      <c r="C130" s="3" t="s">
        <v>21</v>
      </c>
      <c r="D130" s="4" t="s">
        <v>17</v>
      </c>
      <c r="E130" s="3" t="s">
        <v>78</v>
      </c>
      <c r="F130" s="15" t="s">
        <v>869</v>
      </c>
      <c r="G130" s="3" t="s">
        <v>83</v>
      </c>
      <c r="H130" s="9" t="s">
        <v>1130</v>
      </c>
      <c r="I130" s="686"/>
      <c r="J130" s="681"/>
      <c r="K130" s="26" t="s">
        <v>52</v>
      </c>
      <c r="L130" s="26" t="s">
        <v>51</v>
      </c>
    </row>
    <row r="131" spans="1:12" x14ac:dyDescent="0.3">
      <c r="A131" s="523"/>
      <c r="B131" s="99">
        <v>45295</v>
      </c>
      <c r="C131" s="3" t="s">
        <v>64</v>
      </c>
      <c r="D131" s="4" t="s">
        <v>70</v>
      </c>
      <c r="E131" s="3" t="s">
        <v>1127</v>
      </c>
      <c r="F131" s="3" t="s">
        <v>606</v>
      </c>
      <c r="G131" s="3" t="s">
        <v>103</v>
      </c>
      <c r="H131" s="9" t="s">
        <v>1183</v>
      </c>
      <c r="I131" s="14"/>
      <c r="J131" s="9">
        <v>2</v>
      </c>
      <c r="K131" s="26" t="s">
        <v>52</v>
      </c>
      <c r="L131" s="26" t="s">
        <v>51</v>
      </c>
    </row>
    <row r="132" spans="1:12" x14ac:dyDescent="0.3">
      <c r="A132" s="523"/>
      <c r="B132" s="16">
        <v>45299</v>
      </c>
      <c r="C132" s="68" t="s">
        <v>312</v>
      </c>
      <c r="D132" s="137" t="s">
        <v>321</v>
      </c>
      <c r="E132" s="68" t="s">
        <v>1235</v>
      </c>
      <c r="F132" s="68" t="s">
        <v>691</v>
      </c>
      <c r="G132" s="68" t="s">
        <v>664</v>
      </c>
      <c r="H132" s="142" t="s">
        <v>1207</v>
      </c>
      <c r="I132" s="137" t="s">
        <v>640</v>
      </c>
      <c r="J132" s="9">
        <v>1</v>
      </c>
      <c r="K132" s="26" t="s">
        <v>52</v>
      </c>
      <c r="L132" s="26" t="s">
        <v>51</v>
      </c>
    </row>
    <row r="133" spans="1:12" ht="25.5" x14ac:dyDescent="0.3">
      <c r="A133" s="523"/>
      <c r="B133" s="550">
        <v>45300</v>
      </c>
      <c r="C133" s="68" t="s">
        <v>312</v>
      </c>
      <c r="D133" s="137" t="s">
        <v>677</v>
      </c>
      <c r="E133" s="68" t="s">
        <v>722</v>
      </c>
      <c r="F133" s="68" t="s">
        <v>1238</v>
      </c>
      <c r="G133" s="68" t="s">
        <v>1239</v>
      </c>
      <c r="H133" s="157" t="s">
        <v>1180</v>
      </c>
      <c r="I133" s="525" t="s">
        <v>1280</v>
      </c>
      <c r="J133" s="679">
        <v>1</v>
      </c>
      <c r="K133" s="26" t="s">
        <v>52</v>
      </c>
      <c r="L133" s="26" t="s">
        <v>51</v>
      </c>
    </row>
    <row r="134" spans="1:12" x14ac:dyDescent="0.3">
      <c r="A134" s="523"/>
      <c r="B134" s="551"/>
      <c r="C134" s="68" t="s">
        <v>312</v>
      </c>
      <c r="D134" s="137" t="s">
        <v>677</v>
      </c>
      <c r="E134" s="68" t="s">
        <v>722</v>
      </c>
      <c r="F134" s="68" t="s">
        <v>1240</v>
      </c>
      <c r="G134" s="68" t="s">
        <v>1241</v>
      </c>
      <c r="H134" s="157" t="s">
        <v>1242</v>
      </c>
      <c r="I134" s="539"/>
      <c r="J134" s="681"/>
      <c r="K134" s="26" t="s">
        <v>52</v>
      </c>
      <c r="L134" s="26" t="s">
        <v>51</v>
      </c>
    </row>
    <row r="135" spans="1:12" x14ac:dyDescent="0.3">
      <c r="A135" s="523"/>
      <c r="B135" s="16">
        <v>45301</v>
      </c>
      <c r="C135" s="68" t="s">
        <v>312</v>
      </c>
      <c r="D135" s="137" t="s">
        <v>677</v>
      </c>
      <c r="E135" s="68" t="s">
        <v>338</v>
      </c>
      <c r="F135" s="68" t="s">
        <v>334</v>
      </c>
      <c r="G135" s="68" t="s">
        <v>1201</v>
      </c>
      <c r="H135" s="157" t="s">
        <v>1202</v>
      </c>
      <c r="I135" s="14"/>
      <c r="J135" s="9">
        <v>1</v>
      </c>
      <c r="K135" s="26" t="s">
        <v>52</v>
      </c>
      <c r="L135" s="26" t="s">
        <v>51</v>
      </c>
    </row>
    <row r="136" spans="1:12" x14ac:dyDescent="0.3">
      <c r="A136" s="524"/>
      <c r="B136" s="156" t="s">
        <v>1244</v>
      </c>
      <c r="C136" s="68" t="s">
        <v>312</v>
      </c>
      <c r="D136" s="137" t="s">
        <v>321</v>
      </c>
      <c r="E136" s="68" t="s">
        <v>338</v>
      </c>
      <c r="F136" s="68" t="s">
        <v>1204</v>
      </c>
      <c r="G136" s="68" t="s">
        <v>1200</v>
      </c>
      <c r="H136" s="157" t="s">
        <v>1245</v>
      </c>
      <c r="I136" s="156" t="s">
        <v>640</v>
      </c>
      <c r="J136" s="9">
        <v>1</v>
      </c>
      <c r="K136" s="26" t="s">
        <v>52</v>
      </c>
      <c r="L136" s="26" t="s">
        <v>51</v>
      </c>
    </row>
    <row r="137" spans="1:12" x14ac:dyDescent="0.3">
      <c r="A137" s="661" t="s">
        <v>53</v>
      </c>
      <c r="B137" s="661"/>
      <c r="C137" s="661"/>
      <c r="D137" s="661"/>
      <c r="E137" s="661"/>
      <c r="F137" s="661"/>
      <c r="G137" s="661"/>
      <c r="H137" s="661"/>
      <c r="I137" s="661"/>
      <c r="J137" s="26">
        <f>SUM(J126:J136)</f>
        <v>12</v>
      </c>
      <c r="K137" s="26"/>
      <c r="L137" s="26"/>
    </row>
    <row r="141" spans="1:12" ht="27" x14ac:dyDescent="0.3">
      <c r="A141" s="20" t="s">
        <v>43</v>
      </c>
      <c r="B141" s="20" t="s">
        <v>44</v>
      </c>
      <c r="C141" s="21" t="s">
        <v>2</v>
      </c>
      <c r="D141" s="21" t="s">
        <v>3</v>
      </c>
      <c r="E141" s="21" t="s">
        <v>4</v>
      </c>
      <c r="F141" s="21" t="s">
        <v>5</v>
      </c>
      <c r="G141" s="21" t="s">
        <v>6</v>
      </c>
      <c r="H141" s="22" t="s">
        <v>45</v>
      </c>
      <c r="I141" s="21" t="s">
        <v>8</v>
      </c>
      <c r="J141" s="23" t="s">
        <v>46</v>
      </c>
      <c r="K141" s="24" t="s">
        <v>47</v>
      </c>
      <c r="L141" s="24" t="s">
        <v>48</v>
      </c>
    </row>
    <row r="142" spans="1:12" x14ac:dyDescent="0.3">
      <c r="A142" s="523" t="s">
        <v>1009</v>
      </c>
      <c r="B142" s="550" t="s">
        <v>1266</v>
      </c>
      <c r="C142" s="4" t="s">
        <v>19</v>
      </c>
      <c r="D142" s="4" t="s">
        <v>25</v>
      </c>
      <c r="E142" s="4" t="s">
        <v>20</v>
      </c>
      <c r="F142" s="4">
        <v>3306</v>
      </c>
      <c r="G142" s="4" t="s">
        <v>813</v>
      </c>
      <c r="H142" s="9" t="s">
        <v>1151</v>
      </c>
      <c r="I142" s="14" t="s">
        <v>1267</v>
      </c>
      <c r="J142" s="4">
        <v>4</v>
      </c>
      <c r="K142" s="26" t="s">
        <v>50</v>
      </c>
      <c r="L142" s="26" t="s">
        <v>51</v>
      </c>
    </row>
    <row r="143" spans="1:12" x14ac:dyDescent="0.3">
      <c r="A143" s="523"/>
      <c r="B143" s="551"/>
      <c r="C143" s="4" t="s">
        <v>19</v>
      </c>
      <c r="D143" s="4" t="s">
        <v>25</v>
      </c>
      <c r="E143" s="4" t="s">
        <v>20</v>
      </c>
      <c r="F143" s="4">
        <v>8384</v>
      </c>
      <c r="G143" s="4" t="s">
        <v>18</v>
      </c>
      <c r="H143" s="9" t="s">
        <v>1108</v>
      </c>
      <c r="I143" s="14" t="s">
        <v>169</v>
      </c>
      <c r="J143" s="4">
        <v>2</v>
      </c>
      <c r="K143" s="26" t="s">
        <v>50</v>
      </c>
      <c r="L143" s="26" t="s">
        <v>51</v>
      </c>
    </row>
    <row r="144" spans="1:12" x14ac:dyDescent="0.3">
      <c r="A144" s="523"/>
      <c r="B144" s="16" t="s">
        <v>1268</v>
      </c>
      <c r="C144" s="4" t="s">
        <v>19</v>
      </c>
      <c r="D144" s="4" t="s">
        <v>25</v>
      </c>
      <c r="E144" s="4" t="s">
        <v>20</v>
      </c>
      <c r="F144" s="4" t="s">
        <v>1249</v>
      </c>
      <c r="G144" s="4" t="s">
        <v>1250</v>
      </c>
      <c r="H144" s="9" t="s">
        <v>1124</v>
      </c>
      <c r="I144" s="14" t="s">
        <v>173</v>
      </c>
      <c r="J144" s="4">
        <v>5</v>
      </c>
      <c r="K144" s="26" t="s">
        <v>50</v>
      </c>
      <c r="L144" s="26" t="s">
        <v>51</v>
      </c>
    </row>
    <row r="145" spans="1:12" x14ac:dyDescent="0.3">
      <c r="A145" s="661" t="s">
        <v>53</v>
      </c>
      <c r="B145" s="661"/>
      <c r="C145" s="661"/>
      <c r="D145" s="661"/>
      <c r="E145" s="661"/>
      <c r="F145" s="661"/>
      <c r="G145" s="661"/>
      <c r="H145" s="661"/>
      <c r="I145" s="661"/>
      <c r="J145" s="26">
        <f>SUM(J142:J144)</f>
        <v>11</v>
      </c>
      <c r="K145" s="26"/>
      <c r="L145" s="26"/>
    </row>
    <row r="148" spans="1:12" ht="27" x14ac:dyDescent="0.3">
      <c r="A148" s="20" t="s">
        <v>43</v>
      </c>
      <c r="B148" s="20" t="s">
        <v>44</v>
      </c>
      <c r="C148" s="21" t="s">
        <v>2</v>
      </c>
      <c r="D148" s="21" t="s">
        <v>3</v>
      </c>
      <c r="E148" s="21" t="s">
        <v>4</v>
      </c>
      <c r="F148" s="21" t="s">
        <v>5</v>
      </c>
      <c r="G148" s="21" t="s">
        <v>6</v>
      </c>
      <c r="H148" s="22" t="s">
        <v>45</v>
      </c>
      <c r="I148" s="21" t="s">
        <v>8</v>
      </c>
      <c r="J148" s="23" t="s">
        <v>46</v>
      </c>
      <c r="K148" s="24" t="s">
        <v>47</v>
      </c>
      <c r="L148" s="24" t="s">
        <v>48</v>
      </c>
    </row>
    <row r="149" spans="1:12" ht="40.5" x14ac:dyDescent="0.3">
      <c r="A149" s="666" t="s">
        <v>958</v>
      </c>
      <c r="B149" s="130" t="s">
        <v>1374</v>
      </c>
      <c r="C149" s="137" t="s">
        <v>307</v>
      </c>
      <c r="D149" s="137" t="s">
        <v>323</v>
      </c>
      <c r="E149" s="137" t="s">
        <v>308</v>
      </c>
      <c r="F149" s="137" t="s">
        <v>1288</v>
      </c>
      <c r="G149" s="137" t="s">
        <v>1049</v>
      </c>
      <c r="H149" s="138" t="s">
        <v>1188</v>
      </c>
      <c r="I149" s="137" t="s">
        <v>351</v>
      </c>
      <c r="J149" s="195">
        <v>4</v>
      </c>
      <c r="K149" s="26" t="s">
        <v>52</v>
      </c>
      <c r="L149" s="26" t="s">
        <v>51</v>
      </c>
    </row>
    <row r="150" spans="1:12" x14ac:dyDescent="0.3">
      <c r="A150" s="666"/>
      <c r="B150" s="547" t="s">
        <v>1372</v>
      </c>
      <c r="C150" s="4" t="s">
        <v>19</v>
      </c>
      <c r="D150" s="4" t="s">
        <v>25</v>
      </c>
      <c r="E150" s="4" t="s">
        <v>20</v>
      </c>
      <c r="F150" s="14" t="s">
        <v>1294</v>
      </c>
      <c r="G150" s="4" t="s">
        <v>1378</v>
      </c>
      <c r="H150" s="9" t="s">
        <v>131</v>
      </c>
      <c r="I150" s="14" t="s">
        <v>95</v>
      </c>
      <c r="J150" s="9">
        <v>2</v>
      </c>
      <c r="K150" s="26" t="s">
        <v>52</v>
      </c>
      <c r="L150" s="26" t="s">
        <v>51</v>
      </c>
    </row>
    <row r="151" spans="1:12" x14ac:dyDescent="0.3">
      <c r="A151" s="666"/>
      <c r="B151" s="549"/>
      <c r="C151" s="4" t="s">
        <v>19</v>
      </c>
      <c r="D151" s="4" t="s">
        <v>25</v>
      </c>
      <c r="E151" s="4" t="s">
        <v>20</v>
      </c>
      <c r="F151" s="14" t="s">
        <v>1249</v>
      </c>
      <c r="G151" s="4" t="s">
        <v>265</v>
      </c>
      <c r="H151" s="9" t="s">
        <v>131</v>
      </c>
      <c r="I151" s="14" t="s">
        <v>95</v>
      </c>
      <c r="J151" s="9">
        <v>2</v>
      </c>
      <c r="K151" s="26" t="s">
        <v>52</v>
      </c>
      <c r="L151" s="26" t="s">
        <v>51</v>
      </c>
    </row>
    <row r="152" spans="1:12" ht="40.5" x14ac:dyDescent="0.3">
      <c r="A152" s="666"/>
      <c r="B152" s="99" t="s">
        <v>1377</v>
      </c>
      <c r="C152" s="4" t="s">
        <v>19</v>
      </c>
      <c r="D152" s="4" t="s">
        <v>25</v>
      </c>
      <c r="E152" s="4" t="s">
        <v>20</v>
      </c>
      <c r="F152" s="14" t="s">
        <v>1294</v>
      </c>
      <c r="G152" s="4" t="s">
        <v>23</v>
      </c>
      <c r="H152" s="9" t="s">
        <v>131</v>
      </c>
      <c r="I152" s="14" t="s">
        <v>95</v>
      </c>
      <c r="J152" s="9">
        <v>4</v>
      </c>
      <c r="K152" s="26" t="s">
        <v>52</v>
      </c>
      <c r="L152" s="26" t="s">
        <v>51</v>
      </c>
    </row>
    <row r="153" spans="1:12" ht="40.5" x14ac:dyDescent="0.3">
      <c r="A153" s="666"/>
      <c r="B153" s="99" t="s">
        <v>1375</v>
      </c>
      <c r="C153" s="4" t="s">
        <v>19</v>
      </c>
      <c r="D153" s="4" t="s">
        <v>25</v>
      </c>
      <c r="E153" s="4" t="s">
        <v>20</v>
      </c>
      <c r="F153" s="14">
        <v>3306</v>
      </c>
      <c r="G153" s="4" t="s">
        <v>1333</v>
      </c>
      <c r="H153" s="9" t="s">
        <v>1334</v>
      </c>
      <c r="I153" s="14" t="s">
        <v>95</v>
      </c>
      <c r="J153" s="9">
        <v>6</v>
      </c>
      <c r="K153" s="26" t="s">
        <v>52</v>
      </c>
      <c r="L153" s="26" t="s">
        <v>51</v>
      </c>
    </row>
    <row r="154" spans="1:12" x14ac:dyDescent="0.3">
      <c r="A154" s="659" t="s">
        <v>53</v>
      </c>
      <c r="B154" s="659"/>
      <c r="C154" s="659"/>
      <c r="D154" s="659"/>
      <c r="E154" s="659"/>
      <c r="F154" s="659"/>
      <c r="G154" s="659"/>
      <c r="H154" s="659"/>
      <c r="I154" s="659"/>
      <c r="J154" s="26">
        <f>SUM(J149:J153)</f>
        <v>18</v>
      </c>
      <c r="K154" s="26"/>
      <c r="L154" s="26"/>
    </row>
    <row r="157" spans="1:12" ht="27" x14ac:dyDescent="0.3">
      <c r="A157" s="20" t="s">
        <v>43</v>
      </c>
      <c r="B157" s="20" t="s">
        <v>44</v>
      </c>
      <c r="C157" s="21" t="s">
        <v>2</v>
      </c>
      <c r="D157" s="21" t="s">
        <v>3</v>
      </c>
      <c r="E157" s="21" t="s">
        <v>4</v>
      </c>
      <c r="F157" s="21" t="s">
        <v>5</v>
      </c>
      <c r="G157" s="21" t="s">
        <v>6</v>
      </c>
      <c r="H157" s="22" t="s">
        <v>45</v>
      </c>
      <c r="I157" s="21" t="s">
        <v>8</v>
      </c>
      <c r="J157" s="23" t="s">
        <v>46</v>
      </c>
      <c r="K157" s="24" t="s">
        <v>47</v>
      </c>
      <c r="L157" s="24" t="s">
        <v>48</v>
      </c>
    </row>
    <row r="158" spans="1:12" ht="27" x14ac:dyDescent="0.3">
      <c r="A158" s="522" t="s">
        <v>1007</v>
      </c>
      <c r="B158" s="99" t="s">
        <v>1348</v>
      </c>
      <c r="C158" s="4" t="s">
        <v>19</v>
      </c>
      <c r="D158" s="4" t="s">
        <v>25</v>
      </c>
      <c r="E158" s="4" t="s">
        <v>20</v>
      </c>
      <c r="F158" s="4">
        <v>3306</v>
      </c>
      <c r="G158" s="4" t="s">
        <v>813</v>
      </c>
      <c r="H158" s="9" t="s">
        <v>380</v>
      </c>
      <c r="I158" s="14" t="s">
        <v>127</v>
      </c>
      <c r="J158" s="4">
        <v>2</v>
      </c>
      <c r="K158" s="26" t="s">
        <v>50</v>
      </c>
      <c r="L158" s="26" t="s">
        <v>51</v>
      </c>
    </row>
    <row r="159" spans="1:12" ht="27" x14ac:dyDescent="0.3">
      <c r="A159" s="523"/>
      <c r="B159" s="99" t="s">
        <v>1349</v>
      </c>
      <c r="C159" s="4" t="s">
        <v>19</v>
      </c>
      <c r="D159" s="4" t="s">
        <v>25</v>
      </c>
      <c r="E159" s="4" t="s">
        <v>20</v>
      </c>
      <c r="F159" s="4">
        <v>3306</v>
      </c>
      <c r="G159" s="4" t="s">
        <v>813</v>
      </c>
      <c r="H159" s="9" t="s">
        <v>380</v>
      </c>
      <c r="I159" s="14" t="s">
        <v>127</v>
      </c>
      <c r="J159" s="4">
        <v>4</v>
      </c>
      <c r="K159" s="26" t="s">
        <v>50</v>
      </c>
      <c r="L159" s="26" t="s">
        <v>51</v>
      </c>
    </row>
    <row r="160" spans="1:12" ht="27" x14ac:dyDescent="0.3">
      <c r="A160" s="523"/>
      <c r="B160" s="99" t="s">
        <v>1350</v>
      </c>
      <c r="C160" s="4" t="s">
        <v>19</v>
      </c>
      <c r="D160" s="4" t="s">
        <v>25</v>
      </c>
      <c r="E160" s="4" t="s">
        <v>20</v>
      </c>
      <c r="F160" s="4">
        <v>3306</v>
      </c>
      <c r="G160" s="4" t="s">
        <v>813</v>
      </c>
      <c r="H160" s="9" t="s">
        <v>380</v>
      </c>
      <c r="I160" s="14" t="s">
        <v>127</v>
      </c>
      <c r="J160" s="4">
        <v>4</v>
      </c>
      <c r="K160" s="26" t="s">
        <v>50</v>
      </c>
      <c r="L160" s="26" t="s">
        <v>51</v>
      </c>
    </row>
    <row r="161" spans="1:12" ht="27" x14ac:dyDescent="0.3">
      <c r="A161" s="523"/>
      <c r="B161" s="99" t="s">
        <v>1351</v>
      </c>
      <c r="C161" s="4" t="s">
        <v>19</v>
      </c>
      <c r="D161" s="4" t="s">
        <v>25</v>
      </c>
      <c r="E161" s="4" t="s">
        <v>20</v>
      </c>
      <c r="F161" s="4" t="s">
        <v>1328</v>
      </c>
      <c r="G161" s="4" t="s">
        <v>1353</v>
      </c>
      <c r="H161" s="9" t="s">
        <v>380</v>
      </c>
      <c r="I161" s="14" t="s">
        <v>127</v>
      </c>
      <c r="J161" s="4">
        <v>5</v>
      </c>
      <c r="K161" s="26" t="s">
        <v>50</v>
      </c>
      <c r="L161" s="26" t="s">
        <v>51</v>
      </c>
    </row>
    <row r="162" spans="1:12" ht="27" x14ac:dyDescent="0.3">
      <c r="A162" s="524"/>
      <c r="B162" s="99" t="s">
        <v>1352</v>
      </c>
      <c r="C162" s="4" t="s">
        <v>19</v>
      </c>
      <c r="D162" s="4" t="s">
        <v>25</v>
      </c>
      <c r="E162" s="4" t="s">
        <v>20</v>
      </c>
      <c r="F162" s="4" t="s">
        <v>1354</v>
      </c>
      <c r="G162" s="4" t="s">
        <v>1355</v>
      </c>
      <c r="H162" s="9" t="s">
        <v>380</v>
      </c>
      <c r="I162" s="14" t="s">
        <v>127</v>
      </c>
      <c r="J162" s="4">
        <v>4</v>
      </c>
      <c r="K162" s="26" t="s">
        <v>50</v>
      </c>
      <c r="L162" s="26" t="s">
        <v>51</v>
      </c>
    </row>
    <row r="163" spans="1:12" x14ac:dyDescent="0.3">
      <c r="A163" s="661" t="s">
        <v>53</v>
      </c>
      <c r="B163" s="661"/>
      <c r="C163" s="661"/>
      <c r="D163" s="661"/>
      <c r="E163" s="661"/>
      <c r="F163" s="661"/>
      <c r="G163" s="661"/>
      <c r="H163" s="661"/>
      <c r="I163" s="661"/>
      <c r="J163" s="26">
        <f>SUM(J158:J162)</f>
        <v>19</v>
      </c>
      <c r="K163" s="26"/>
      <c r="L163" s="26"/>
    </row>
    <row r="165" spans="1:12" ht="27" x14ac:dyDescent="0.3">
      <c r="A165" s="20" t="s">
        <v>43</v>
      </c>
      <c r="B165" s="20" t="s">
        <v>44</v>
      </c>
      <c r="C165" s="21" t="s">
        <v>2</v>
      </c>
      <c r="D165" s="21" t="s">
        <v>3</v>
      </c>
      <c r="E165" s="21" t="s">
        <v>4</v>
      </c>
      <c r="F165" s="21" t="s">
        <v>5</v>
      </c>
      <c r="G165" s="21" t="s">
        <v>6</v>
      </c>
      <c r="H165" s="22" t="s">
        <v>45</v>
      </c>
      <c r="I165" s="21" t="s">
        <v>8</v>
      </c>
      <c r="J165" s="23" t="s">
        <v>46</v>
      </c>
      <c r="K165" s="24" t="s">
        <v>47</v>
      </c>
      <c r="L165" s="24" t="s">
        <v>48</v>
      </c>
    </row>
    <row r="166" spans="1:12" ht="27" x14ac:dyDescent="0.3">
      <c r="A166" s="169" t="s">
        <v>1346</v>
      </c>
      <c r="B166" s="16">
        <v>45335</v>
      </c>
      <c r="C166" s="3" t="s">
        <v>21</v>
      </c>
      <c r="D166" s="4" t="s">
        <v>14</v>
      </c>
      <c r="E166" s="3" t="s">
        <v>625</v>
      </c>
      <c r="F166" s="3" t="s">
        <v>1125</v>
      </c>
      <c r="G166" s="3" t="s">
        <v>103</v>
      </c>
      <c r="H166" s="9" t="s">
        <v>1295</v>
      </c>
      <c r="I166" s="14"/>
      <c r="J166" s="4">
        <v>1</v>
      </c>
      <c r="K166" s="26" t="s">
        <v>1347</v>
      </c>
      <c r="L166" s="34" t="s">
        <v>1008</v>
      </c>
    </row>
    <row r="167" spans="1:12" x14ac:dyDescent="0.3">
      <c r="A167" s="659" t="s">
        <v>53</v>
      </c>
      <c r="B167" s="659"/>
      <c r="C167" s="659"/>
      <c r="D167" s="659"/>
      <c r="E167" s="659"/>
      <c r="F167" s="659"/>
      <c r="G167" s="659"/>
      <c r="H167" s="659"/>
      <c r="I167" s="659"/>
      <c r="J167" s="26">
        <f>SUM(J166:J166)</f>
        <v>1</v>
      </c>
      <c r="K167" s="26"/>
      <c r="L167" s="26"/>
    </row>
    <row r="172" spans="1:12" ht="27" x14ac:dyDescent="0.3">
      <c r="A172" s="20" t="s">
        <v>43</v>
      </c>
      <c r="B172" s="20" t="s">
        <v>44</v>
      </c>
      <c r="C172" s="21" t="s">
        <v>2</v>
      </c>
      <c r="D172" s="21" t="s">
        <v>3</v>
      </c>
      <c r="E172" s="21" t="s">
        <v>4</v>
      </c>
      <c r="F172" s="21" t="s">
        <v>5</v>
      </c>
      <c r="G172" s="21" t="s">
        <v>6</v>
      </c>
      <c r="H172" s="22" t="s">
        <v>45</v>
      </c>
      <c r="I172" s="21" t="s">
        <v>8</v>
      </c>
      <c r="J172" s="23" t="s">
        <v>46</v>
      </c>
      <c r="K172" s="24" t="s">
        <v>47</v>
      </c>
      <c r="L172" s="24" t="s">
        <v>48</v>
      </c>
    </row>
    <row r="173" spans="1:12" x14ac:dyDescent="0.3">
      <c r="A173" s="522" t="s">
        <v>1009</v>
      </c>
      <c r="B173" s="38">
        <v>45225</v>
      </c>
      <c r="C173" s="3" t="s">
        <v>1074</v>
      </c>
      <c r="D173" s="4" t="s">
        <v>25</v>
      </c>
      <c r="E173" s="3" t="s">
        <v>1070</v>
      </c>
      <c r="F173" s="3">
        <v>3306</v>
      </c>
      <c r="G173" s="3" t="s">
        <v>1065</v>
      </c>
      <c r="H173" s="9" t="s">
        <v>1075</v>
      </c>
      <c r="I173" s="14" t="s">
        <v>1077</v>
      </c>
      <c r="J173" s="4">
        <v>2</v>
      </c>
      <c r="K173" s="26" t="s">
        <v>1010</v>
      </c>
      <c r="L173" s="34" t="s">
        <v>1008</v>
      </c>
    </row>
    <row r="174" spans="1:12" x14ac:dyDescent="0.3">
      <c r="A174" s="523"/>
      <c r="B174" s="38">
        <v>45226</v>
      </c>
      <c r="C174" s="3" t="s">
        <v>1074</v>
      </c>
      <c r="D174" s="4" t="s">
        <v>25</v>
      </c>
      <c r="E174" s="3" t="s">
        <v>1070</v>
      </c>
      <c r="F174" s="3">
        <v>3306</v>
      </c>
      <c r="G174" s="3" t="s">
        <v>1065</v>
      </c>
      <c r="H174" s="9" t="s">
        <v>1075</v>
      </c>
      <c r="I174" s="14" t="s">
        <v>1077</v>
      </c>
      <c r="J174" s="4">
        <v>2</v>
      </c>
      <c r="K174" s="26" t="s">
        <v>1010</v>
      </c>
      <c r="L174" s="34" t="s">
        <v>1008</v>
      </c>
    </row>
    <row r="175" spans="1:12" x14ac:dyDescent="0.3">
      <c r="A175" s="523"/>
      <c r="B175" s="38">
        <v>45229</v>
      </c>
      <c r="C175" s="3" t="s">
        <v>1074</v>
      </c>
      <c r="D175" s="4" t="s">
        <v>25</v>
      </c>
      <c r="E175" s="3" t="s">
        <v>1071</v>
      </c>
      <c r="F175" s="3">
        <v>2585</v>
      </c>
      <c r="G175" s="3" t="s">
        <v>1050</v>
      </c>
      <c r="H175" s="9" t="s">
        <v>1075</v>
      </c>
      <c r="I175" s="14" t="s">
        <v>1078</v>
      </c>
      <c r="J175" s="4">
        <v>1</v>
      </c>
      <c r="K175" s="26" t="s">
        <v>1010</v>
      </c>
      <c r="L175" s="34" t="s">
        <v>1008</v>
      </c>
    </row>
    <row r="176" spans="1:12" x14ac:dyDescent="0.3">
      <c r="A176" s="523"/>
      <c r="B176" s="38">
        <v>45230</v>
      </c>
      <c r="C176" s="3" t="s">
        <v>1074</v>
      </c>
      <c r="D176" s="4" t="s">
        <v>25</v>
      </c>
      <c r="E176" s="3" t="s">
        <v>1072</v>
      </c>
      <c r="F176" s="3" t="s">
        <v>1064</v>
      </c>
      <c r="G176" s="3" t="s">
        <v>1069</v>
      </c>
      <c r="H176" s="9" t="s">
        <v>1075</v>
      </c>
      <c r="I176" s="14" t="s">
        <v>1076</v>
      </c>
      <c r="J176" s="4">
        <v>1</v>
      </c>
      <c r="K176" s="26" t="s">
        <v>1010</v>
      </c>
      <c r="L176" s="34" t="s">
        <v>1008</v>
      </c>
    </row>
    <row r="177" spans="1:12" x14ac:dyDescent="0.3">
      <c r="A177" s="523"/>
      <c r="B177" s="38">
        <v>45233</v>
      </c>
      <c r="C177" s="3" t="s">
        <v>1074</v>
      </c>
      <c r="D177" s="4" t="s">
        <v>25</v>
      </c>
      <c r="E177" s="3" t="s">
        <v>1072</v>
      </c>
      <c r="F177" s="3">
        <v>2585</v>
      </c>
      <c r="G177" s="3" t="s">
        <v>1068</v>
      </c>
      <c r="H177" s="9" t="s">
        <v>1075</v>
      </c>
      <c r="I177" s="14" t="s">
        <v>1079</v>
      </c>
      <c r="J177" s="4">
        <v>1</v>
      </c>
      <c r="K177" s="26" t="s">
        <v>1010</v>
      </c>
      <c r="L177" s="34" t="s">
        <v>1008</v>
      </c>
    </row>
    <row r="178" spans="1:12" x14ac:dyDescent="0.3">
      <c r="A178" s="523"/>
      <c r="B178" s="38">
        <v>45240</v>
      </c>
      <c r="C178" s="3" t="s">
        <v>1074</v>
      </c>
      <c r="D178" s="4" t="s">
        <v>25</v>
      </c>
      <c r="E178" s="3" t="s">
        <v>1070</v>
      </c>
      <c r="F178" s="3">
        <v>3306</v>
      </c>
      <c r="G178" s="3" t="s">
        <v>1065</v>
      </c>
      <c r="H178" s="9" t="s">
        <v>1075</v>
      </c>
      <c r="I178" s="14" t="s">
        <v>1077</v>
      </c>
      <c r="J178" s="4">
        <v>2</v>
      </c>
      <c r="K178" s="26" t="s">
        <v>1010</v>
      </c>
      <c r="L178" s="34" t="s">
        <v>1008</v>
      </c>
    </row>
    <row r="179" spans="1:12" x14ac:dyDescent="0.3">
      <c r="A179" s="523"/>
      <c r="B179" s="38">
        <v>45241</v>
      </c>
      <c r="C179" s="3" t="s">
        <v>1074</v>
      </c>
      <c r="D179" s="4" t="s">
        <v>25</v>
      </c>
      <c r="E179" s="3" t="s">
        <v>1070</v>
      </c>
      <c r="F179" s="3">
        <v>3306</v>
      </c>
      <c r="G179" s="3" t="s">
        <v>1065</v>
      </c>
      <c r="H179" s="9" t="s">
        <v>1075</v>
      </c>
      <c r="I179" s="14" t="s">
        <v>1077</v>
      </c>
      <c r="J179" s="4">
        <v>2</v>
      </c>
      <c r="K179" s="26" t="s">
        <v>1010</v>
      </c>
      <c r="L179" s="34" t="s">
        <v>1008</v>
      </c>
    </row>
    <row r="180" spans="1:12" x14ac:dyDescent="0.3">
      <c r="A180" s="523"/>
      <c r="B180" s="38">
        <v>45243</v>
      </c>
      <c r="C180" s="3" t="s">
        <v>1074</v>
      </c>
      <c r="D180" s="4" t="s">
        <v>25</v>
      </c>
      <c r="E180" s="3" t="s">
        <v>1070</v>
      </c>
      <c r="F180" s="3">
        <v>3306</v>
      </c>
      <c r="G180" s="3" t="s">
        <v>1065</v>
      </c>
      <c r="H180" s="9" t="s">
        <v>1075</v>
      </c>
      <c r="I180" s="14" t="s">
        <v>1077</v>
      </c>
      <c r="J180" s="4">
        <v>2</v>
      </c>
      <c r="K180" s="26" t="s">
        <v>1010</v>
      </c>
      <c r="L180" s="34" t="s">
        <v>1008</v>
      </c>
    </row>
    <row r="181" spans="1:12" x14ac:dyDescent="0.3">
      <c r="A181" s="523"/>
      <c r="B181" s="38">
        <v>45244</v>
      </c>
      <c r="C181" s="3" t="s">
        <v>1074</v>
      </c>
      <c r="D181" s="4" t="s">
        <v>25</v>
      </c>
      <c r="E181" s="3" t="s">
        <v>1073</v>
      </c>
      <c r="F181" s="3">
        <v>2585</v>
      </c>
      <c r="G181" s="3" t="s">
        <v>1066</v>
      </c>
      <c r="H181" s="9" t="s">
        <v>1075</v>
      </c>
      <c r="I181" s="14" t="s">
        <v>1080</v>
      </c>
      <c r="J181" s="4">
        <v>1</v>
      </c>
      <c r="K181" s="26" t="s">
        <v>1010</v>
      </c>
      <c r="L181" s="34" t="s">
        <v>1008</v>
      </c>
    </row>
    <row r="182" spans="1:12" x14ac:dyDescent="0.3">
      <c r="A182" s="524"/>
      <c r="B182" s="38">
        <v>45244</v>
      </c>
      <c r="C182" s="3" t="s">
        <v>1074</v>
      </c>
      <c r="D182" s="4" t="s">
        <v>25</v>
      </c>
      <c r="E182" s="3" t="s">
        <v>1073</v>
      </c>
      <c r="F182" s="3">
        <v>4266</v>
      </c>
      <c r="G182" s="3" t="s">
        <v>1067</v>
      </c>
      <c r="H182" s="9" t="s">
        <v>1075</v>
      </c>
      <c r="I182" s="14" t="s">
        <v>1081</v>
      </c>
      <c r="J182" s="4">
        <v>1</v>
      </c>
      <c r="K182" s="26" t="s">
        <v>1010</v>
      </c>
      <c r="L182" s="34" t="s">
        <v>1008</v>
      </c>
    </row>
    <row r="183" spans="1:12" x14ac:dyDescent="0.3">
      <c r="A183" s="661" t="s">
        <v>53</v>
      </c>
      <c r="B183" s="661"/>
      <c r="C183" s="661"/>
      <c r="D183" s="661"/>
      <c r="E183" s="661"/>
      <c r="F183" s="661"/>
      <c r="G183" s="661"/>
      <c r="H183" s="661"/>
      <c r="I183" s="661"/>
      <c r="J183" s="26">
        <f>SUM(J173:J182)</f>
        <v>15</v>
      </c>
      <c r="K183" s="26"/>
      <c r="L183" s="26"/>
    </row>
    <row r="188" spans="1:12" ht="27" x14ac:dyDescent="0.3">
      <c r="A188" s="20" t="s">
        <v>43</v>
      </c>
      <c r="B188" s="20" t="s">
        <v>44</v>
      </c>
      <c r="C188" s="21" t="s">
        <v>2</v>
      </c>
      <c r="D188" s="21" t="s">
        <v>3</v>
      </c>
      <c r="E188" s="21" t="s">
        <v>4</v>
      </c>
      <c r="F188" s="21" t="s">
        <v>5</v>
      </c>
      <c r="G188" s="21" t="s">
        <v>6</v>
      </c>
      <c r="H188" s="22" t="s">
        <v>45</v>
      </c>
      <c r="I188" s="21" t="s">
        <v>8</v>
      </c>
      <c r="J188" s="23" t="s">
        <v>46</v>
      </c>
      <c r="K188" s="24" t="s">
        <v>47</v>
      </c>
      <c r="L188" s="24" t="s">
        <v>48</v>
      </c>
    </row>
    <row r="189" spans="1:12" x14ac:dyDescent="0.3">
      <c r="A189" s="629" t="s">
        <v>1063</v>
      </c>
      <c r="B189" s="547" t="s">
        <v>1087</v>
      </c>
      <c r="C189" s="4" t="s">
        <v>19</v>
      </c>
      <c r="D189" s="4" t="s">
        <v>25</v>
      </c>
      <c r="E189" s="4" t="s">
        <v>20</v>
      </c>
      <c r="F189" s="4" t="s">
        <v>1090</v>
      </c>
      <c r="G189" s="4" t="s">
        <v>23</v>
      </c>
      <c r="H189" s="9" t="s">
        <v>1119</v>
      </c>
      <c r="I189" s="14" t="s">
        <v>1058</v>
      </c>
      <c r="J189" s="4">
        <v>4</v>
      </c>
      <c r="K189" s="26" t="s">
        <v>52</v>
      </c>
      <c r="L189" s="26" t="s">
        <v>51</v>
      </c>
    </row>
    <row r="190" spans="1:12" x14ac:dyDescent="0.3">
      <c r="A190" s="630"/>
      <c r="B190" s="549"/>
      <c r="C190" s="3" t="s">
        <v>19</v>
      </c>
      <c r="D190" s="4" t="s">
        <v>25</v>
      </c>
      <c r="E190" s="4" t="s">
        <v>20</v>
      </c>
      <c r="F190" s="4">
        <v>2585</v>
      </c>
      <c r="G190" s="3" t="s">
        <v>363</v>
      </c>
      <c r="H190" s="9" t="s">
        <v>734</v>
      </c>
      <c r="I190" s="14" t="s">
        <v>1058</v>
      </c>
      <c r="J190" s="4">
        <v>2</v>
      </c>
      <c r="K190" s="26" t="s">
        <v>52</v>
      </c>
      <c r="L190" s="26" t="s">
        <v>51</v>
      </c>
    </row>
    <row r="191" spans="1:12" x14ac:dyDescent="0.3">
      <c r="A191" s="630"/>
      <c r="B191" s="547" t="s">
        <v>1123</v>
      </c>
      <c r="C191" s="3" t="s">
        <v>19</v>
      </c>
      <c r="D191" s="4" t="s">
        <v>25</v>
      </c>
      <c r="E191" s="4" t="s">
        <v>20</v>
      </c>
      <c r="F191" s="4" t="s">
        <v>963</v>
      </c>
      <c r="G191" s="3" t="s">
        <v>146</v>
      </c>
      <c r="H191" s="9" t="s">
        <v>1107</v>
      </c>
      <c r="I191" s="14" t="s">
        <v>95</v>
      </c>
      <c r="J191" s="4">
        <v>1</v>
      </c>
      <c r="K191" s="26" t="s">
        <v>52</v>
      </c>
      <c r="L191" s="26" t="s">
        <v>51</v>
      </c>
    </row>
    <row r="192" spans="1:12" x14ac:dyDescent="0.3">
      <c r="A192" s="630"/>
      <c r="B192" s="549"/>
      <c r="C192" s="3" t="s">
        <v>19</v>
      </c>
      <c r="D192" s="4" t="s">
        <v>25</v>
      </c>
      <c r="E192" s="4" t="s">
        <v>20</v>
      </c>
      <c r="F192" s="4">
        <v>2585</v>
      </c>
      <c r="G192" s="3" t="s">
        <v>280</v>
      </c>
      <c r="H192" s="9" t="s">
        <v>1107</v>
      </c>
      <c r="I192" s="14" t="s">
        <v>95</v>
      </c>
      <c r="J192" s="4">
        <v>4</v>
      </c>
      <c r="K192" s="26" t="s">
        <v>52</v>
      </c>
      <c r="L192" s="26" t="s">
        <v>51</v>
      </c>
    </row>
    <row r="193" spans="1:12" x14ac:dyDescent="0.3">
      <c r="A193" s="661" t="s">
        <v>53</v>
      </c>
      <c r="B193" s="661"/>
      <c r="C193" s="661"/>
      <c r="D193" s="661"/>
      <c r="E193" s="661"/>
      <c r="F193" s="661"/>
      <c r="G193" s="661"/>
      <c r="H193" s="661"/>
      <c r="I193" s="661"/>
      <c r="J193" s="4">
        <f>SUM(J189:J192)</f>
        <v>11</v>
      </c>
      <c r="K193" s="27"/>
      <c r="L193" s="59"/>
    </row>
    <row r="198" spans="1:12" ht="27" x14ac:dyDescent="0.3">
      <c r="A198" s="20" t="s">
        <v>43</v>
      </c>
      <c r="B198" s="20" t="s">
        <v>44</v>
      </c>
      <c r="C198" s="21" t="s">
        <v>2</v>
      </c>
      <c r="D198" s="21" t="s">
        <v>3</v>
      </c>
      <c r="E198" s="21" t="s">
        <v>4</v>
      </c>
      <c r="F198" s="21" t="s">
        <v>5</v>
      </c>
      <c r="G198" s="21" t="s">
        <v>6</v>
      </c>
      <c r="H198" s="22" t="s">
        <v>45</v>
      </c>
      <c r="I198" s="21" t="s">
        <v>8</v>
      </c>
      <c r="J198" s="23" t="s">
        <v>46</v>
      </c>
      <c r="K198" s="24" t="s">
        <v>47</v>
      </c>
      <c r="L198" s="24" t="s">
        <v>48</v>
      </c>
    </row>
    <row r="199" spans="1:12" ht="27" x14ac:dyDescent="0.3">
      <c r="A199" s="675" t="s">
        <v>1117</v>
      </c>
      <c r="B199" s="129">
        <v>45652</v>
      </c>
      <c r="C199" s="3" t="s">
        <v>24</v>
      </c>
      <c r="D199" s="4" t="s">
        <v>30</v>
      </c>
      <c r="E199" s="3" t="s">
        <v>1127</v>
      </c>
      <c r="F199" s="3" t="s">
        <v>606</v>
      </c>
      <c r="G199" s="3" t="s">
        <v>103</v>
      </c>
      <c r="H199" s="9" t="s">
        <v>1129</v>
      </c>
      <c r="I199" s="14"/>
      <c r="J199" s="4">
        <v>1</v>
      </c>
      <c r="K199" s="26" t="s">
        <v>52</v>
      </c>
      <c r="L199" s="26" t="s">
        <v>51</v>
      </c>
    </row>
    <row r="200" spans="1:12" x14ac:dyDescent="0.3">
      <c r="A200" s="676"/>
      <c r="B200" s="129">
        <v>45653</v>
      </c>
      <c r="C200" s="3" t="s">
        <v>24</v>
      </c>
      <c r="D200" s="4" t="s">
        <v>30</v>
      </c>
      <c r="E200" s="3" t="s">
        <v>625</v>
      </c>
      <c r="F200" s="3" t="s">
        <v>1125</v>
      </c>
      <c r="G200" s="3" t="s">
        <v>103</v>
      </c>
      <c r="H200" s="9" t="s">
        <v>1126</v>
      </c>
      <c r="I200" s="14"/>
      <c r="J200" s="4">
        <v>1</v>
      </c>
      <c r="K200" s="26" t="s">
        <v>52</v>
      </c>
      <c r="L200" s="26" t="s">
        <v>51</v>
      </c>
    </row>
    <row r="201" spans="1:12" ht="27" x14ac:dyDescent="0.3">
      <c r="A201" s="676"/>
      <c r="B201" s="129">
        <v>45654</v>
      </c>
      <c r="C201" s="3" t="s">
        <v>21</v>
      </c>
      <c r="D201" s="4" t="s">
        <v>31</v>
      </c>
      <c r="E201" s="3" t="s">
        <v>900</v>
      </c>
      <c r="F201" s="3" t="s">
        <v>881</v>
      </c>
      <c r="G201" s="3" t="s">
        <v>103</v>
      </c>
      <c r="H201" s="9" t="s">
        <v>1132</v>
      </c>
      <c r="I201" s="14"/>
      <c r="J201" s="4">
        <v>1</v>
      </c>
      <c r="K201" s="26" t="s">
        <v>52</v>
      </c>
      <c r="L201" s="26" t="s">
        <v>51</v>
      </c>
    </row>
    <row r="202" spans="1:12" x14ac:dyDescent="0.3">
      <c r="A202" s="676"/>
      <c r="B202" s="99">
        <v>45317</v>
      </c>
      <c r="C202" s="3" t="s">
        <v>64</v>
      </c>
      <c r="D202" s="4" t="s">
        <v>70</v>
      </c>
      <c r="E202" s="3" t="s">
        <v>1127</v>
      </c>
      <c r="F202" s="3" t="s">
        <v>606</v>
      </c>
      <c r="G202" s="3" t="s">
        <v>103</v>
      </c>
      <c r="H202" s="9" t="s">
        <v>398</v>
      </c>
      <c r="I202" s="14" t="s">
        <v>90</v>
      </c>
      <c r="J202" s="4">
        <v>1</v>
      </c>
      <c r="K202" s="26" t="s">
        <v>52</v>
      </c>
      <c r="L202" s="26" t="s">
        <v>51</v>
      </c>
    </row>
    <row r="203" spans="1:12" x14ac:dyDescent="0.3">
      <c r="A203" s="659" t="s">
        <v>53</v>
      </c>
      <c r="B203" s="659"/>
      <c r="C203" s="659"/>
      <c r="D203" s="659"/>
      <c r="E203" s="659"/>
      <c r="F203" s="659"/>
      <c r="G203" s="659"/>
      <c r="H203" s="659"/>
      <c r="I203" s="659"/>
      <c r="J203" s="26">
        <f>SUM(J199:J202)</f>
        <v>4</v>
      </c>
      <c r="K203" s="26"/>
      <c r="L203" s="26"/>
    </row>
    <row r="206" spans="1:12" ht="27" x14ac:dyDescent="0.3">
      <c r="A206" s="20" t="s">
        <v>43</v>
      </c>
      <c r="B206" s="20" t="s">
        <v>44</v>
      </c>
      <c r="C206" s="21" t="s">
        <v>2</v>
      </c>
      <c r="D206" s="21" t="s">
        <v>3</v>
      </c>
      <c r="E206" s="21" t="s">
        <v>4</v>
      </c>
      <c r="F206" s="21" t="s">
        <v>5</v>
      </c>
      <c r="G206" s="21" t="s">
        <v>6</v>
      </c>
      <c r="H206" s="22" t="s">
        <v>45</v>
      </c>
      <c r="I206" s="21" t="s">
        <v>8</v>
      </c>
      <c r="J206" s="23" t="s">
        <v>46</v>
      </c>
      <c r="K206" s="24" t="s">
        <v>47</v>
      </c>
      <c r="L206" s="24" t="s">
        <v>48</v>
      </c>
    </row>
    <row r="207" spans="1:12" ht="40.5" x14ac:dyDescent="0.3">
      <c r="A207" s="659" t="s">
        <v>741</v>
      </c>
      <c r="B207" s="135" t="s">
        <v>1269</v>
      </c>
      <c r="C207" s="3" t="s">
        <v>21</v>
      </c>
      <c r="D207" s="4" t="s">
        <v>30</v>
      </c>
      <c r="E207" s="3" t="s">
        <v>921</v>
      </c>
      <c r="F207" s="3" t="s">
        <v>1028</v>
      </c>
      <c r="G207" s="3" t="s">
        <v>23</v>
      </c>
      <c r="H207" s="9" t="s">
        <v>1270</v>
      </c>
      <c r="I207" s="14" t="s">
        <v>156</v>
      </c>
      <c r="J207" s="4">
        <v>3</v>
      </c>
      <c r="K207" s="26" t="s">
        <v>1271</v>
      </c>
      <c r="L207" s="26" t="s">
        <v>51</v>
      </c>
    </row>
    <row r="208" spans="1:12" ht="27" x14ac:dyDescent="0.3">
      <c r="A208" s="659"/>
      <c r="B208" s="135">
        <v>45288</v>
      </c>
      <c r="C208" s="3" t="s">
        <v>21</v>
      </c>
      <c r="D208" s="4" t="s">
        <v>31</v>
      </c>
      <c r="E208" s="3" t="s">
        <v>900</v>
      </c>
      <c r="F208" s="3" t="s">
        <v>881</v>
      </c>
      <c r="G208" s="3" t="s">
        <v>103</v>
      </c>
      <c r="H208" s="9" t="s">
        <v>1132</v>
      </c>
      <c r="I208" s="14" t="s">
        <v>156</v>
      </c>
      <c r="J208" s="4">
        <v>1</v>
      </c>
      <c r="K208" s="26" t="s">
        <v>50</v>
      </c>
      <c r="L208" s="26" t="s">
        <v>51</v>
      </c>
    </row>
    <row r="209" spans="1:12" x14ac:dyDescent="0.3">
      <c r="A209" s="659"/>
      <c r="B209" s="135">
        <v>45293</v>
      </c>
      <c r="C209" s="3" t="s">
        <v>97</v>
      </c>
      <c r="D209" s="4" t="s">
        <v>14</v>
      </c>
      <c r="E209" s="3" t="s">
        <v>212</v>
      </c>
      <c r="F209" s="3">
        <v>2461</v>
      </c>
      <c r="G209" s="3" t="s">
        <v>265</v>
      </c>
      <c r="H209" s="9" t="s">
        <v>1275</v>
      </c>
      <c r="I209" s="14"/>
      <c r="J209" s="4">
        <v>2</v>
      </c>
      <c r="K209" s="26" t="s">
        <v>50</v>
      </c>
      <c r="L209" s="26" t="s">
        <v>51</v>
      </c>
    </row>
    <row r="210" spans="1:12" x14ac:dyDescent="0.3">
      <c r="A210" s="659"/>
      <c r="B210" s="135">
        <v>45296</v>
      </c>
      <c r="C210" s="3" t="s">
        <v>21</v>
      </c>
      <c r="D210" s="4" t="s">
        <v>30</v>
      </c>
      <c r="E210" s="3" t="s">
        <v>108</v>
      </c>
      <c r="F210" s="3" t="s">
        <v>109</v>
      </c>
      <c r="G210" s="3" t="s">
        <v>144</v>
      </c>
      <c r="H210" s="9" t="s">
        <v>1272</v>
      </c>
      <c r="I210" s="14" t="s">
        <v>156</v>
      </c>
      <c r="J210" s="4">
        <v>1</v>
      </c>
      <c r="K210" s="26" t="s">
        <v>50</v>
      </c>
      <c r="L210" s="26" t="s">
        <v>51</v>
      </c>
    </row>
    <row r="211" spans="1:12" x14ac:dyDescent="0.3">
      <c r="A211" s="659"/>
      <c r="B211" s="135">
        <v>45297</v>
      </c>
      <c r="C211" s="3" t="s">
        <v>139</v>
      </c>
      <c r="D211" s="4" t="s">
        <v>30</v>
      </c>
      <c r="E211" s="3" t="s">
        <v>278</v>
      </c>
      <c r="F211" s="3">
        <v>4210</v>
      </c>
      <c r="G211" s="3" t="s">
        <v>1273</v>
      </c>
      <c r="H211" s="9" t="s">
        <v>1274</v>
      </c>
      <c r="I211" s="14"/>
      <c r="J211" s="4">
        <v>3</v>
      </c>
      <c r="K211" s="26" t="s">
        <v>50</v>
      </c>
      <c r="L211" s="26" t="s">
        <v>51</v>
      </c>
    </row>
    <row r="212" spans="1:12" x14ac:dyDescent="0.3">
      <c r="A212" s="659"/>
      <c r="B212" s="135">
        <v>45299</v>
      </c>
      <c r="C212" s="68" t="s">
        <v>312</v>
      </c>
      <c r="D212" s="137" t="s">
        <v>321</v>
      </c>
      <c r="E212" s="68" t="s">
        <v>711</v>
      </c>
      <c r="F212" s="68">
        <v>2461</v>
      </c>
      <c r="G212" s="68" t="s">
        <v>1049</v>
      </c>
      <c r="H212" s="165" t="s">
        <v>1215</v>
      </c>
      <c r="I212" s="14"/>
      <c r="J212" s="4">
        <v>2</v>
      </c>
      <c r="K212" s="26" t="s">
        <v>50</v>
      </c>
      <c r="L212" s="26" t="s">
        <v>51</v>
      </c>
    </row>
    <row r="213" spans="1:12" x14ac:dyDescent="0.3">
      <c r="A213" s="659"/>
      <c r="B213" s="135" t="s">
        <v>1277</v>
      </c>
      <c r="C213" s="3" t="s">
        <v>21</v>
      </c>
      <c r="D213" s="4" t="s">
        <v>30</v>
      </c>
      <c r="E213" s="3" t="s">
        <v>921</v>
      </c>
      <c r="F213" s="3" t="s">
        <v>1028</v>
      </c>
      <c r="G213" s="3" t="s">
        <v>23</v>
      </c>
      <c r="H213" s="9" t="s">
        <v>1276</v>
      </c>
      <c r="I213" s="14" t="s">
        <v>90</v>
      </c>
      <c r="J213" s="4">
        <v>2</v>
      </c>
      <c r="K213" s="26" t="s">
        <v>50</v>
      </c>
      <c r="L213" s="26" t="s">
        <v>51</v>
      </c>
    </row>
    <row r="214" spans="1:12" x14ac:dyDescent="0.3">
      <c r="A214" s="659" t="s">
        <v>53</v>
      </c>
      <c r="B214" s="659"/>
      <c r="C214" s="659"/>
      <c r="D214" s="659"/>
      <c r="E214" s="659"/>
      <c r="F214" s="659"/>
      <c r="G214" s="659"/>
      <c r="H214" s="659"/>
      <c r="I214" s="659"/>
      <c r="J214" s="26">
        <f>SUM(J207:J213)</f>
        <v>14</v>
      </c>
      <c r="K214" s="26"/>
      <c r="L214" s="26"/>
    </row>
    <row r="217" spans="1:12" x14ac:dyDescent="0.3">
      <c r="A217" t="s">
        <v>1505</v>
      </c>
    </row>
    <row r="219" spans="1:12" ht="27" x14ac:dyDescent="0.3">
      <c r="A219" s="20" t="s">
        <v>1438</v>
      </c>
      <c r="B219" s="20" t="s">
        <v>1439</v>
      </c>
      <c r="C219" s="21" t="s">
        <v>2</v>
      </c>
      <c r="D219" s="21" t="s">
        <v>3</v>
      </c>
      <c r="E219" s="21" t="s">
        <v>4</v>
      </c>
      <c r="F219" s="21" t="s">
        <v>5</v>
      </c>
      <c r="G219" s="21" t="s">
        <v>6</v>
      </c>
      <c r="H219" s="22" t="s">
        <v>1440</v>
      </c>
      <c r="I219" s="21" t="s">
        <v>1441</v>
      </c>
      <c r="J219" s="23" t="s">
        <v>1442</v>
      </c>
      <c r="K219" s="24" t="s">
        <v>1443</v>
      </c>
      <c r="L219" s="24" t="s">
        <v>1444</v>
      </c>
    </row>
    <row r="220" spans="1:12" x14ac:dyDescent="0.3">
      <c r="A220" s="659" t="s">
        <v>1445</v>
      </c>
      <c r="B220" s="202">
        <v>45344</v>
      </c>
      <c r="C220" s="197" t="s">
        <v>75</v>
      </c>
      <c r="D220" s="197" t="s">
        <v>70</v>
      </c>
      <c r="E220" s="197" t="s">
        <v>1446</v>
      </c>
      <c r="F220" s="197" t="s">
        <v>109</v>
      </c>
      <c r="G220" s="197" t="s">
        <v>144</v>
      </c>
      <c r="H220" s="203" t="s">
        <v>1447</v>
      </c>
      <c r="I220" s="204" t="s">
        <v>121</v>
      </c>
      <c r="J220" s="197">
        <v>1</v>
      </c>
      <c r="K220" s="205" t="s">
        <v>52</v>
      </c>
      <c r="L220" s="48" t="s">
        <v>1448</v>
      </c>
    </row>
    <row r="221" spans="1:12" x14ac:dyDescent="0.3">
      <c r="A221" s="659"/>
      <c r="B221" s="16">
        <v>45345</v>
      </c>
      <c r="C221" s="3" t="s">
        <v>1449</v>
      </c>
      <c r="D221" s="4" t="s">
        <v>70</v>
      </c>
      <c r="E221" s="3" t="s">
        <v>1164</v>
      </c>
      <c r="F221" s="3">
        <v>8384</v>
      </c>
      <c r="G221" s="3" t="s">
        <v>1450</v>
      </c>
      <c r="H221" s="9" t="s">
        <v>1451</v>
      </c>
      <c r="I221" s="14" t="s">
        <v>121</v>
      </c>
      <c r="J221" s="4">
        <v>2</v>
      </c>
      <c r="K221" s="26" t="s">
        <v>52</v>
      </c>
      <c r="L221" s="26" t="s">
        <v>1448</v>
      </c>
    </row>
    <row r="222" spans="1:12" x14ac:dyDescent="0.3">
      <c r="A222" s="659"/>
      <c r="B222" s="16">
        <v>45348</v>
      </c>
      <c r="C222" s="4" t="s">
        <v>1452</v>
      </c>
      <c r="D222" s="4" t="s">
        <v>70</v>
      </c>
      <c r="E222" s="3" t="s">
        <v>1446</v>
      </c>
      <c r="F222" s="3" t="s">
        <v>109</v>
      </c>
      <c r="G222" s="3" t="s">
        <v>144</v>
      </c>
      <c r="H222" s="9" t="s">
        <v>1453</v>
      </c>
      <c r="I222" s="14" t="s">
        <v>121</v>
      </c>
      <c r="J222" s="4">
        <v>2</v>
      </c>
      <c r="K222" s="26" t="s">
        <v>52</v>
      </c>
      <c r="L222" s="26" t="s">
        <v>1448</v>
      </c>
    </row>
    <row r="223" spans="1:12" x14ac:dyDescent="0.3">
      <c r="A223" s="659"/>
      <c r="B223" s="16">
        <v>45349</v>
      </c>
      <c r="C223" s="3" t="s">
        <v>75</v>
      </c>
      <c r="D223" s="4" t="s">
        <v>70</v>
      </c>
      <c r="E223" s="3" t="s">
        <v>108</v>
      </c>
      <c r="F223" s="3" t="s">
        <v>1454</v>
      </c>
      <c r="G223" s="3" t="s">
        <v>1395</v>
      </c>
      <c r="H223" s="5" t="s">
        <v>1455</v>
      </c>
      <c r="I223" s="14" t="s">
        <v>1456</v>
      </c>
      <c r="J223" s="4">
        <v>2</v>
      </c>
      <c r="K223" s="26" t="s">
        <v>1457</v>
      </c>
      <c r="L223" s="26" t="s">
        <v>1448</v>
      </c>
    </row>
    <row r="224" spans="1:12" ht="27" x14ac:dyDescent="0.3">
      <c r="A224" s="659"/>
      <c r="B224" s="16">
        <v>45355</v>
      </c>
      <c r="C224" s="36" t="s">
        <v>75</v>
      </c>
      <c r="D224" s="4" t="s">
        <v>77</v>
      </c>
      <c r="E224" s="3" t="s">
        <v>1458</v>
      </c>
      <c r="F224" s="3">
        <v>7059</v>
      </c>
      <c r="G224" s="3" t="s">
        <v>1459</v>
      </c>
      <c r="H224" s="5" t="s">
        <v>1460</v>
      </c>
      <c r="I224" s="14" t="s">
        <v>1456</v>
      </c>
      <c r="J224" s="4">
        <v>1</v>
      </c>
      <c r="K224" s="26" t="s">
        <v>1461</v>
      </c>
      <c r="L224" s="26" t="s">
        <v>1448</v>
      </c>
    </row>
    <row r="225" spans="1:12" x14ac:dyDescent="0.3">
      <c r="A225" s="659"/>
      <c r="B225" s="16">
        <v>45380</v>
      </c>
      <c r="C225" s="3" t="s">
        <v>139</v>
      </c>
      <c r="D225" s="4" t="s">
        <v>70</v>
      </c>
      <c r="E225" s="3" t="s">
        <v>1164</v>
      </c>
      <c r="F225" s="15">
        <v>8384</v>
      </c>
      <c r="G225" s="3" t="s">
        <v>126</v>
      </c>
      <c r="H225" s="9" t="s">
        <v>1462</v>
      </c>
      <c r="I225" s="14" t="s">
        <v>121</v>
      </c>
      <c r="J225" s="4">
        <v>1</v>
      </c>
      <c r="K225" s="26" t="s">
        <v>1461</v>
      </c>
      <c r="L225" s="26" t="s">
        <v>1448</v>
      </c>
    </row>
    <row r="226" spans="1:12" x14ac:dyDescent="0.3">
      <c r="A226" s="659" t="s">
        <v>1463</v>
      </c>
      <c r="B226" s="659"/>
      <c r="C226" s="659"/>
      <c r="D226" s="659"/>
      <c r="E226" s="659"/>
      <c r="F226" s="659"/>
      <c r="G226" s="659"/>
      <c r="H226" s="659"/>
      <c r="I226" s="659"/>
      <c r="J226" s="26">
        <f>SUM(J220:J225)</f>
        <v>9</v>
      </c>
      <c r="K226" s="26"/>
      <c r="L226" s="26"/>
    </row>
    <row r="228" spans="1:12" ht="27" x14ac:dyDescent="0.3">
      <c r="A228" s="20" t="s">
        <v>43</v>
      </c>
      <c r="B228" s="20" t="s">
        <v>1464</v>
      </c>
      <c r="C228" s="21" t="s">
        <v>2</v>
      </c>
      <c r="D228" s="21" t="s">
        <v>3</v>
      </c>
      <c r="E228" s="21" t="s">
        <v>4</v>
      </c>
      <c r="F228" s="21" t="s">
        <v>5</v>
      </c>
      <c r="G228" s="21" t="s">
        <v>6</v>
      </c>
      <c r="H228" s="22" t="s">
        <v>1465</v>
      </c>
      <c r="I228" s="21" t="s">
        <v>1466</v>
      </c>
      <c r="J228" s="23" t="s">
        <v>1467</v>
      </c>
      <c r="K228" s="24" t="s">
        <v>1468</v>
      </c>
      <c r="L228" s="24" t="s">
        <v>1469</v>
      </c>
    </row>
    <row r="229" spans="1:12" x14ac:dyDescent="0.3">
      <c r="A229" s="659" t="s">
        <v>1470</v>
      </c>
      <c r="B229" s="16">
        <v>45345</v>
      </c>
      <c r="C229" s="3" t="s">
        <v>1471</v>
      </c>
      <c r="D229" s="4" t="s">
        <v>1472</v>
      </c>
      <c r="E229" s="3" t="s">
        <v>1473</v>
      </c>
      <c r="F229" s="3" t="s">
        <v>1474</v>
      </c>
      <c r="G229" s="3" t="s">
        <v>1475</v>
      </c>
      <c r="H229" s="5" t="s">
        <v>1476</v>
      </c>
      <c r="I229" s="14" t="s">
        <v>1477</v>
      </c>
      <c r="J229" s="4">
        <v>2</v>
      </c>
      <c r="K229" s="26" t="s">
        <v>1478</v>
      </c>
      <c r="L229" s="26" t="s">
        <v>1479</v>
      </c>
    </row>
    <row r="230" spans="1:12" x14ac:dyDescent="0.3">
      <c r="A230" s="659"/>
      <c r="B230" s="16">
        <v>45346</v>
      </c>
      <c r="C230" s="3" t="s">
        <v>1480</v>
      </c>
      <c r="D230" s="4" t="s">
        <v>1481</v>
      </c>
      <c r="E230" s="3" t="s">
        <v>1482</v>
      </c>
      <c r="F230" s="3" t="s">
        <v>1474</v>
      </c>
      <c r="G230" s="3" t="s">
        <v>1475</v>
      </c>
      <c r="H230" s="5" t="s">
        <v>1483</v>
      </c>
      <c r="I230" s="14" t="s">
        <v>1477</v>
      </c>
      <c r="J230" s="4">
        <v>2</v>
      </c>
      <c r="K230" s="26" t="s">
        <v>1484</v>
      </c>
      <c r="L230" s="26" t="s">
        <v>1485</v>
      </c>
    </row>
    <row r="231" spans="1:12" x14ac:dyDescent="0.3">
      <c r="A231" s="659"/>
      <c r="B231" s="16">
        <v>45348</v>
      </c>
      <c r="C231" s="3" t="s">
        <v>1471</v>
      </c>
      <c r="D231" s="4" t="s">
        <v>1472</v>
      </c>
      <c r="E231" s="3" t="s">
        <v>1482</v>
      </c>
      <c r="F231" s="3" t="s">
        <v>1486</v>
      </c>
      <c r="G231" s="3" t="s">
        <v>1395</v>
      </c>
      <c r="H231" s="9" t="s">
        <v>1487</v>
      </c>
      <c r="I231" s="14" t="s">
        <v>1488</v>
      </c>
      <c r="J231" s="4">
        <v>2</v>
      </c>
      <c r="K231" s="26" t="s">
        <v>1478</v>
      </c>
      <c r="L231" s="26" t="s">
        <v>1489</v>
      </c>
    </row>
    <row r="232" spans="1:12" ht="27" x14ac:dyDescent="0.3">
      <c r="A232" s="659"/>
      <c r="B232" s="16">
        <v>45357</v>
      </c>
      <c r="C232" s="3" t="s">
        <v>1471</v>
      </c>
      <c r="D232" s="4" t="s">
        <v>1472</v>
      </c>
      <c r="E232" s="3" t="s">
        <v>1490</v>
      </c>
      <c r="F232" s="3" t="s">
        <v>1486</v>
      </c>
      <c r="G232" s="3" t="s">
        <v>1491</v>
      </c>
      <c r="H232" s="5" t="s">
        <v>1492</v>
      </c>
      <c r="I232" s="14" t="s">
        <v>1477</v>
      </c>
      <c r="J232" s="4">
        <v>2</v>
      </c>
      <c r="K232" s="26" t="s">
        <v>1708</v>
      </c>
      <c r="L232" s="26" t="s">
        <v>1489</v>
      </c>
    </row>
    <row r="233" spans="1:12" ht="27" x14ac:dyDescent="0.3">
      <c r="A233" s="659"/>
      <c r="B233" s="16">
        <v>45358</v>
      </c>
      <c r="C233" s="3" t="s">
        <v>1471</v>
      </c>
      <c r="D233" s="4" t="s">
        <v>1481</v>
      </c>
      <c r="E233" s="3" t="s">
        <v>1482</v>
      </c>
      <c r="F233" s="3" t="s">
        <v>1474</v>
      </c>
      <c r="G233" s="3" t="s">
        <v>1491</v>
      </c>
      <c r="H233" s="5" t="s">
        <v>1494</v>
      </c>
      <c r="I233" s="14" t="s">
        <v>1456</v>
      </c>
      <c r="J233" s="4">
        <v>2</v>
      </c>
      <c r="K233" s="26" t="s">
        <v>1493</v>
      </c>
      <c r="L233" s="26" t="s">
        <v>1485</v>
      </c>
    </row>
    <row r="234" spans="1:12" x14ac:dyDescent="0.3">
      <c r="A234" s="659"/>
      <c r="B234" s="16">
        <v>45376</v>
      </c>
      <c r="C234" s="3" t="s">
        <v>1495</v>
      </c>
      <c r="D234" s="4" t="s">
        <v>1472</v>
      </c>
      <c r="E234" s="3" t="s">
        <v>108</v>
      </c>
      <c r="F234" s="3" t="s">
        <v>1496</v>
      </c>
      <c r="G234" s="3" t="s">
        <v>1497</v>
      </c>
      <c r="H234" s="9" t="s">
        <v>1498</v>
      </c>
      <c r="I234" s="14" t="s">
        <v>1477</v>
      </c>
      <c r="J234" s="4">
        <v>1</v>
      </c>
      <c r="K234" s="26" t="s">
        <v>1499</v>
      </c>
      <c r="L234" s="26" t="s">
        <v>1448</v>
      </c>
    </row>
    <row r="235" spans="1:12" ht="27" x14ac:dyDescent="0.3">
      <c r="A235" s="659"/>
      <c r="B235" s="16">
        <v>45377</v>
      </c>
      <c r="C235" s="4" t="s">
        <v>1500</v>
      </c>
      <c r="D235" s="4" t="s">
        <v>1481</v>
      </c>
      <c r="E235" s="4" t="s">
        <v>1482</v>
      </c>
      <c r="F235" s="4" t="s">
        <v>1501</v>
      </c>
      <c r="G235" s="3" t="s">
        <v>1502</v>
      </c>
      <c r="H235" s="9" t="s">
        <v>1503</v>
      </c>
      <c r="I235" s="14"/>
      <c r="J235" s="3">
        <v>3</v>
      </c>
      <c r="K235" s="26" t="s">
        <v>1493</v>
      </c>
      <c r="L235" s="26" t="s">
        <v>1485</v>
      </c>
    </row>
    <row r="236" spans="1:12" x14ac:dyDescent="0.3">
      <c r="A236" s="659" t="s">
        <v>1504</v>
      </c>
      <c r="B236" s="659"/>
      <c r="C236" s="659"/>
      <c r="D236" s="659"/>
      <c r="E236" s="659"/>
      <c r="F236" s="659"/>
      <c r="G236" s="659"/>
      <c r="H236" s="659"/>
      <c r="I236" s="659"/>
      <c r="J236" s="26">
        <f>SUM(J229:J235)</f>
        <v>14</v>
      </c>
      <c r="K236" s="26"/>
      <c r="L236" s="26"/>
    </row>
    <row r="239" spans="1:12" ht="27" x14ac:dyDescent="0.3">
      <c r="A239" s="20" t="s">
        <v>43</v>
      </c>
      <c r="B239" s="20" t="s">
        <v>44</v>
      </c>
      <c r="C239" s="21" t="s">
        <v>2</v>
      </c>
      <c r="D239" s="21" t="s">
        <v>3</v>
      </c>
      <c r="E239" s="21" t="s">
        <v>4</v>
      </c>
      <c r="F239" s="21" t="s">
        <v>5</v>
      </c>
      <c r="G239" s="21" t="s">
        <v>6</v>
      </c>
      <c r="H239" s="22" t="s">
        <v>45</v>
      </c>
      <c r="I239" s="21" t="s">
        <v>16</v>
      </c>
      <c r="J239" s="23" t="s">
        <v>46</v>
      </c>
      <c r="K239" s="24" t="s">
        <v>47</v>
      </c>
      <c r="L239" s="24" t="s">
        <v>48</v>
      </c>
    </row>
    <row r="240" spans="1:12" x14ac:dyDescent="0.3">
      <c r="A240" s="677" t="s">
        <v>740</v>
      </c>
      <c r="B240" s="120">
        <v>45355</v>
      </c>
      <c r="C240" s="137" t="s">
        <v>1516</v>
      </c>
      <c r="D240" s="121" t="s">
        <v>30</v>
      </c>
      <c r="E240" s="121" t="s">
        <v>1517</v>
      </c>
      <c r="F240" s="68" t="s">
        <v>1518</v>
      </c>
      <c r="G240" s="68" t="s">
        <v>1519</v>
      </c>
      <c r="H240" s="122" t="s">
        <v>1520</v>
      </c>
      <c r="I240" s="121" t="s">
        <v>203</v>
      </c>
      <c r="J240" s="113">
        <v>4</v>
      </c>
      <c r="K240" s="26" t="s">
        <v>1521</v>
      </c>
      <c r="L240" s="26" t="s">
        <v>51</v>
      </c>
    </row>
    <row r="241" spans="1:12" x14ac:dyDescent="0.3">
      <c r="A241" s="677"/>
      <c r="B241" s="120">
        <v>45356</v>
      </c>
      <c r="C241" s="137" t="s">
        <v>1516</v>
      </c>
      <c r="D241" s="121" t="s">
        <v>30</v>
      </c>
      <c r="E241" s="121" t="s">
        <v>1517</v>
      </c>
      <c r="F241" s="68" t="s">
        <v>1518</v>
      </c>
      <c r="G241" s="68" t="s">
        <v>1519</v>
      </c>
      <c r="H241" s="122" t="s">
        <v>1520</v>
      </c>
      <c r="I241" s="121" t="s">
        <v>203</v>
      </c>
      <c r="J241" s="113">
        <v>3</v>
      </c>
      <c r="K241" s="26" t="s">
        <v>1521</v>
      </c>
      <c r="L241" s="26" t="s">
        <v>51</v>
      </c>
    </row>
    <row r="242" spans="1:12" x14ac:dyDescent="0.3">
      <c r="A242" s="677"/>
      <c r="B242" s="120">
        <v>45357</v>
      </c>
      <c r="C242" s="137" t="s">
        <v>1516</v>
      </c>
      <c r="D242" s="121" t="s">
        <v>30</v>
      </c>
      <c r="E242" s="121" t="s">
        <v>1517</v>
      </c>
      <c r="F242" s="68" t="s">
        <v>1518</v>
      </c>
      <c r="G242" s="68" t="s">
        <v>1519</v>
      </c>
      <c r="H242" s="122" t="s">
        <v>1520</v>
      </c>
      <c r="I242" s="121" t="s">
        <v>203</v>
      </c>
      <c r="J242" s="26">
        <v>3</v>
      </c>
      <c r="K242" s="26" t="s">
        <v>1521</v>
      </c>
      <c r="L242" s="26" t="s">
        <v>51</v>
      </c>
    </row>
    <row r="243" spans="1:12" x14ac:dyDescent="0.3">
      <c r="A243" s="677"/>
      <c r="B243" s="120">
        <v>45358</v>
      </c>
      <c r="C243" s="137" t="s">
        <v>1516</v>
      </c>
      <c r="D243" s="121" t="s">
        <v>30</v>
      </c>
      <c r="E243" s="121" t="s">
        <v>1517</v>
      </c>
      <c r="F243" s="68" t="s">
        <v>1518</v>
      </c>
      <c r="G243" s="68" t="s">
        <v>1519</v>
      </c>
      <c r="H243" s="206" t="s">
        <v>1522</v>
      </c>
      <c r="I243" s="121" t="s">
        <v>203</v>
      </c>
      <c r="J243" s="118">
        <v>4</v>
      </c>
      <c r="K243" s="26" t="s">
        <v>1521</v>
      </c>
      <c r="L243" s="26" t="s">
        <v>51</v>
      </c>
    </row>
    <row r="244" spans="1:12" x14ac:dyDescent="0.3">
      <c r="A244" s="662" t="s">
        <v>53</v>
      </c>
      <c r="B244" s="663"/>
      <c r="C244" s="663"/>
      <c r="D244" s="663"/>
      <c r="E244" s="663"/>
      <c r="F244" s="663"/>
      <c r="G244" s="663"/>
      <c r="H244" s="663"/>
      <c r="I244" s="664"/>
      <c r="J244" s="26">
        <f>SUM(J240:J243)</f>
        <v>14</v>
      </c>
      <c r="K244" s="27"/>
      <c r="L244" s="26"/>
    </row>
    <row r="246" spans="1:12" ht="27" x14ac:dyDescent="0.3">
      <c r="A246" s="20" t="s">
        <v>43</v>
      </c>
      <c r="B246" s="20" t="s">
        <v>44</v>
      </c>
      <c r="C246" s="21" t="s">
        <v>2</v>
      </c>
      <c r="D246" s="21" t="s">
        <v>3</v>
      </c>
      <c r="E246" s="21" t="s">
        <v>4</v>
      </c>
      <c r="F246" s="21" t="s">
        <v>5</v>
      </c>
      <c r="G246" s="21" t="s">
        <v>6</v>
      </c>
      <c r="H246" s="22" t="s">
        <v>45</v>
      </c>
      <c r="I246" s="21" t="s">
        <v>16</v>
      </c>
      <c r="J246" s="23" t="s">
        <v>46</v>
      </c>
      <c r="K246" s="24" t="s">
        <v>47</v>
      </c>
      <c r="L246" s="24" t="s">
        <v>48</v>
      </c>
    </row>
    <row r="247" spans="1:12" x14ac:dyDescent="0.3">
      <c r="A247" s="677" t="s">
        <v>219</v>
      </c>
      <c r="B247" s="16">
        <v>45359</v>
      </c>
      <c r="C247" s="56" t="s">
        <v>19</v>
      </c>
      <c r="D247" s="56" t="s">
        <v>25</v>
      </c>
      <c r="E247" s="43" t="s">
        <v>388</v>
      </c>
      <c r="F247" s="67" t="s">
        <v>1524</v>
      </c>
      <c r="G247" s="56" t="s">
        <v>228</v>
      </c>
      <c r="H247" s="42" t="s">
        <v>131</v>
      </c>
      <c r="I247" s="56" t="s">
        <v>95</v>
      </c>
      <c r="J247" s="26">
        <v>4</v>
      </c>
      <c r="K247" s="26" t="s">
        <v>50</v>
      </c>
      <c r="L247" s="26" t="s">
        <v>51</v>
      </c>
    </row>
    <row r="248" spans="1:12" x14ac:dyDescent="0.3">
      <c r="A248" s="677"/>
      <c r="B248" s="16">
        <v>45363</v>
      </c>
      <c r="C248" s="56" t="s">
        <v>19</v>
      </c>
      <c r="D248" s="56" t="s">
        <v>25</v>
      </c>
      <c r="E248" s="43" t="s">
        <v>388</v>
      </c>
      <c r="F248" s="67" t="s">
        <v>1523</v>
      </c>
      <c r="G248" s="56" t="s">
        <v>512</v>
      </c>
      <c r="H248" s="42" t="s">
        <v>131</v>
      </c>
      <c r="I248" s="56" t="s">
        <v>95</v>
      </c>
      <c r="J248" s="26">
        <v>2</v>
      </c>
      <c r="K248" s="26" t="s">
        <v>50</v>
      </c>
      <c r="L248" s="26" t="s">
        <v>51</v>
      </c>
    </row>
    <row r="249" spans="1:12" x14ac:dyDescent="0.3">
      <c r="A249" s="677"/>
      <c r="B249" s="16">
        <v>45369</v>
      </c>
      <c r="C249" s="56" t="s">
        <v>19</v>
      </c>
      <c r="D249" s="56" t="s">
        <v>25</v>
      </c>
      <c r="E249" s="43" t="s">
        <v>388</v>
      </c>
      <c r="F249" s="67" t="s">
        <v>1523</v>
      </c>
      <c r="G249" s="56" t="s">
        <v>512</v>
      </c>
      <c r="H249" s="42" t="s">
        <v>131</v>
      </c>
      <c r="I249" s="56" t="s">
        <v>95</v>
      </c>
      <c r="J249" s="26">
        <v>2</v>
      </c>
      <c r="K249" s="26" t="s">
        <v>50</v>
      </c>
      <c r="L249" s="26" t="s">
        <v>51</v>
      </c>
    </row>
    <row r="250" spans="1:12" x14ac:dyDescent="0.3">
      <c r="A250" s="662" t="s">
        <v>53</v>
      </c>
      <c r="B250" s="663"/>
      <c r="C250" s="663"/>
      <c r="D250" s="663"/>
      <c r="E250" s="663"/>
      <c r="F250" s="663"/>
      <c r="G250" s="663"/>
      <c r="H250" s="663"/>
      <c r="I250" s="664"/>
      <c r="J250" s="26">
        <f>SUM(J247:J249)</f>
        <v>8</v>
      </c>
      <c r="K250" s="27"/>
      <c r="L250" s="26"/>
    </row>
    <row r="252" spans="1:12" ht="27" x14ac:dyDescent="0.3">
      <c r="A252" s="20" t="s">
        <v>43</v>
      </c>
      <c r="B252" s="20" t="s">
        <v>44</v>
      </c>
      <c r="C252" s="21" t="s">
        <v>2</v>
      </c>
      <c r="D252" s="21" t="s">
        <v>3</v>
      </c>
      <c r="E252" s="21" t="s">
        <v>4</v>
      </c>
      <c r="F252" s="21" t="s">
        <v>5</v>
      </c>
      <c r="G252" s="21" t="s">
        <v>6</v>
      </c>
      <c r="H252" s="22" t="s">
        <v>45</v>
      </c>
      <c r="I252" s="21" t="s">
        <v>16</v>
      </c>
      <c r="J252" s="23" t="s">
        <v>46</v>
      </c>
      <c r="K252" s="24" t="s">
        <v>47</v>
      </c>
      <c r="L252" s="24" t="s">
        <v>48</v>
      </c>
    </row>
    <row r="253" spans="1:12" x14ac:dyDescent="0.3">
      <c r="A253" s="677" t="s">
        <v>740</v>
      </c>
      <c r="B253" s="16">
        <v>45359</v>
      </c>
      <c r="C253" s="137" t="s">
        <v>1516</v>
      </c>
      <c r="D253" s="121" t="s">
        <v>30</v>
      </c>
      <c r="E253" s="121" t="s">
        <v>1517</v>
      </c>
      <c r="F253" s="68" t="s">
        <v>1518</v>
      </c>
      <c r="G253" s="68" t="s">
        <v>1519</v>
      </c>
      <c r="H253" s="122" t="s">
        <v>1520</v>
      </c>
      <c r="I253" s="121" t="s">
        <v>203</v>
      </c>
      <c r="J253" s="113">
        <v>4</v>
      </c>
      <c r="K253" s="26" t="s">
        <v>1521</v>
      </c>
      <c r="L253" s="26" t="s">
        <v>51</v>
      </c>
    </row>
    <row r="254" spans="1:12" x14ac:dyDescent="0.3">
      <c r="A254" s="677"/>
      <c r="B254" s="16">
        <v>45359</v>
      </c>
      <c r="C254" s="137" t="s">
        <v>1516</v>
      </c>
      <c r="D254" s="121" t="s">
        <v>30</v>
      </c>
      <c r="E254" s="121" t="s">
        <v>1517</v>
      </c>
      <c r="F254" s="68" t="s">
        <v>1518</v>
      </c>
      <c r="G254" s="68" t="s">
        <v>1519</v>
      </c>
      <c r="H254" s="122" t="s">
        <v>1520</v>
      </c>
      <c r="I254" s="121" t="s">
        <v>203</v>
      </c>
      <c r="J254" s="113">
        <v>3</v>
      </c>
      <c r="K254" s="26" t="s">
        <v>1521</v>
      </c>
      <c r="L254" s="26" t="s">
        <v>51</v>
      </c>
    </row>
    <row r="255" spans="1:12" x14ac:dyDescent="0.3">
      <c r="A255" s="677"/>
      <c r="B255" s="16">
        <v>45363</v>
      </c>
      <c r="C255" s="137" t="s">
        <v>1516</v>
      </c>
      <c r="D255" s="121" t="s">
        <v>30</v>
      </c>
      <c r="E255" s="121" t="s">
        <v>1517</v>
      </c>
      <c r="F255" s="68" t="s">
        <v>1518</v>
      </c>
      <c r="G255" s="68" t="s">
        <v>1519</v>
      </c>
      <c r="H255" s="122" t="s">
        <v>1520</v>
      </c>
      <c r="I255" s="121" t="s">
        <v>203</v>
      </c>
      <c r="J255" s="26">
        <v>3</v>
      </c>
      <c r="K255" s="26" t="s">
        <v>1521</v>
      </c>
      <c r="L255" s="26" t="s">
        <v>51</v>
      </c>
    </row>
    <row r="256" spans="1:12" x14ac:dyDescent="0.3">
      <c r="A256" s="677"/>
      <c r="B256" s="16">
        <v>45369</v>
      </c>
      <c r="C256" s="137" t="s">
        <v>1516</v>
      </c>
      <c r="D256" s="121" t="s">
        <v>30</v>
      </c>
      <c r="E256" s="121" t="s">
        <v>1517</v>
      </c>
      <c r="F256" s="68" t="s">
        <v>1518</v>
      </c>
      <c r="G256" s="68" t="s">
        <v>1519</v>
      </c>
      <c r="H256" s="206" t="s">
        <v>1522</v>
      </c>
      <c r="I256" s="121" t="s">
        <v>203</v>
      </c>
      <c r="J256" s="118">
        <v>4</v>
      </c>
      <c r="K256" s="26" t="s">
        <v>1521</v>
      </c>
      <c r="L256" s="26" t="s">
        <v>51</v>
      </c>
    </row>
    <row r="257" spans="1:13" x14ac:dyDescent="0.3">
      <c r="A257" s="662" t="s">
        <v>53</v>
      </c>
      <c r="B257" s="663"/>
      <c r="C257" s="663"/>
      <c r="D257" s="663"/>
      <c r="E257" s="663"/>
      <c r="F257" s="663"/>
      <c r="G257" s="663"/>
      <c r="H257" s="663"/>
      <c r="I257" s="664"/>
      <c r="J257" s="26">
        <f>SUM(J253:J256)</f>
        <v>14</v>
      </c>
      <c r="K257" s="27"/>
      <c r="L257" s="26"/>
    </row>
    <row r="259" spans="1:13" ht="27" customHeight="1" x14ac:dyDescent="0.3">
      <c r="A259" s="20" t="s">
        <v>43</v>
      </c>
      <c r="B259" s="20" t="s">
        <v>44</v>
      </c>
      <c r="C259" s="21" t="s">
        <v>2</v>
      </c>
      <c r="D259" s="21" t="s">
        <v>3</v>
      </c>
      <c r="E259" s="21" t="s">
        <v>4</v>
      </c>
      <c r="F259" s="21" t="s">
        <v>5</v>
      </c>
      <c r="G259" s="21" t="s">
        <v>6</v>
      </c>
      <c r="H259" s="22" t="s">
        <v>45</v>
      </c>
      <c r="I259" s="21" t="s">
        <v>16</v>
      </c>
      <c r="J259" s="23" t="s">
        <v>46</v>
      </c>
      <c r="K259" s="24" t="s">
        <v>47</v>
      </c>
      <c r="L259" s="24" t="s">
        <v>48</v>
      </c>
    </row>
    <row r="260" spans="1:13" ht="16.5" customHeight="1" x14ac:dyDescent="0.3">
      <c r="A260" s="678" t="s">
        <v>1526</v>
      </c>
      <c r="B260" s="118" t="s">
        <v>1416</v>
      </c>
      <c r="C260" s="156" t="s">
        <v>307</v>
      </c>
      <c r="D260" s="137" t="s">
        <v>323</v>
      </c>
      <c r="E260" s="137" t="s">
        <v>308</v>
      </c>
      <c r="F260" s="137" t="s">
        <v>1417</v>
      </c>
      <c r="G260" s="137" t="s">
        <v>1418</v>
      </c>
      <c r="H260" s="138" t="s">
        <v>706</v>
      </c>
      <c r="I260" s="137" t="s">
        <v>666</v>
      </c>
      <c r="J260" s="137">
        <v>1</v>
      </c>
      <c r="K260" s="26" t="s">
        <v>50</v>
      </c>
      <c r="L260" s="26" t="s">
        <v>51</v>
      </c>
      <c r="M260" s="137" t="s">
        <v>667</v>
      </c>
    </row>
    <row r="261" spans="1:13" ht="16.5" customHeight="1" x14ac:dyDescent="0.3">
      <c r="A261" s="678"/>
      <c r="B261" s="118" t="s">
        <v>1419</v>
      </c>
      <c r="C261" s="156" t="s">
        <v>307</v>
      </c>
      <c r="D261" s="137" t="s">
        <v>323</v>
      </c>
      <c r="E261" s="137" t="s">
        <v>308</v>
      </c>
      <c r="F261" s="137" t="s">
        <v>1420</v>
      </c>
      <c r="G261" s="137" t="s">
        <v>1421</v>
      </c>
      <c r="H261" s="138" t="s">
        <v>1422</v>
      </c>
      <c r="I261" s="137" t="s">
        <v>666</v>
      </c>
      <c r="J261" s="137">
        <v>1</v>
      </c>
      <c r="K261" s="26" t="s">
        <v>50</v>
      </c>
      <c r="L261" s="26" t="s">
        <v>51</v>
      </c>
      <c r="M261" s="137" t="s">
        <v>667</v>
      </c>
    </row>
    <row r="262" spans="1:13" x14ac:dyDescent="0.3">
      <c r="A262" s="662" t="s">
        <v>53</v>
      </c>
      <c r="B262" s="663"/>
      <c r="C262" s="663"/>
      <c r="D262" s="663"/>
      <c r="E262" s="663"/>
      <c r="F262" s="663"/>
      <c r="G262" s="663"/>
      <c r="H262" s="663"/>
      <c r="I262" s="664"/>
      <c r="J262" s="26">
        <f>SUM(J259:J261)</f>
        <v>2</v>
      </c>
      <c r="K262" s="27"/>
      <c r="L262" s="26"/>
    </row>
    <row r="264" spans="1:13" ht="27" x14ac:dyDescent="0.3">
      <c r="A264" s="20" t="s">
        <v>43</v>
      </c>
      <c r="B264" s="20" t="s">
        <v>44</v>
      </c>
      <c r="C264" s="21" t="s">
        <v>2</v>
      </c>
      <c r="D264" s="21" t="s">
        <v>3</v>
      </c>
      <c r="E264" s="21" t="s">
        <v>4</v>
      </c>
      <c r="F264" s="21" t="s">
        <v>5</v>
      </c>
      <c r="G264" s="21" t="s">
        <v>6</v>
      </c>
      <c r="H264" s="22" t="s">
        <v>45</v>
      </c>
      <c r="I264" s="21" t="s">
        <v>16</v>
      </c>
      <c r="J264" s="23" t="s">
        <v>46</v>
      </c>
      <c r="K264" s="24" t="s">
        <v>47</v>
      </c>
      <c r="L264" s="24" t="s">
        <v>48</v>
      </c>
    </row>
    <row r="265" spans="1:13" ht="16.5" customHeight="1" x14ac:dyDescent="0.3">
      <c r="A265" s="667" t="s">
        <v>230</v>
      </c>
      <c r="B265" s="16">
        <v>45358</v>
      </c>
      <c r="C265" s="3" t="s">
        <v>21</v>
      </c>
      <c r="D265" s="4" t="s">
        <v>14</v>
      </c>
      <c r="E265" s="4" t="s">
        <v>108</v>
      </c>
      <c r="F265" s="4" t="s">
        <v>109</v>
      </c>
      <c r="G265" s="3" t="s">
        <v>1380</v>
      </c>
      <c r="H265" s="5" t="s">
        <v>1379</v>
      </c>
      <c r="I265" s="137" t="s">
        <v>640</v>
      </c>
      <c r="J265" s="113">
        <v>1</v>
      </c>
      <c r="K265" s="26" t="s">
        <v>50</v>
      </c>
      <c r="L265" s="26" t="s">
        <v>51</v>
      </c>
    </row>
    <row r="266" spans="1:13" ht="16.5" customHeight="1" x14ac:dyDescent="0.3">
      <c r="A266" s="677"/>
      <c r="B266" s="16">
        <v>45366</v>
      </c>
      <c r="C266" s="3" t="s">
        <v>21</v>
      </c>
      <c r="D266" s="4" t="s">
        <v>14</v>
      </c>
      <c r="E266" s="3" t="s">
        <v>108</v>
      </c>
      <c r="F266" s="3" t="s">
        <v>109</v>
      </c>
      <c r="G266" s="3" t="s">
        <v>1382</v>
      </c>
      <c r="H266" s="679" t="s">
        <v>1391</v>
      </c>
      <c r="I266" s="121"/>
      <c r="J266" s="113">
        <v>2</v>
      </c>
      <c r="K266" s="26" t="s">
        <v>50</v>
      </c>
      <c r="L266" s="26" t="s">
        <v>51</v>
      </c>
    </row>
    <row r="267" spans="1:13" ht="16.5" customHeight="1" x14ac:dyDescent="0.3">
      <c r="A267" s="677"/>
      <c r="B267" s="16">
        <v>45369</v>
      </c>
      <c r="C267" s="3" t="s">
        <v>21</v>
      </c>
      <c r="D267" s="4" t="s">
        <v>14</v>
      </c>
      <c r="E267" s="3" t="s">
        <v>108</v>
      </c>
      <c r="F267" s="4" t="s">
        <v>109</v>
      </c>
      <c r="G267" s="3" t="s">
        <v>144</v>
      </c>
      <c r="H267" s="680"/>
      <c r="I267" s="121"/>
      <c r="J267" s="26">
        <v>2</v>
      </c>
      <c r="K267" s="26" t="s">
        <v>50</v>
      </c>
      <c r="L267" s="26" t="s">
        <v>51</v>
      </c>
    </row>
    <row r="268" spans="1:13" ht="16.5" customHeight="1" x14ac:dyDescent="0.3">
      <c r="A268" s="677"/>
      <c r="B268" s="16">
        <v>45370</v>
      </c>
      <c r="C268" s="3" t="s">
        <v>21</v>
      </c>
      <c r="D268" s="4" t="s">
        <v>14</v>
      </c>
      <c r="E268" s="3" t="s">
        <v>108</v>
      </c>
      <c r="F268" s="4" t="s">
        <v>109</v>
      </c>
      <c r="G268" s="3" t="s">
        <v>144</v>
      </c>
      <c r="H268" s="681"/>
      <c r="I268" s="121"/>
      <c r="J268" s="118">
        <v>2</v>
      </c>
      <c r="K268" s="26" t="s">
        <v>50</v>
      </c>
      <c r="L268" s="26" t="s">
        <v>51</v>
      </c>
    </row>
    <row r="269" spans="1:13" ht="16.5" customHeight="1" x14ac:dyDescent="0.3">
      <c r="A269" s="677"/>
      <c r="B269" s="16">
        <v>45376</v>
      </c>
      <c r="C269" s="3" t="s">
        <v>21</v>
      </c>
      <c r="D269" s="4" t="s">
        <v>14</v>
      </c>
      <c r="E269" s="3" t="s">
        <v>1388</v>
      </c>
      <c r="F269" s="3" t="s">
        <v>621</v>
      </c>
      <c r="G269" s="3" t="s">
        <v>103</v>
      </c>
      <c r="H269" s="9" t="s">
        <v>1397</v>
      </c>
      <c r="I269" s="121"/>
      <c r="J269" s="26">
        <v>2</v>
      </c>
      <c r="K269" s="26" t="s">
        <v>50</v>
      </c>
      <c r="L269" s="26" t="s">
        <v>51</v>
      </c>
    </row>
    <row r="270" spans="1:13" ht="16.5" customHeight="1" x14ac:dyDescent="0.3">
      <c r="A270" s="668"/>
      <c r="B270" s="16">
        <v>45377</v>
      </c>
      <c r="C270" s="68" t="s">
        <v>312</v>
      </c>
      <c r="D270" s="137" t="s">
        <v>321</v>
      </c>
      <c r="E270" s="68" t="s">
        <v>1430</v>
      </c>
      <c r="F270" s="68" t="s">
        <v>663</v>
      </c>
      <c r="G270" s="68" t="s">
        <v>664</v>
      </c>
      <c r="H270" s="208" t="s">
        <v>1528</v>
      </c>
      <c r="I270" s="137" t="s">
        <v>640</v>
      </c>
      <c r="J270" s="118">
        <v>1</v>
      </c>
      <c r="K270" s="26" t="s">
        <v>50</v>
      </c>
      <c r="L270" s="26" t="s">
        <v>51</v>
      </c>
    </row>
    <row r="271" spans="1:13" ht="16.5" customHeight="1" x14ac:dyDescent="0.3">
      <c r="A271" s="662" t="s">
        <v>53</v>
      </c>
      <c r="B271" s="663"/>
      <c r="C271" s="663"/>
      <c r="D271" s="663"/>
      <c r="E271" s="663"/>
      <c r="F271" s="663"/>
      <c r="G271" s="663"/>
      <c r="H271" s="663"/>
      <c r="I271" s="664"/>
      <c r="J271" s="26">
        <f>SUM(J265:J270)</f>
        <v>10</v>
      </c>
      <c r="K271" s="27"/>
      <c r="L271" s="26"/>
    </row>
    <row r="273" spans="1:14" ht="27" x14ac:dyDescent="0.3">
      <c r="A273" s="20" t="s">
        <v>43</v>
      </c>
      <c r="B273" s="20" t="s">
        <v>44</v>
      </c>
      <c r="C273" s="21" t="s">
        <v>2</v>
      </c>
      <c r="D273" s="21" t="s">
        <v>3</v>
      </c>
      <c r="E273" s="21" t="s">
        <v>4</v>
      </c>
      <c r="F273" s="21" t="s">
        <v>5</v>
      </c>
      <c r="G273" s="21" t="s">
        <v>6</v>
      </c>
      <c r="H273" s="22" t="s">
        <v>45</v>
      </c>
      <c r="I273" s="21" t="s">
        <v>8</v>
      </c>
      <c r="J273" s="23" t="s">
        <v>46</v>
      </c>
      <c r="K273" s="24" t="s">
        <v>47</v>
      </c>
      <c r="L273" s="24" t="s">
        <v>48</v>
      </c>
    </row>
    <row r="274" spans="1:14" ht="24" x14ac:dyDescent="0.3">
      <c r="A274" s="60" t="s">
        <v>230</v>
      </c>
      <c r="B274" s="16">
        <v>45371</v>
      </c>
      <c r="C274" s="137" t="s">
        <v>1516</v>
      </c>
      <c r="D274" s="121" t="s">
        <v>30</v>
      </c>
      <c r="E274" s="121" t="s">
        <v>1548</v>
      </c>
      <c r="F274" s="68" t="s">
        <v>1547</v>
      </c>
      <c r="G274" s="68" t="s">
        <v>149</v>
      </c>
      <c r="H274" s="122" t="s">
        <v>1550</v>
      </c>
      <c r="I274" s="121" t="s">
        <v>203</v>
      </c>
      <c r="J274" s="113">
        <v>3</v>
      </c>
      <c r="K274" s="26" t="s">
        <v>1521</v>
      </c>
      <c r="L274" s="26" t="s">
        <v>51</v>
      </c>
      <c r="M274" t="s">
        <v>1549</v>
      </c>
    </row>
    <row r="275" spans="1:14" x14ac:dyDescent="0.3">
      <c r="A275" s="662" t="s">
        <v>53</v>
      </c>
      <c r="B275" s="663"/>
      <c r="C275" s="663"/>
      <c r="D275" s="663"/>
      <c r="E275" s="663"/>
      <c r="F275" s="663"/>
      <c r="G275" s="663"/>
      <c r="H275" s="663"/>
      <c r="I275" s="664"/>
      <c r="J275" s="26">
        <f>SUM(J274:J274)</f>
        <v>3</v>
      </c>
      <c r="K275" s="27"/>
      <c r="L275" s="26"/>
    </row>
    <row r="276" spans="1:14" x14ac:dyDescent="0.3">
      <c r="A276" s="238" t="s">
        <v>1669</v>
      </c>
      <c r="B276" s="238"/>
      <c r="C276" s="238"/>
      <c r="D276" s="238"/>
      <c r="E276" s="238"/>
      <c r="F276" s="238"/>
      <c r="G276" s="238"/>
      <c r="H276" s="238"/>
      <c r="I276" s="238"/>
      <c r="J276" s="239"/>
      <c r="L276" s="239"/>
    </row>
    <row r="278" spans="1:14" ht="27" x14ac:dyDescent="0.3">
      <c r="A278" s="20" t="s">
        <v>1598</v>
      </c>
      <c r="B278" s="20" t="s">
        <v>1599</v>
      </c>
      <c r="C278" s="21" t="s">
        <v>2</v>
      </c>
      <c r="D278" s="21" t="s">
        <v>3</v>
      </c>
      <c r="E278" s="21" t="s">
        <v>4</v>
      </c>
      <c r="F278" s="21" t="s">
        <v>5</v>
      </c>
      <c r="G278" s="21" t="s">
        <v>6</v>
      </c>
      <c r="H278" s="22" t="s">
        <v>1600</v>
      </c>
      <c r="I278" s="21" t="s">
        <v>8</v>
      </c>
      <c r="J278" s="23" t="s">
        <v>46</v>
      </c>
      <c r="K278" s="23" t="s">
        <v>46</v>
      </c>
      <c r="L278" s="24" t="s">
        <v>1601</v>
      </c>
      <c r="M278" s="228" t="s">
        <v>47</v>
      </c>
    </row>
    <row r="279" spans="1:14" ht="40.5" x14ac:dyDescent="0.3">
      <c r="A279" s="673" t="s">
        <v>219</v>
      </c>
      <c r="B279" s="99" t="s">
        <v>1753</v>
      </c>
      <c r="C279" s="4" t="s">
        <v>19</v>
      </c>
      <c r="D279" s="4" t="s">
        <v>25</v>
      </c>
      <c r="E279" s="4" t="s">
        <v>1602</v>
      </c>
      <c r="F279" s="155" t="s">
        <v>1603</v>
      </c>
      <c r="G279" s="4" t="s">
        <v>1604</v>
      </c>
      <c r="H279" s="9" t="s">
        <v>1408</v>
      </c>
      <c r="I279" s="14" t="s">
        <v>1605</v>
      </c>
      <c r="J279" s="4" t="s">
        <v>1606</v>
      </c>
      <c r="K279" s="4">
        <v>9</v>
      </c>
      <c r="L279" s="103">
        <v>2250000</v>
      </c>
      <c r="M279" s="229" t="s">
        <v>633</v>
      </c>
      <c r="N279" t="s">
        <v>1607</v>
      </c>
    </row>
    <row r="280" spans="1:14" ht="27" x14ac:dyDescent="0.3">
      <c r="A280" s="674"/>
      <c r="B280" s="99" t="s">
        <v>1608</v>
      </c>
      <c r="C280" s="4" t="s">
        <v>1609</v>
      </c>
      <c r="D280" s="4" t="s">
        <v>1610</v>
      </c>
      <c r="E280" s="4" t="s">
        <v>1602</v>
      </c>
      <c r="F280" s="155">
        <v>4266</v>
      </c>
      <c r="G280" s="4" t="s">
        <v>126</v>
      </c>
      <c r="H280" s="9" t="s">
        <v>1611</v>
      </c>
      <c r="I280" s="14" t="s">
        <v>1605</v>
      </c>
      <c r="J280" s="4" t="s">
        <v>1754</v>
      </c>
      <c r="K280" s="4">
        <v>4</v>
      </c>
      <c r="L280" s="103">
        <v>1000000</v>
      </c>
      <c r="M280" s="229" t="s">
        <v>1612</v>
      </c>
      <c r="N280" t="s">
        <v>1613</v>
      </c>
    </row>
    <row r="281" spans="1:14" ht="27" x14ac:dyDescent="0.3">
      <c r="A281" s="674"/>
      <c r="B281" s="99" t="s">
        <v>1614</v>
      </c>
      <c r="C281" s="4" t="s">
        <v>1609</v>
      </c>
      <c r="D281" s="4" t="s">
        <v>1610</v>
      </c>
      <c r="E281" s="4" t="s">
        <v>1602</v>
      </c>
      <c r="F281" s="155" t="s">
        <v>1615</v>
      </c>
      <c r="G281" s="4" t="s">
        <v>1616</v>
      </c>
      <c r="H281" s="9" t="s">
        <v>1617</v>
      </c>
      <c r="I281" s="14" t="s">
        <v>95</v>
      </c>
      <c r="J281" s="4" t="s">
        <v>1754</v>
      </c>
      <c r="K281" s="4">
        <v>4</v>
      </c>
      <c r="L281" s="103">
        <v>1000000</v>
      </c>
      <c r="M281" s="229" t="s">
        <v>1612</v>
      </c>
      <c r="N281" t="s">
        <v>1618</v>
      </c>
    </row>
    <row r="282" spans="1:14" ht="27" x14ac:dyDescent="0.3">
      <c r="A282" s="674"/>
      <c r="B282" s="99" t="s">
        <v>1619</v>
      </c>
      <c r="C282" s="4" t="s">
        <v>1609</v>
      </c>
      <c r="D282" s="4" t="s">
        <v>25</v>
      </c>
      <c r="E282" s="4" t="s">
        <v>1602</v>
      </c>
      <c r="F282" s="155" t="s">
        <v>1620</v>
      </c>
      <c r="G282" s="4" t="s">
        <v>1580</v>
      </c>
      <c r="H282" s="9" t="s">
        <v>1617</v>
      </c>
      <c r="I282" s="14" t="s">
        <v>95</v>
      </c>
      <c r="J282" s="4" t="s">
        <v>1577</v>
      </c>
      <c r="K282" s="4">
        <v>6</v>
      </c>
      <c r="L282" s="103">
        <v>1500000</v>
      </c>
      <c r="M282" s="229" t="s">
        <v>633</v>
      </c>
      <c r="N282" t="s">
        <v>1621</v>
      </c>
    </row>
    <row r="283" spans="1:14" ht="40.5" x14ac:dyDescent="0.3">
      <c r="A283" s="674"/>
      <c r="B283" s="16">
        <v>45407</v>
      </c>
      <c r="C283" s="4" t="s">
        <v>19</v>
      </c>
      <c r="D283" s="4" t="s">
        <v>1610</v>
      </c>
      <c r="E283" s="4" t="s">
        <v>20</v>
      </c>
      <c r="F283" s="155" t="s">
        <v>1622</v>
      </c>
      <c r="G283" s="4" t="s">
        <v>1623</v>
      </c>
      <c r="H283" s="9" t="s">
        <v>1617</v>
      </c>
      <c r="I283" s="14" t="s">
        <v>1605</v>
      </c>
      <c r="J283" s="4" t="s">
        <v>1624</v>
      </c>
      <c r="K283" s="4">
        <v>2</v>
      </c>
      <c r="L283" s="103">
        <v>500000</v>
      </c>
      <c r="M283" s="229" t="s">
        <v>633</v>
      </c>
      <c r="N283" t="s">
        <v>1625</v>
      </c>
    </row>
    <row r="284" spans="1:14" x14ac:dyDescent="0.3">
      <c r="K284" s="198">
        <v>25</v>
      </c>
      <c r="L284" s="398">
        <v>6250000</v>
      </c>
    </row>
    <row r="287" spans="1:14" ht="27" x14ac:dyDescent="0.3">
      <c r="A287" s="20" t="s">
        <v>1598</v>
      </c>
      <c r="B287" s="20" t="s">
        <v>1627</v>
      </c>
      <c r="C287" s="21" t="s">
        <v>2</v>
      </c>
      <c r="D287" s="21" t="s">
        <v>3</v>
      </c>
      <c r="E287" s="21" t="s">
        <v>4</v>
      </c>
      <c r="F287" s="21" t="s">
        <v>5</v>
      </c>
      <c r="G287" s="21" t="s">
        <v>6</v>
      </c>
      <c r="H287" s="22" t="s">
        <v>45</v>
      </c>
      <c r="I287" s="21" t="s">
        <v>1628</v>
      </c>
      <c r="J287" s="23" t="s">
        <v>1629</v>
      </c>
      <c r="K287" s="24" t="s">
        <v>1468</v>
      </c>
      <c r="L287" s="24" t="s">
        <v>1469</v>
      </c>
      <c r="M287" s="24" t="s">
        <v>1630</v>
      </c>
    </row>
    <row r="288" spans="1:14" ht="27" customHeight="1" x14ac:dyDescent="0.3">
      <c r="A288" s="547" t="s">
        <v>1631</v>
      </c>
      <c r="B288" s="99" t="s">
        <v>1632</v>
      </c>
      <c r="C288" s="4" t="s">
        <v>1633</v>
      </c>
      <c r="D288" s="4" t="s">
        <v>25</v>
      </c>
      <c r="E288" s="4" t="s">
        <v>1634</v>
      </c>
      <c r="F288" s="155" t="s">
        <v>1635</v>
      </c>
      <c r="G288" s="4" t="s">
        <v>23</v>
      </c>
      <c r="H288" s="9" t="s">
        <v>1636</v>
      </c>
      <c r="I288" s="14" t="s">
        <v>1637</v>
      </c>
      <c r="J288" s="61">
        <v>3</v>
      </c>
      <c r="K288" s="26" t="s">
        <v>50</v>
      </c>
      <c r="L288" s="26" t="s">
        <v>1479</v>
      </c>
      <c r="M288" s="27"/>
    </row>
    <row r="289" spans="1:13" ht="27" customHeight="1" x14ac:dyDescent="0.3">
      <c r="A289" s="548"/>
      <c r="B289" s="99" t="s">
        <v>1638</v>
      </c>
      <c r="C289" s="4" t="s">
        <v>1633</v>
      </c>
      <c r="D289" s="4" t="s">
        <v>25</v>
      </c>
      <c r="E289" s="4" t="s">
        <v>1634</v>
      </c>
      <c r="F289" s="155" t="s">
        <v>1509</v>
      </c>
      <c r="G289" s="4" t="s">
        <v>1639</v>
      </c>
      <c r="H289" s="9" t="s">
        <v>1640</v>
      </c>
      <c r="I289" s="14" t="s">
        <v>253</v>
      </c>
      <c r="J289" s="61">
        <v>2</v>
      </c>
      <c r="K289" s="26" t="s">
        <v>50</v>
      </c>
      <c r="L289" s="26" t="s">
        <v>1485</v>
      </c>
      <c r="M289" s="27"/>
    </row>
    <row r="290" spans="1:13" ht="27" customHeight="1" x14ac:dyDescent="0.3">
      <c r="A290" s="548"/>
      <c r="B290" s="99" t="s">
        <v>1641</v>
      </c>
      <c r="C290" s="4" t="s">
        <v>19</v>
      </c>
      <c r="D290" s="4" t="s">
        <v>25</v>
      </c>
      <c r="E290" s="4" t="s">
        <v>1634</v>
      </c>
      <c r="F290" s="155" t="s">
        <v>1642</v>
      </c>
      <c r="G290" s="4" t="s">
        <v>23</v>
      </c>
      <c r="H290" s="9" t="s">
        <v>1643</v>
      </c>
      <c r="I290" s="14" t="s">
        <v>1637</v>
      </c>
      <c r="J290" s="61">
        <v>2</v>
      </c>
      <c r="K290" s="26" t="s">
        <v>50</v>
      </c>
      <c r="L290" s="26" t="s">
        <v>1489</v>
      </c>
      <c r="M290" s="27"/>
    </row>
    <row r="291" spans="1:13" ht="27" customHeight="1" x14ac:dyDescent="0.3">
      <c r="A291" s="548"/>
      <c r="B291" s="99" t="s">
        <v>1644</v>
      </c>
      <c r="C291" s="4" t="s">
        <v>19</v>
      </c>
      <c r="D291" s="4" t="s">
        <v>25</v>
      </c>
      <c r="E291" s="4" t="s">
        <v>20</v>
      </c>
      <c r="F291" s="155" t="s">
        <v>1524</v>
      </c>
      <c r="G291" s="4" t="s">
        <v>484</v>
      </c>
      <c r="H291" s="9" t="s">
        <v>1124</v>
      </c>
      <c r="I291" s="14" t="s">
        <v>169</v>
      </c>
      <c r="J291" s="61">
        <v>2</v>
      </c>
      <c r="K291" s="26" t="s">
        <v>50</v>
      </c>
      <c r="L291" s="26" t="s">
        <v>1489</v>
      </c>
      <c r="M291" s="231" t="s">
        <v>1645</v>
      </c>
    </row>
    <row r="292" spans="1:13" ht="27" customHeight="1" x14ac:dyDescent="0.3">
      <c r="A292" s="548"/>
      <c r="B292" s="99" t="s">
        <v>1646</v>
      </c>
      <c r="C292" s="4" t="s">
        <v>19</v>
      </c>
      <c r="D292" s="4" t="s">
        <v>1647</v>
      </c>
      <c r="E292" s="4" t="s">
        <v>20</v>
      </c>
      <c r="F292" s="155" t="s">
        <v>1648</v>
      </c>
      <c r="G292" s="4" t="s">
        <v>1649</v>
      </c>
      <c r="H292" s="9" t="s">
        <v>1643</v>
      </c>
      <c r="I292" s="14" t="s">
        <v>1637</v>
      </c>
      <c r="J292" s="61">
        <v>3</v>
      </c>
      <c r="K292" s="26" t="s">
        <v>50</v>
      </c>
      <c r="L292" s="26" t="s">
        <v>1489</v>
      </c>
      <c r="M292" s="27"/>
    </row>
    <row r="293" spans="1:13" ht="27" customHeight="1" x14ac:dyDescent="0.3">
      <c r="A293" s="548"/>
      <c r="B293" s="99" t="s">
        <v>1650</v>
      </c>
      <c r="C293" s="4" t="s">
        <v>1633</v>
      </c>
      <c r="D293" s="4" t="s">
        <v>1647</v>
      </c>
      <c r="E293" s="4" t="s">
        <v>20</v>
      </c>
      <c r="F293" s="155" t="s">
        <v>1524</v>
      </c>
      <c r="G293" s="4" t="s">
        <v>1651</v>
      </c>
      <c r="H293" s="9" t="s">
        <v>1640</v>
      </c>
      <c r="I293" s="14" t="s">
        <v>169</v>
      </c>
      <c r="J293" s="61">
        <v>2</v>
      </c>
      <c r="K293" s="26" t="s">
        <v>50</v>
      </c>
      <c r="L293" s="26" t="s">
        <v>1489</v>
      </c>
      <c r="M293" s="27"/>
    </row>
    <row r="294" spans="1:13" ht="27" customHeight="1" x14ac:dyDescent="0.3">
      <c r="A294" s="548"/>
      <c r="B294" s="99" t="s">
        <v>1652</v>
      </c>
      <c r="C294" s="4" t="s">
        <v>1633</v>
      </c>
      <c r="D294" s="4" t="s">
        <v>1647</v>
      </c>
      <c r="E294" s="4" t="s">
        <v>1634</v>
      </c>
      <c r="F294" s="155">
        <v>3306</v>
      </c>
      <c r="G294" s="4" t="s">
        <v>813</v>
      </c>
      <c r="H294" s="9" t="s">
        <v>1653</v>
      </c>
      <c r="I294" s="14" t="s">
        <v>169</v>
      </c>
      <c r="J294" s="61">
        <v>5</v>
      </c>
      <c r="K294" s="26" t="s">
        <v>50</v>
      </c>
      <c r="L294" s="26" t="s">
        <v>1489</v>
      </c>
      <c r="M294" s="27"/>
    </row>
    <row r="295" spans="1:13" ht="27" customHeight="1" x14ac:dyDescent="0.3">
      <c r="A295" s="549"/>
      <c r="B295" s="99" t="s">
        <v>1671</v>
      </c>
      <c r="C295" s="4" t="s">
        <v>19</v>
      </c>
      <c r="D295" s="4" t="s">
        <v>25</v>
      </c>
      <c r="E295" s="4" t="s">
        <v>1634</v>
      </c>
      <c r="F295" s="155" t="s">
        <v>1654</v>
      </c>
      <c r="G295" s="4" t="s">
        <v>1649</v>
      </c>
      <c r="H295" s="9" t="s">
        <v>1640</v>
      </c>
      <c r="I295" s="14" t="s">
        <v>169</v>
      </c>
      <c r="J295" s="61">
        <v>2</v>
      </c>
      <c r="K295" s="26" t="s">
        <v>50</v>
      </c>
      <c r="L295" s="26" t="s">
        <v>1489</v>
      </c>
      <c r="M295" s="27"/>
    </row>
    <row r="296" spans="1:13" ht="27" customHeight="1" x14ac:dyDescent="0.3">
      <c r="A296" s="662" t="s">
        <v>1655</v>
      </c>
      <c r="B296" s="663"/>
      <c r="C296" s="663"/>
      <c r="D296" s="663"/>
      <c r="E296" s="663"/>
      <c r="F296" s="663"/>
      <c r="G296" s="663"/>
      <c r="H296" s="663"/>
      <c r="I296" s="663"/>
      <c r="J296" s="59">
        <v>21</v>
      </c>
      <c r="K296" s="61"/>
      <c r="L296" s="400"/>
      <c r="M296" s="27"/>
    </row>
    <row r="300" spans="1:13" ht="27" x14ac:dyDescent="0.3">
      <c r="A300" s="20" t="s">
        <v>43</v>
      </c>
      <c r="B300" s="20" t="s">
        <v>1464</v>
      </c>
      <c r="C300" s="21" t="s">
        <v>2</v>
      </c>
      <c r="D300" s="21" t="s">
        <v>3</v>
      </c>
      <c r="E300" s="21" t="s">
        <v>4</v>
      </c>
      <c r="F300" s="21" t="s">
        <v>5</v>
      </c>
      <c r="G300" s="21" t="s">
        <v>6</v>
      </c>
      <c r="H300" s="22" t="s">
        <v>1465</v>
      </c>
      <c r="I300" s="21" t="s">
        <v>1466</v>
      </c>
      <c r="J300" s="23" t="s">
        <v>1467</v>
      </c>
      <c r="K300" s="24" t="s">
        <v>1468</v>
      </c>
      <c r="L300" s="24" t="s">
        <v>1469</v>
      </c>
    </row>
    <row r="301" spans="1:13" ht="27" customHeight="1" x14ac:dyDescent="0.3">
      <c r="A301" s="659" t="s">
        <v>1470</v>
      </c>
      <c r="B301" s="16">
        <v>45376</v>
      </c>
      <c r="C301" s="3" t="s">
        <v>21</v>
      </c>
      <c r="D301" s="4" t="s">
        <v>14</v>
      </c>
      <c r="E301" s="3" t="s">
        <v>108</v>
      </c>
      <c r="F301" s="3" t="s">
        <v>109</v>
      </c>
      <c r="G301" s="3" t="s">
        <v>378</v>
      </c>
      <c r="H301" s="9" t="s">
        <v>1282</v>
      </c>
      <c r="I301" s="14" t="s">
        <v>90</v>
      </c>
      <c r="J301" s="4">
        <v>1</v>
      </c>
      <c r="K301" s="26" t="s">
        <v>50</v>
      </c>
      <c r="L301" s="26" t="s">
        <v>1479</v>
      </c>
    </row>
    <row r="302" spans="1:13" ht="27" customHeight="1" x14ac:dyDescent="0.3">
      <c r="A302" s="659"/>
      <c r="B302" s="16">
        <v>45386</v>
      </c>
      <c r="C302" s="3" t="s">
        <v>139</v>
      </c>
      <c r="D302" s="4" t="s">
        <v>14</v>
      </c>
      <c r="E302" s="3" t="s">
        <v>108</v>
      </c>
      <c r="F302" s="3" t="s">
        <v>271</v>
      </c>
      <c r="G302" s="3" t="s">
        <v>144</v>
      </c>
      <c r="H302" s="9" t="s">
        <v>272</v>
      </c>
      <c r="I302" s="14" t="s">
        <v>90</v>
      </c>
      <c r="J302" s="4">
        <v>2</v>
      </c>
      <c r="K302" s="26" t="s">
        <v>50</v>
      </c>
      <c r="L302" s="26" t="s">
        <v>1485</v>
      </c>
    </row>
    <row r="303" spans="1:13" ht="27" customHeight="1" x14ac:dyDescent="0.3">
      <c r="A303" s="659"/>
      <c r="B303" s="16" t="s">
        <v>1714</v>
      </c>
      <c r="C303" s="3" t="s">
        <v>187</v>
      </c>
      <c r="D303" s="4" t="s">
        <v>1715</v>
      </c>
      <c r="E303" s="3" t="s">
        <v>1716</v>
      </c>
      <c r="F303" s="3" t="s">
        <v>480</v>
      </c>
      <c r="G303" s="3" t="s">
        <v>103</v>
      </c>
      <c r="H303" s="9" t="s">
        <v>1571</v>
      </c>
      <c r="I303" s="14" t="s">
        <v>90</v>
      </c>
      <c r="J303" s="4">
        <v>1</v>
      </c>
      <c r="K303" s="26" t="s">
        <v>50</v>
      </c>
      <c r="L303" s="26" t="s">
        <v>1489</v>
      </c>
    </row>
    <row r="304" spans="1:13" ht="27" customHeight="1" x14ac:dyDescent="0.3">
      <c r="A304" s="659"/>
      <c r="B304" s="16" t="s">
        <v>1661</v>
      </c>
      <c r="C304" s="3" t="s">
        <v>21</v>
      </c>
      <c r="D304" s="4" t="s">
        <v>14</v>
      </c>
      <c r="E304" s="3" t="s">
        <v>1658</v>
      </c>
      <c r="F304" s="3" t="s">
        <v>621</v>
      </c>
      <c r="G304" s="3" t="s">
        <v>116</v>
      </c>
      <c r="H304" s="9" t="s">
        <v>1659</v>
      </c>
      <c r="I304" s="14" t="s">
        <v>1596</v>
      </c>
      <c r="J304" s="4">
        <v>1</v>
      </c>
      <c r="K304" s="26" t="s">
        <v>50</v>
      </c>
      <c r="L304" s="26" t="s">
        <v>1489</v>
      </c>
    </row>
    <row r="305" spans="1:12" ht="27" customHeight="1" x14ac:dyDescent="0.3">
      <c r="A305" s="659" t="s">
        <v>1668</v>
      </c>
      <c r="B305" s="659"/>
      <c r="C305" s="659"/>
      <c r="D305" s="659"/>
      <c r="E305" s="659"/>
      <c r="F305" s="659"/>
      <c r="G305" s="659"/>
      <c r="H305" s="659"/>
      <c r="I305" s="659"/>
      <c r="J305" s="26">
        <f>SUM(J301:J304)</f>
        <v>5</v>
      </c>
      <c r="K305" s="26"/>
      <c r="L305" s="26"/>
    </row>
    <row r="307" spans="1:12" ht="27" x14ac:dyDescent="0.3">
      <c r="A307" s="20" t="s">
        <v>43</v>
      </c>
      <c r="B307" s="20" t="s">
        <v>44</v>
      </c>
      <c r="C307" s="21" t="s">
        <v>2</v>
      </c>
      <c r="D307" s="21" t="s">
        <v>3</v>
      </c>
      <c r="E307" s="21" t="s">
        <v>4</v>
      </c>
      <c r="F307" s="21" t="s">
        <v>5</v>
      </c>
      <c r="G307" s="21" t="s">
        <v>6</v>
      </c>
      <c r="H307" s="22" t="s">
        <v>45</v>
      </c>
      <c r="I307" s="21" t="s">
        <v>8</v>
      </c>
      <c r="J307" s="23" t="s">
        <v>46</v>
      </c>
      <c r="K307" s="24" t="s">
        <v>47</v>
      </c>
      <c r="L307" s="24" t="s">
        <v>48</v>
      </c>
    </row>
    <row r="308" spans="1:12" ht="27" customHeight="1" x14ac:dyDescent="0.3">
      <c r="A308" s="169" t="s">
        <v>1117</v>
      </c>
      <c r="B308" s="68" t="s">
        <v>1670</v>
      </c>
      <c r="C308" s="68" t="s">
        <v>312</v>
      </c>
      <c r="D308" s="137" t="s">
        <v>321</v>
      </c>
      <c r="E308" s="68" t="s">
        <v>1430</v>
      </c>
      <c r="F308" s="68" t="s">
        <v>663</v>
      </c>
      <c r="G308" s="68" t="s">
        <v>664</v>
      </c>
      <c r="H308" s="165" t="s">
        <v>676</v>
      </c>
      <c r="I308" s="137" t="s">
        <v>640</v>
      </c>
      <c r="J308" s="4">
        <v>1</v>
      </c>
      <c r="K308" s="26" t="s">
        <v>50</v>
      </c>
      <c r="L308" s="34" t="s">
        <v>51</v>
      </c>
    </row>
    <row r="309" spans="1:12" x14ac:dyDescent="0.3">
      <c r="A309" s="659" t="s">
        <v>53</v>
      </c>
      <c r="B309" s="659"/>
      <c r="C309" s="659"/>
      <c r="D309" s="659"/>
      <c r="E309" s="659"/>
      <c r="F309" s="659"/>
      <c r="G309" s="659"/>
      <c r="H309" s="659"/>
      <c r="I309" s="659"/>
      <c r="J309" s="26">
        <v>1</v>
      </c>
      <c r="K309" s="26"/>
      <c r="L309" s="26"/>
    </row>
    <row r="311" spans="1:12" ht="27" x14ac:dyDescent="0.3">
      <c r="A311" s="20" t="s">
        <v>43</v>
      </c>
      <c r="B311" s="20" t="s">
        <v>1464</v>
      </c>
      <c r="C311" s="21" t="s">
        <v>2</v>
      </c>
      <c r="D311" s="21" t="s">
        <v>3</v>
      </c>
      <c r="E311" s="21" t="s">
        <v>4</v>
      </c>
      <c r="F311" s="21" t="s">
        <v>5</v>
      </c>
      <c r="G311" s="21" t="s">
        <v>6</v>
      </c>
      <c r="H311" s="22" t="s">
        <v>1465</v>
      </c>
      <c r="I311" s="21" t="s">
        <v>1466</v>
      </c>
      <c r="J311" s="23" t="s">
        <v>1467</v>
      </c>
      <c r="K311" s="24" t="s">
        <v>1468</v>
      </c>
      <c r="L311" s="24" t="s">
        <v>1469</v>
      </c>
    </row>
    <row r="312" spans="1:12" ht="27" customHeight="1" x14ac:dyDescent="0.3">
      <c r="A312" s="659" t="s">
        <v>230</v>
      </c>
      <c r="B312" s="16">
        <v>45376</v>
      </c>
      <c r="C312" s="3" t="s">
        <v>21</v>
      </c>
      <c r="D312" s="4" t="s">
        <v>14</v>
      </c>
      <c r="E312" s="3" t="s">
        <v>1673</v>
      </c>
      <c r="F312" s="3" t="s">
        <v>1674</v>
      </c>
      <c r="G312" s="3" t="s">
        <v>1675</v>
      </c>
      <c r="H312" s="9" t="s">
        <v>1676</v>
      </c>
      <c r="I312" s="14" t="s">
        <v>1678</v>
      </c>
      <c r="J312" s="4">
        <v>2</v>
      </c>
      <c r="K312" s="26" t="s">
        <v>1680</v>
      </c>
      <c r="L312" s="34" t="s">
        <v>51</v>
      </c>
    </row>
    <row r="313" spans="1:12" ht="27" customHeight="1" x14ac:dyDescent="0.3">
      <c r="A313" s="659"/>
      <c r="B313" s="16" t="s">
        <v>1672</v>
      </c>
      <c r="C313" s="3" t="s">
        <v>21</v>
      </c>
      <c r="D313" s="4" t="s">
        <v>14</v>
      </c>
      <c r="E313" s="3" t="s">
        <v>1673</v>
      </c>
      <c r="F313" s="3" t="s">
        <v>1674</v>
      </c>
      <c r="G313" s="3" t="s">
        <v>1675</v>
      </c>
      <c r="H313" s="9" t="s">
        <v>1677</v>
      </c>
      <c r="I313" s="14" t="s">
        <v>1679</v>
      </c>
      <c r="J313" s="4">
        <v>2</v>
      </c>
      <c r="K313" s="26" t="s">
        <v>1680</v>
      </c>
      <c r="L313" s="34" t="s">
        <v>51</v>
      </c>
    </row>
    <row r="314" spans="1:12" ht="27" customHeight="1" x14ac:dyDescent="0.3">
      <c r="A314" s="659" t="s">
        <v>1668</v>
      </c>
      <c r="B314" s="659"/>
      <c r="C314" s="659"/>
      <c r="D314" s="659"/>
      <c r="E314" s="659"/>
      <c r="F314" s="659"/>
      <c r="G314" s="659"/>
      <c r="H314" s="659"/>
      <c r="I314" s="659"/>
      <c r="J314" s="26">
        <f>SUM(J312:J313)</f>
        <v>4</v>
      </c>
      <c r="K314" s="26"/>
      <c r="L314" s="26"/>
    </row>
    <row r="317" spans="1:12" ht="27" x14ac:dyDescent="0.3">
      <c r="A317" s="20" t="s">
        <v>43</v>
      </c>
      <c r="B317" s="20" t="s">
        <v>1464</v>
      </c>
      <c r="C317" s="21" t="s">
        <v>2</v>
      </c>
      <c r="D317" s="21" t="s">
        <v>3</v>
      </c>
      <c r="E317" s="21" t="s">
        <v>4</v>
      </c>
      <c r="F317" s="21" t="s">
        <v>5</v>
      </c>
      <c r="G317" s="21" t="s">
        <v>6</v>
      </c>
      <c r="H317" s="22" t="s">
        <v>1465</v>
      </c>
      <c r="I317" s="21" t="s">
        <v>1466</v>
      </c>
      <c r="J317" s="23" t="s">
        <v>1467</v>
      </c>
      <c r="K317" s="24" t="s">
        <v>1468</v>
      </c>
      <c r="L317" s="24" t="s">
        <v>1469</v>
      </c>
    </row>
    <row r="318" spans="1:12" ht="27" customHeight="1" x14ac:dyDescent="0.3">
      <c r="A318" s="659" t="s">
        <v>230</v>
      </c>
      <c r="B318" s="99" t="s">
        <v>1682</v>
      </c>
      <c r="C318" s="4" t="s">
        <v>49</v>
      </c>
      <c r="D318" s="4" t="s">
        <v>25</v>
      </c>
      <c r="E318" s="4" t="s">
        <v>1690</v>
      </c>
      <c r="F318" s="155">
        <v>3306</v>
      </c>
      <c r="G318" s="4" t="s">
        <v>1156</v>
      </c>
      <c r="H318" s="9" t="s">
        <v>1681</v>
      </c>
      <c r="I318" s="14" t="s">
        <v>169</v>
      </c>
      <c r="J318" s="4">
        <v>4</v>
      </c>
      <c r="K318" s="26" t="s">
        <v>50</v>
      </c>
      <c r="L318" s="34" t="s">
        <v>51</v>
      </c>
    </row>
    <row r="319" spans="1:12" ht="27" customHeight="1" x14ac:dyDescent="0.3">
      <c r="A319" s="659"/>
      <c r="B319" s="99" t="s">
        <v>1684</v>
      </c>
      <c r="C319" s="4" t="s">
        <v>1685</v>
      </c>
      <c r="D319" s="4" t="s">
        <v>1686</v>
      </c>
      <c r="E319" s="4" t="s">
        <v>1687</v>
      </c>
      <c r="F319" s="155" t="s">
        <v>1688</v>
      </c>
      <c r="G319" s="4" t="s">
        <v>1689</v>
      </c>
      <c r="H319" s="9" t="s">
        <v>1683</v>
      </c>
      <c r="I319" s="14" t="s">
        <v>169</v>
      </c>
      <c r="J319" s="4">
        <v>4</v>
      </c>
      <c r="K319" s="26" t="s">
        <v>50</v>
      </c>
      <c r="L319" s="34" t="s">
        <v>51</v>
      </c>
    </row>
    <row r="320" spans="1:12" ht="27" customHeight="1" x14ac:dyDescent="0.3">
      <c r="A320" s="659"/>
      <c r="B320" s="16">
        <v>45398</v>
      </c>
      <c r="C320" s="4" t="s">
        <v>49</v>
      </c>
      <c r="D320" s="4" t="s">
        <v>25</v>
      </c>
      <c r="E320" s="4" t="s">
        <v>20</v>
      </c>
      <c r="F320" s="155" t="s">
        <v>1692</v>
      </c>
      <c r="G320" s="4" t="s">
        <v>151</v>
      </c>
      <c r="H320" s="9" t="s">
        <v>1691</v>
      </c>
      <c r="I320" s="14" t="s">
        <v>169</v>
      </c>
      <c r="J320" s="4">
        <v>2</v>
      </c>
      <c r="K320" s="26" t="s">
        <v>50</v>
      </c>
      <c r="L320" s="34" t="s">
        <v>51</v>
      </c>
    </row>
    <row r="321" spans="1:14" ht="27" customHeight="1" x14ac:dyDescent="0.3">
      <c r="A321" s="659" t="s">
        <v>1668</v>
      </c>
      <c r="B321" s="659"/>
      <c r="C321" s="659"/>
      <c r="D321" s="659"/>
      <c r="E321" s="659"/>
      <c r="F321" s="659"/>
      <c r="G321" s="659"/>
      <c r="H321" s="659"/>
      <c r="I321" s="659"/>
      <c r="J321" s="26">
        <f>SUM(J318:J320)</f>
        <v>10</v>
      </c>
      <c r="K321" s="26"/>
      <c r="L321" s="26"/>
    </row>
    <row r="324" spans="1:14" ht="27" x14ac:dyDescent="0.3">
      <c r="A324" s="20" t="s">
        <v>43</v>
      </c>
      <c r="B324" s="20" t="s">
        <v>1464</v>
      </c>
      <c r="C324" s="21" t="s">
        <v>2</v>
      </c>
      <c r="D324" s="21" t="s">
        <v>3</v>
      </c>
      <c r="E324" s="21" t="s">
        <v>4</v>
      </c>
      <c r="F324" s="21" t="s">
        <v>5</v>
      </c>
      <c r="G324" s="21" t="s">
        <v>6</v>
      </c>
      <c r="H324" s="22" t="s">
        <v>1465</v>
      </c>
      <c r="I324" s="21" t="s">
        <v>1466</v>
      </c>
      <c r="J324" s="23" t="s">
        <v>1467</v>
      </c>
      <c r="K324" s="24" t="s">
        <v>1468</v>
      </c>
      <c r="L324" s="24" t="s">
        <v>1469</v>
      </c>
    </row>
    <row r="325" spans="1:14" ht="27" customHeight="1" x14ac:dyDescent="0.3">
      <c r="A325" s="659" t="s">
        <v>230</v>
      </c>
      <c r="B325" s="16">
        <v>45397</v>
      </c>
      <c r="C325" s="3" t="s">
        <v>1693</v>
      </c>
      <c r="D325" s="4" t="s">
        <v>1694</v>
      </c>
      <c r="E325" s="3" t="s">
        <v>1695</v>
      </c>
      <c r="F325" s="3" t="s">
        <v>1696</v>
      </c>
      <c r="G325" s="3" t="s">
        <v>1697</v>
      </c>
      <c r="H325" s="5" t="s">
        <v>1698</v>
      </c>
      <c r="I325" s="14" t="s">
        <v>1699</v>
      </c>
      <c r="J325" s="4">
        <v>1</v>
      </c>
      <c r="K325" s="26" t="s">
        <v>50</v>
      </c>
      <c r="L325" s="34" t="s">
        <v>51</v>
      </c>
    </row>
    <row r="326" spans="1:14" ht="27" customHeight="1" x14ac:dyDescent="0.3">
      <c r="A326" s="659"/>
      <c r="B326" s="16" t="s">
        <v>1727</v>
      </c>
      <c r="C326" s="3" t="s">
        <v>1700</v>
      </c>
      <c r="D326" s="4" t="s">
        <v>1701</v>
      </c>
      <c r="E326" s="4" t="s">
        <v>1728</v>
      </c>
      <c r="F326" s="3" t="s">
        <v>1729</v>
      </c>
      <c r="G326" s="3" t="s">
        <v>1730</v>
      </c>
      <c r="H326" s="9" t="s">
        <v>1731</v>
      </c>
      <c r="I326" s="14" t="s">
        <v>1732</v>
      </c>
      <c r="J326" s="4">
        <v>1</v>
      </c>
      <c r="K326" s="26" t="s">
        <v>1712</v>
      </c>
      <c r="L326" s="34" t="s">
        <v>51</v>
      </c>
    </row>
    <row r="327" spans="1:14" ht="27" customHeight="1" x14ac:dyDescent="0.3">
      <c r="A327" s="659"/>
      <c r="B327" s="16">
        <v>45404</v>
      </c>
      <c r="C327" s="3" t="s">
        <v>1700</v>
      </c>
      <c r="D327" s="4" t="s">
        <v>1701</v>
      </c>
      <c r="E327" s="4" t="s">
        <v>1695</v>
      </c>
      <c r="F327" s="14" t="s">
        <v>1702</v>
      </c>
      <c r="G327" s="3" t="s">
        <v>1703</v>
      </c>
      <c r="H327" s="9" t="s">
        <v>1704</v>
      </c>
      <c r="I327" s="14"/>
      <c r="J327" s="4">
        <v>2</v>
      </c>
      <c r="K327" s="26" t="s">
        <v>50</v>
      </c>
      <c r="L327" s="34" t="s">
        <v>51</v>
      </c>
    </row>
    <row r="328" spans="1:14" ht="27" customHeight="1" x14ac:dyDescent="0.3">
      <c r="A328" s="659"/>
      <c r="B328" s="16">
        <v>45405</v>
      </c>
      <c r="C328" s="232" t="s">
        <v>312</v>
      </c>
      <c r="D328" s="133" t="s">
        <v>321</v>
      </c>
      <c r="E328" s="133" t="s">
        <v>411</v>
      </c>
      <c r="F328" s="207" t="s">
        <v>1417</v>
      </c>
      <c r="G328" s="133" t="s">
        <v>1418</v>
      </c>
      <c r="H328" s="207" t="s">
        <v>1586</v>
      </c>
      <c r="I328" s="133"/>
      <c r="J328" s="4">
        <v>2</v>
      </c>
      <c r="K328" s="26" t="s">
        <v>50</v>
      </c>
      <c r="L328" s="34" t="s">
        <v>51</v>
      </c>
    </row>
    <row r="329" spans="1:14" ht="27" customHeight="1" x14ac:dyDescent="0.3">
      <c r="A329" s="659"/>
      <c r="B329" s="16" t="s">
        <v>1705</v>
      </c>
      <c r="C329" s="3" t="s">
        <v>187</v>
      </c>
      <c r="D329" s="4" t="s">
        <v>1706</v>
      </c>
      <c r="E329" s="3" t="s">
        <v>625</v>
      </c>
      <c r="F329" s="3" t="s">
        <v>1125</v>
      </c>
      <c r="G329" s="3" t="s">
        <v>116</v>
      </c>
      <c r="H329" s="9" t="s">
        <v>1707</v>
      </c>
      <c r="I329" s="14"/>
      <c r="J329" s="4">
        <v>2</v>
      </c>
      <c r="K329" s="26" t="s">
        <v>50</v>
      </c>
      <c r="L329" s="34" t="s">
        <v>51</v>
      </c>
    </row>
    <row r="330" spans="1:14" ht="27" customHeight="1" x14ac:dyDescent="0.3">
      <c r="A330" s="659" t="s">
        <v>1668</v>
      </c>
      <c r="B330" s="659"/>
      <c r="C330" s="659"/>
      <c r="D330" s="659"/>
      <c r="E330" s="659"/>
      <c r="F330" s="659"/>
      <c r="G330" s="659"/>
      <c r="H330" s="659"/>
      <c r="I330" s="659"/>
      <c r="J330" s="26">
        <f>SUM(J325:J329)</f>
        <v>8</v>
      </c>
      <c r="K330" s="26"/>
      <c r="L330" s="26"/>
    </row>
    <row r="332" spans="1:14" ht="27" x14ac:dyDescent="0.3">
      <c r="A332" s="20" t="s">
        <v>1598</v>
      </c>
      <c r="B332" s="20" t="s">
        <v>1599</v>
      </c>
      <c r="C332" s="21" t="s">
        <v>2</v>
      </c>
      <c r="D332" s="21" t="s">
        <v>3</v>
      </c>
      <c r="E332" s="21" t="s">
        <v>4</v>
      </c>
      <c r="F332" s="21" t="s">
        <v>5</v>
      </c>
      <c r="G332" s="21" t="s">
        <v>6</v>
      </c>
      <c r="H332" s="22" t="s">
        <v>1600</v>
      </c>
      <c r="I332" s="21" t="s">
        <v>8</v>
      </c>
      <c r="J332" s="23" t="s">
        <v>46</v>
      </c>
      <c r="K332" s="24" t="s">
        <v>1468</v>
      </c>
      <c r="L332" s="24" t="s">
        <v>1469</v>
      </c>
      <c r="M332" s="228" t="s">
        <v>47</v>
      </c>
    </row>
    <row r="333" spans="1:14" ht="27" customHeight="1" x14ac:dyDescent="0.3">
      <c r="A333" s="673" t="s">
        <v>219</v>
      </c>
      <c r="B333" s="99" t="s">
        <v>1711</v>
      </c>
      <c r="C333" s="4" t="s">
        <v>19</v>
      </c>
      <c r="D333" s="4" t="s">
        <v>25</v>
      </c>
      <c r="E333" s="4" t="s">
        <v>1602</v>
      </c>
      <c r="F333" s="155" t="s">
        <v>1603</v>
      </c>
      <c r="G333" s="4" t="s">
        <v>1604</v>
      </c>
      <c r="H333" s="9" t="s">
        <v>1710</v>
      </c>
      <c r="I333" s="14" t="s">
        <v>1605</v>
      </c>
      <c r="J333" s="4" t="s">
        <v>1713</v>
      </c>
      <c r="K333" s="26" t="s">
        <v>1709</v>
      </c>
      <c r="L333" s="34" t="s">
        <v>51</v>
      </c>
      <c r="M333" s="229" t="s">
        <v>50</v>
      </c>
      <c r="N333" t="s">
        <v>1607</v>
      </c>
    </row>
    <row r="334" spans="1:14" ht="27" customHeight="1" x14ac:dyDescent="0.3">
      <c r="A334" s="674"/>
      <c r="B334" s="99" t="s">
        <v>1608</v>
      </c>
      <c r="C334" s="4" t="s">
        <v>1609</v>
      </c>
      <c r="D334" s="4" t="s">
        <v>1610</v>
      </c>
      <c r="E334" s="4" t="s">
        <v>1602</v>
      </c>
      <c r="F334" s="155">
        <v>4266</v>
      </c>
      <c r="G334" s="4" t="s">
        <v>126</v>
      </c>
      <c r="H334" s="9" t="s">
        <v>1611</v>
      </c>
      <c r="I334" s="14" t="s">
        <v>1605</v>
      </c>
      <c r="J334" s="4">
        <v>4</v>
      </c>
      <c r="K334" s="26" t="s">
        <v>50</v>
      </c>
      <c r="L334" s="34" t="s">
        <v>51</v>
      </c>
      <c r="M334" s="229" t="s">
        <v>1612</v>
      </c>
      <c r="N334" t="s">
        <v>1613</v>
      </c>
    </row>
    <row r="335" spans="1:14" ht="27" customHeight="1" x14ac:dyDescent="0.3">
      <c r="A335" s="674"/>
      <c r="B335" s="99" t="s">
        <v>1614</v>
      </c>
      <c r="C335" s="4" t="s">
        <v>1609</v>
      </c>
      <c r="D335" s="4" t="s">
        <v>1610</v>
      </c>
      <c r="E335" s="4" t="s">
        <v>1602</v>
      </c>
      <c r="F335" s="155" t="s">
        <v>1615</v>
      </c>
      <c r="G335" s="4" t="s">
        <v>1616</v>
      </c>
      <c r="H335" s="9" t="s">
        <v>1617</v>
      </c>
      <c r="I335" s="14" t="s">
        <v>95</v>
      </c>
      <c r="J335" s="4">
        <v>4</v>
      </c>
      <c r="K335" s="26" t="s">
        <v>50</v>
      </c>
      <c r="L335" s="34" t="s">
        <v>51</v>
      </c>
      <c r="M335" s="229" t="s">
        <v>1612</v>
      </c>
      <c r="N335" t="s">
        <v>1618</v>
      </c>
    </row>
    <row r="336" spans="1:14" ht="27" customHeight="1" x14ac:dyDescent="0.3">
      <c r="A336" s="674"/>
      <c r="B336" s="99" t="s">
        <v>1619</v>
      </c>
      <c r="C336" s="4" t="s">
        <v>1609</v>
      </c>
      <c r="D336" s="4" t="s">
        <v>25</v>
      </c>
      <c r="E336" s="4" t="s">
        <v>1602</v>
      </c>
      <c r="F336" s="155" t="s">
        <v>1620</v>
      </c>
      <c r="G336" s="4" t="s">
        <v>1580</v>
      </c>
      <c r="H336" s="9" t="s">
        <v>1617</v>
      </c>
      <c r="I336" s="14" t="s">
        <v>95</v>
      </c>
      <c r="J336" s="4">
        <v>6</v>
      </c>
      <c r="K336" s="26" t="s">
        <v>50</v>
      </c>
      <c r="L336" s="34" t="s">
        <v>51</v>
      </c>
      <c r="M336" s="229" t="s">
        <v>50</v>
      </c>
      <c r="N336" t="s">
        <v>1621</v>
      </c>
    </row>
    <row r="337" spans="1:14" ht="27" customHeight="1" x14ac:dyDescent="0.3">
      <c r="A337" s="674"/>
      <c r="B337" s="16">
        <v>45407</v>
      </c>
      <c r="C337" s="4" t="s">
        <v>19</v>
      </c>
      <c r="D337" s="4" t="s">
        <v>1610</v>
      </c>
      <c r="E337" s="4" t="s">
        <v>20</v>
      </c>
      <c r="F337" s="155" t="s">
        <v>1622</v>
      </c>
      <c r="G337" s="4" t="s">
        <v>1717</v>
      </c>
      <c r="H337" s="9" t="s">
        <v>1617</v>
      </c>
      <c r="I337" s="14" t="s">
        <v>1605</v>
      </c>
      <c r="J337" s="4">
        <v>2</v>
      </c>
      <c r="K337" s="26" t="s">
        <v>50</v>
      </c>
      <c r="L337" s="34" t="s">
        <v>51</v>
      </c>
      <c r="M337" s="229" t="s">
        <v>50</v>
      </c>
      <c r="N337" t="s">
        <v>1625</v>
      </c>
    </row>
    <row r="338" spans="1:14" ht="27" customHeight="1" x14ac:dyDescent="0.3">
      <c r="A338" s="659" t="s">
        <v>1668</v>
      </c>
      <c r="B338" s="659"/>
      <c r="C338" s="659"/>
      <c r="D338" s="659"/>
      <c r="E338" s="659"/>
      <c r="F338" s="659"/>
      <c r="G338" s="659"/>
      <c r="H338" s="659"/>
      <c r="I338" s="659"/>
      <c r="J338" s="26">
        <v>25</v>
      </c>
      <c r="K338" s="26"/>
      <c r="L338" s="26"/>
    </row>
    <row r="342" spans="1:14" ht="27" x14ac:dyDescent="0.3">
      <c r="A342" s="20" t="s">
        <v>43</v>
      </c>
      <c r="B342" s="20" t="s">
        <v>44</v>
      </c>
      <c r="C342" s="21" t="s">
        <v>2</v>
      </c>
      <c r="D342" s="21" t="s">
        <v>3</v>
      </c>
      <c r="E342" s="21" t="s">
        <v>4</v>
      </c>
      <c r="F342" s="21" t="s">
        <v>5</v>
      </c>
      <c r="G342" s="21" t="s">
        <v>6</v>
      </c>
      <c r="H342" s="22" t="s">
        <v>45</v>
      </c>
      <c r="I342" s="21" t="s">
        <v>16</v>
      </c>
      <c r="J342" s="23" t="s">
        <v>46</v>
      </c>
      <c r="K342" s="24" t="s">
        <v>47</v>
      </c>
      <c r="L342" s="24" t="s">
        <v>48</v>
      </c>
    </row>
    <row r="343" spans="1:14" x14ac:dyDescent="0.3">
      <c r="A343" s="670" t="s">
        <v>1526</v>
      </c>
      <c r="B343" s="136" t="s">
        <v>1536</v>
      </c>
      <c r="C343" s="557" t="s">
        <v>307</v>
      </c>
      <c r="D343" s="557" t="s">
        <v>323</v>
      </c>
      <c r="E343" s="538" t="s">
        <v>308</v>
      </c>
      <c r="F343" s="669">
        <v>4266</v>
      </c>
      <c r="G343" s="557" t="s">
        <v>642</v>
      </c>
      <c r="H343" s="669" t="s">
        <v>1538</v>
      </c>
      <c r="I343" s="557" t="s">
        <v>1539</v>
      </c>
      <c r="J343" s="538">
        <v>2</v>
      </c>
      <c r="K343" s="667" t="s">
        <v>50</v>
      </c>
      <c r="L343" s="667" t="s">
        <v>51</v>
      </c>
    </row>
    <row r="344" spans="1:14" x14ac:dyDescent="0.3">
      <c r="A344" s="671"/>
      <c r="B344" s="137" t="s">
        <v>1537</v>
      </c>
      <c r="C344" s="539"/>
      <c r="D344" s="539"/>
      <c r="E344" s="539"/>
      <c r="F344" s="544"/>
      <c r="G344" s="539"/>
      <c r="H344" s="544"/>
      <c r="I344" s="539"/>
      <c r="J344" s="539"/>
      <c r="K344" s="668"/>
      <c r="L344" s="668"/>
    </row>
    <row r="345" spans="1:14" x14ac:dyDescent="0.3">
      <c r="A345" s="671"/>
      <c r="B345" s="136" t="s">
        <v>1541</v>
      </c>
      <c r="C345" s="538" t="s">
        <v>307</v>
      </c>
      <c r="D345" s="538" t="s">
        <v>323</v>
      </c>
      <c r="E345" s="538" t="s">
        <v>308</v>
      </c>
      <c r="F345" s="543">
        <v>3306</v>
      </c>
      <c r="G345" s="538" t="s">
        <v>1156</v>
      </c>
      <c r="H345" s="543" t="s">
        <v>1543</v>
      </c>
      <c r="I345" s="538" t="s">
        <v>1539</v>
      </c>
      <c r="J345" s="538">
        <v>2</v>
      </c>
      <c r="K345" s="667" t="s">
        <v>50</v>
      </c>
      <c r="L345" s="667" t="s">
        <v>51</v>
      </c>
    </row>
    <row r="346" spans="1:14" x14ac:dyDescent="0.3">
      <c r="A346" s="672"/>
      <c r="B346" s="137" t="s">
        <v>1542</v>
      </c>
      <c r="C346" s="539"/>
      <c r="D346" s="539"/>
      <c r="E346" s="539"/>
      <c r="F346" s="544"/>
      <c r="G346" s="539"/>
      <c r="H346" s="544"/>
      <c r="I346" s="539"/>
      <c r="J346" s="539"/>
      <c r="K346" s="668"/>
      <c r="L346" s="668"/>
    </row>
    <row r="347" spans="1:14" x14ac:dyDescent="0.3">
      <c r="A347" s="662" t="s">
        <v>53</v>
      </c>
      <c r="B347" s="663"/>
      <c r="C347" s="663"/>
      <c r="D347" s="663"/>
      <c r="E347" s="663"/>
      <c r="F347" s="663"/>
      <c r="G347" s="663"/>
      <c r="H347" s="663"/>
      <c r="I347" s="664"/>
      <c r="J347" s="26">
        <v>4</v>
      </c>
      <c r="K347" s="27"/>
      <c r="L347" s="26"/>
    </row>
    <row r="349" spans="1:14" x14ac:dyDescent="0.3">
      <c r="A349" s="20" t="s">
        <v>43</v>
      </c>
      <c r="B349" s="20" t="s">
        <v>44</v>
      </c>
      <c r="C349" s="21" t="s">
        <v>2</v>
      </c>
      <c r="D349" s="21" t="s">
        <v>3</v>
      </c>
      <c r="E349" s="21" t="s">
        <v>1733</v>
      </c>
      <c r="F349" s="21" t="s">
        <v>5</v>
      </c>
      <c r="G349" s="21" t="s">
        <v>6</v>
      </c>
      <c r="H349" s="22" t="s">
        <v>45</v>
      </c>
      <c r="I349" s="21" t="s">
        <v>8</v>
      </c>
      <c r="J349" s="23" t="s">
        <v>46</v>
      </c>
      <c r="K349" s="24" t="s">
        <v>47</v>
      </c>
      <c r="L349" s="24" t="s">
        <v>48</v>
      </c>
    </row>
    <row r="350" spans="1:14" x14ac:dyDescent="0.3">
      <c r="A350" s="522" t="s">
        <v>741</v>
      </c>
      <c r="B350" s="38">
        <v>45385</v>
      </c>
      <c r="C350" s="3" t="s">
        <v>1074</v>
      </c>
      <c r="D350" s="4" t="s">
        <v>25</v>
      </c>
      <c r="E350" s="3" t="s">
        <v>1071</v>
      </c>
      <c r="F350" s="3" t="s">
        <v>1719</v>
      </c>
      <c r="G350" s="3" t="s">
        <v>1718</v>
      </c>
      <c r="H350" s="9" t="s">
        <v>1721</v>
      </c>
      <c r="I350" s="14" t="s">
        <v>1078</v>
      </c>
      <c r="J350" s="4">
        <v>1</v>
      </c>
      <c r="K350" s="26" t="s">
        <v>1010</v>
      </c>
      <c r="L350" s="34" t="s">
        <v>51</v>
      </c>
    </row>
    <row r="351" spans="1:14" x14ac:dyDescent="0.3">
      <c r="A351" s="523"/>
      <c r="B351" s="38">
        <v>45390</v>
      </c>
      <c r="C351" s="3" t="s">
        <v>1074</v>
      </c>
      <c r="D351" s="4" t="s">
        <v>25</v>
      </c>
      <c r="E351" s="3" t="s">
        <v>1071</v>
      </c>
      <c r="F351" s="3">
        <v>4267</v>
      </c>
      <c r="G351" s="3" t="s">
        <v>1720</v>
      </c>
      <c r="H351" s="9" t="s">
        <v>1722</v>
      </c>
      <c r="I351" s="14" t="s">
        <v>1078</v>
      </c>
      <c r="J351" s="4">
        <v>1</v>
      </c>
      <c r="K351" s="26" t="s">
        <v>1010</v>
      </c>
      <c r="L351" s="34" t="s">
        <v>51</v>
      </c>
    </row>
    <row r="352" spans="1:14" x14ac:dyDescent="0.3">
      <c r="A352" s="523"/>
      <c r="B352" s="38">
        <v>45390</v>
      </c>
      <c r="C352" s="3" t="s">
        <v>1074</v>
      </c>
      <c r="D352" s="4" t="s">
        <v>25</v>
      </c>
      <c r="E352" s="3" t="s">
        <v>1071</v>
      </c>
      <c r="F352" s="3" t="s">
        <v>1726</v>
      </c>
      <c r="G352" s="3" t="s">
        <v>1720</v>
      </c>
      <c r="H352" s="9" t="s">
        <v>1722</v>
      </c>
      <c r="I352" s="14" t="s">
        <v>1078</v>
      </c>
      <c r="J352" s="4">
        <v>1</v>
      </c>
      <c r="K352" s="26" t="s">
        <v>1010</v>
      </c>
      <c r="L352" s="34" t="s">
        <v>51</v>
      </c>
    </row>
    <row r="353" spans="1:12" x14ac:dyDescent="0.3">
      <c r="A353" s="523"/>
      <c r="B353" s="38">
        <v>45393</v>
      </c>
      <c r="C353" s="3" t="s">
        <v>1074</v>
      </c>
      <c r="D353" s="4" t="s">
        <v>25</v>
      </c>
      <c r="E353" s="3" t="s">
        <v>1071</v>
      </c>
      <c r="F353" s="3" t="s">
        <v>1719</v>
      </c>
      <c r="G353" s="3" t="s">
        <v>1718</v>
      </c>
      <c r="H353" s="9" t="s">
        <v>1722</v>
      </c>
      <c r="I353" s="14" t="s">
        <v>1078</v>
      </c>
      <c r="J353" s="4">
        <v>2</v>
      </c>
      <c r="K353" s="26" t="s">
        <v>1010</v>
      </c>
      <c r="L353" s="34" t="s">
        <v>51</v>
      </c>
    </row>
    <row r="354" spans="1:12" x14ac:dyDescent="0.3">
      <c r="A354" s="523"/>
      <c r="B354" s="38">
        <v>45397</v>
      </c>
      <c r="C354" s="3" t="s">
        <v>1074</v>
      </c>
      <c r="D354" s="4" t="s">
        <v>25</v>
      </c>
      <c r="E354" s="3" t="s">
        <v>1072</v>
      </c>
      <c r="F354" s="3" t="s">
        <v>1723</v>
      </c>
      <c r="G354" s="3" t="s">
        <v>265</v>
      </c>
      <c r="H354" s="9" t="s">
        <v>1721</v>
      </c>
      <c r="I354" s="14" t="s">
        <v>1078</v>
      </c>
      <c r="J354" s="4">
        <v>1</v>
      </c>
      <c r="K354" s="26" t="s">
        <v>1010</v>
      </c>
      <c r="L354" s="34" t="s">
        <v>51</v>
      </c>
    </row>
    <row r="355" spans="1:12" x14ac:dyDescent="0.3">
      <c r="A355" s="523"/>
      <c r="B355" s="38">
        <v>45407</v>
      </c>
      <c r="C355" s="3" t="s">
        <v>1074</v>
      </c>
      <c r="D355" s="4" t="s">
        <v>25</v>
      </c>
      <c r="E355" s="3" t="s">
        <v>1070</v>
      </c>
      <c r="F355" s="3">
        <v>3307</v>
      </c>
      <c r="G355" s="3" t="s">
        <v>813</v>
      </c>
      <c r="H355" s="9" t="s">
        <v>1724</v>
      </c>
      <c r="I355" s="14" t="s">
        <v>1322</v>
      </c>
      <c r="J355" s="4">
        <v>2</v>
      </c>
      <c r="K355" s="26" t="s">
        <v>1010</v>
      </c>
      <c r="L355" s="34" t="s">
        <v>51</v>
      </c>
    </row>
    <row r="356" spans="1:12" x14ac:dyDescent="0.3">
      <c r="A356" s="523"/>
      <c r="B356" s="38">
        <v>45408</v>
      </c>
      <c r="C356" s="3" t="s">
        <v>1074</v>
      </c>
      <c r="D356" s="4" t="s">
        <v>25</v>
      </c>
      <c r="E356" s="3" t="s">
        <v>1070</v>
      </c>
      <c r="F356" s="3">
        <v>3307</v>
      </c>
      <c r="G356" s="3" t="s">
        <v>813</v>
      </c>
      <c r="H356" s="9" t="s">
        <v>1724</v>
      </c>
      <c r="I356" s="14" t="s">
        <v>1725</v>
      </c>
      <c r="J356" s="4">
        <v>2</v>
      </c>
      <c r="K356" s="26" t="s">
        <v>1010</v>
      </c>
      <c r="L356" s="34" t="s">
        <v>51</v>
      </c>
    </row>
    <row r="357" spans="1:12" x14ac:dyDescent="0.3">
      <c r="A357" s="661" t="s">
        <v>53</v>
      </c>
      <c r="B357" s="661"/>
      <c r="C357" s="661"/>
      <c r="D357" s="661"/>
      <c r="E357" s="661"/>
      <c r="F357" s="661"/>
      <c r="G357" s="661"/>
      <c r="H357" s="661"/>
      <c r="I357" s="661"/>
      <c r="J357" s="26">
        <f>SUM(J350:J356)</f>
        <v>10</v>
      </c>
      <c r="K357" s="26"/>
      <c r="L357" s="26"/>
    </row>
    <row r="359" spans="1:12" ht="27" x14ac:dyDescent="0.3">
      <c r="A359" s="20" t="s">
        <v>1438</v>
      </c>
      <c r="B359" s="20" t="s">
        <v>1439</v>
      </c>
      <c r="C359" s="21" t="s">
        <v>2</v>
      </c>
      <c r="D359" s="21" t="s">
        <v>3</v>
      </c>
      <c r="E359" s="21" t="s">
        <v>4</v>
      </c>
      <c r="F359" s="21" t="s">
        <v>5</v>
      </c>
      <c r="G359" s="21" t="s">
        <v>6</v>
      </c>
      <c r="H359" s="22" t="s">
        <v>1440</v>
      </c>
      <c r="I359" s="21" t="s">
        <v>1441</v>
      </c>
      <c r="J359" s="23" t="s">
        <v>1442</v>
      </c>
      <c r="K359" s="24" t="s">
        <v>1443</v>
      </c>
      <c r="L359" s="24" t="s">
        <v>1444</v>
      </c>
    </row>
    <row r="360" spans="1:12" x14ac:dyDescent="0.3">
      <c r="A360" s="34" t="s">
        <v>1445</v>
      </c>
      <c r="B360" s="16">
        <v>45394</v>
      </c>
      <c r="C360" s="3" t="s">
        <v>21</v>
      </c>
      <c r="D360" s="4" t="s">
        <v>14</v>
      </c>
      <c r="E360" s="3" t="s">
        <v>1388</v>
      </c>
      <c r="F360" s="3" t="s">
        <v>621</v>
      </c>
      <c r="G360" s="3" t="s">
        <v>116</v>
      </c>
      <c r="H360" s="9" t="s">
        <v>483</v>
      </c>
      <c r="I360" s="14" t="s">
        <v>90</v>
      </c>
      <c r="J360" s="4">
        <v>1</v>
      </c>
      <c r="K360" s="49" t="s">
        <v>50</v>
      </c>
      <c r="L360" s="48" t="s">
        <v>1448</v>
      </c>
    </row>
    <row r="361" spans="1:12" x14ac:dyDescent="0.3">
      <c r="A361" s="659" t="s">
        <v>1463</v>
      </c>
      <c r="B361" s="659"/>
      <c r="C361" s="659"/>
      <c r="D361" s="659"/>
      <c r="E361" s="659"/>
      <c r="F361" s="659"/>
      <c r="G361" s="659"/>
      <c r="H361" s="659"/>
      <c r="I361" s="659"/>
      <c r="J361" s="26">
        <f>SUM(J360:J360)</f>
        <v>1</v>
      </c>
      <c r="K361" s="26"/>
      <c r="L361" s="26"/>
    </row>
    <row r="363" spans="1:12" ht="20.100000000000001" customHeight="1" x14ac:dyDescent="0.3">
      <c r="A363" s="20" t="s">
        <v>43</v>
      </c>
      <c r="B363" s="20" t="s">
        <v>1464</v>
      </c>
      <c r="C363" s="21" t="s">
        <v>2</v>
      </c>
      <c r="D363" s="21" t="s">
        <v>3</v>
      </c>
      <c r="E363" s="241" t="s">
        <v>4</v>
      </c>
      <c r="F363" s="21" t="s">
        <v>5</v>
      </c>
      <c r="G363" s="21" t="s">
        <v>6</v>
      </c>
      <c r="H363" s="22" t="s">
        <v>1465</v>
      </c>
      <c r="I363" s="21" t="s">
        <v>1466</v>
      </c>
      <c r="J363" s="23" t="s">
        <v>1467</v>
      </c>
      <c r="K363" s="24" t="s">
        <v>1468</v>
      </c>
      <c r="L363" s="24" t="s">
        <v>1469</v>
      </c>
    </row>
    <row r="364" spans="1:12" ht="20.100000000000001" customHeight="1" x14ac:dyDescent="0.3">
      <c r="A364" s="666" t="s">
        <v>1752</v>
      </c>
      <c r="B364" s="16">
        <v>45378</v>
      </c>
      <c r="C364" s="4" t="s">
        <v>1734</v>
      </c>
      <c r="D364" s="4" t="s">
        <v>1735</v>
      </c>
      <c r="E364" s="4" t="s">
        <v>212</v>
      </c>
      <c r="F364" s="4" t="s">
        <v>804</v>
      </c>
      <c r="G364" s="3" t="s">
        <v>265</v>
      </c>
      <c r="H364" s="9" t="s">
        <v>1751</v>
      </c>
      <c r="I364" s="14"/>
      <c r="J364" s="4">
        <v>2</v>
      </c>
      <c r="K364" s="26" t="s">
        <v>50</v>
      </c>
      <c r="L364" s="34" t="s">
        <v>51</v>
      </c>
    </row>
    <row r="365" spans="1:12" ht="20.100000000000001" customHeight="1" x14ac:dyDescent="0.3">
      <c r="A365" s="659"/>
      <c r="B365" s="16">
        <v>45386</v>
      </c>
      <c r="C365" s="4" t="s">
        <v>187</v>
      </c>
      <c r="D365" s="4" t="s">
        <v>1736</v>
      </c>
      <c r="E365" s="4" t="s">
        <v>1737</v>
      </c>
      <c r="F365" s="4" t="s">
        <v>804</v>
      </c>
      <c r="G365" s="3" t="s">
        <v>1738</v>
      </c>
      <c r="H365" s="9" t="s">
        <v>1739</v>
      </c>
      <c r="I365" s="14"/>
      <c r="J365" s="4">
        <v>2</v>
      </c>
      <c r="K365" s="26" t="s">
        <v>50</v>
      </c>
      <c r="L365" s="34" t="s">
        <v>51</v>
      </c>
    </row>
    <row r="366" spans="1:12" ht="20.100000000000001" customHeight="1" x14ac:dyDescent="0.3">
      <c r="A366" s="659"/>
      <c r="B366" s="16">
        <v>45393</v>
      </c>
      <c r="C366" s="4" t="s">
        <v>1734</v>
      </c>
      <c r="D366" s="4" t="s">
        <v>14</v>
      </c>
      <c r="E366" s="4" t="s">
        <v>1737</v>
      </c>
      <c r="F366" s="4" t="s">
        <v>1740</v>
      </c>
      <c r="G366" s="3" t="s">
        <v>265</v>
      </c>
      <c r="H366" s="9" t="s">
        <v>1741</v>
      </c>
      <c r="I366" s="14"/>
      <c r="J366" s="4">
        <v>2</v>
      </c>
      <c r="K366" s="26" t="s">
        <v>50</v>
      </c>
      <c r="L366" s="34" t="s">
        <v>51</v>
      </c>
    </row>
    <row r="367" spans="1:12" ht="20.100000000000001" customHeight="1" x14ac:dyDescent="0.3">
      <c r="A367" s="659"/>
      <c r="B367" s="16">
        <v>45399</v>
      </c>
      <c r="C367" s="4" t="s">
        <v>1734</v>
      </c>
      <c r="D367" s="4" t="s">
        <v>14</v>
      </c>
      <c r="E367" s="4" t="s">
        <v>1742</v>
      </c>
      <c r="F367" s="4" t="s">
        <v>804</v>
      </c>
      <c r="G367" s="3" t="s">
        <v>265</v>
      </c>
      <c r="H367" s="5" t="s">
        <v>1756</v>
      </c>
      <c r="I367" s="14"/>
      <c r="J367" s="4">
        <v>3</v>
      </c>
      <c r="K367" s="26" t="s">
        <v>50</v>
      </c>
      <c r="L367" s="34" t="s">
        <v>51</v>
      </c>
    </row>
    <row r="368" spans="1:12" ht="20.100000000000001" customHeight="1" x14ac:dyDescent="0.3">
      <c r="A368" s="659"/>
      <c r="B368" s="16">
        <v>45406</v>
      </c>
      <c r="C368" s="3" t="s">
        <v>1693</v>
      </c>
      <c r="D368" s="4" t="s">
        <v>1715</v>
      </c>
      <c r="E368" s="4" t="s">
        <v>1743</v>
      </c>
      <c r="F368" s="155" t="s">
        <v>1744</v>
      </c>
      <c r="G368" s="4" t="s">
        <v>1745</v>
      </c>
      <c r="H368" s="9" t="s">
        <v>1746</v>
      </c>
      <c r="I368" s="14"/>
      <c r="J368" s="4">
        <v>2</v>
      </c>
      <c r="K368" s="26" t="s">
        <v>50</v>
      </c>
      <c r="L368" s="34" t="s">
        <v>51</v>
      </c>
    </row>
    <row r="369" spans="1:13" ht="20.100000000000001" customHeight="1" x14ac:dyDescent="0.3">
      <c r="A369" s="659"/>
      <c r="B369" s="16" t="s">
        <v>1705</v>
      </c>
      <c r="C369" s="3" t="s">
        <v>1747</v>
      </c>
      <c r="D369" s="4" t="s">
        <v>14</v>
      </c>
      <c r="E369" s="4" t="s">
        <v>212</v>
      </c>
      <c r="F369" s="155" t="s">
        <v>1748</v>
      </c>
      <c r="G369" s="4" t="s">
        <v>1749</v>
      </c>
      <c r="H369" s="9" t="s">
        <v>1750</v>
      </c>
      <c r="I369" s="14"/>
      <c r="J369" s="4">
        <v>2</v>
      </c>
      <c r="K369" s="26" t="s">
        <v>50</v>
      </c>
      <c r="L369" s="34" t="s">
        <v>51</v>
      </c>
    </row>
    <row r="370" spans="1:13" ht="20.100000000000001" customHeight="1" x14ac:dyDescent="0.3">
      <c r="A370" s="659" t="s">
        <v>1668</v>
      </c>
      <c r="B370" s="659"/>
      <c r="C370" s="659"/>
      <c r="D370" s="659"/>
      <c r="E370" s="659"/>
      <c r="F370" s="659"/>
      <c r="G370" s="659"/>
      <c r="H370" s="659"/>
      <c r="I370" s="659"/>
      <c r="J370" s="26">
        <f>SUM(J364:J369)</f>
        <v>13</v>
      </c>
      <c r="K370" s="26"/>
      <c r="L370" s="26"/>
    </row>
    <row r="372" spans="1:13" ht="27" x14ac:dyDescent="0.3">
      <c r="A372" s="20" t="s">
        <v>1598</v>
      </c>
      <c r="B372" s="20" t="s">
        <v>1599</v>
      </c>
      <c r="C372" s="21" t="s">
        <v>2</v>
      </c>
      <c r="D372" s="21" t="s">
        <v>3</v>
      </c>
      <c r="E372" s="21" t="s">
        <v>4</v>
      </c>
      <c r="F372" s="21" t="s">
        <v>5</v>
      </c>
      <c r="G372" s="21" t="s">
        <v>6</v>
      </c>
      <c r="H372" s="22" t="s">
        <v>1465</v>
      </c>
      <c r="I372" s="21" t="s">
        <v>8</v>
      </c>
      <c r="J372" s="23" t="s">
        <v>46</v>
      </c>
      <c r="K372" s="23" t="s">
        <v>46</v>
      </c>
      <c r="L372" s="24" t="s">
        <v>47</v>
      </c>
    </row>
    <row r="373" spans="1:13" ht="54" x14ac:dyDescent="0.3">
      <c r="A373" s="673" t="s">
        <v>219</v>
      </c>
      <c r="B373" s="99" t="s">
        <v>1711</v>
      </c>
      <c r="C373" s="4" t="s">
        <v>19</v>
      </c>
      <c r="D373" s="4" t="s">
        <v>25</v>
      </c>
      <c r="E373" s="4" t="s">
        <v>252</v>
      </c>
      <c r="F373" s="155" t="s">
        <v>1404</v>
      </c>
      <c r="G373" s="4" t="s">
        <v>1333</v>
      </c>
      <c r="H373" s="9" t="s">
        <v>1793</v>
      </c>
      <c r="I373" s="14" t="s">
        <v>293</v>
      </c>
      <c r="J373" s="4" t="s">
        <v>1794</v>
      </c>
      <c r="K373" s="4">
        <v>9</v>
      </c>
      <c r="L373" s="26" t="s">
        <v>1792</v>
      </c>
      <c r="M373" t="s">
        <v>1607</v>
      </c>
    </row>
    <row r="374" spans="1:13" ht="27" x14ac:dyDescent="0.3">
      <c r="A374" s="674"/>
      <c r="B374" s="99" t="s">
        <v>1515</v>
      </c>
      <c r="C374" s="4" t="s">
        <v>19</v>
      </c>
      <c r="D374" s="4" t="s">
        <v>25</v>
      </c>
      <c r="E374" s="4" t="s">
        <v>252</v>
      </c>
      <c r="F374" s="155">
        <v>4266</v>
      </c>
      <c r="G374" s="4" t="s">
        <v>126</v>
      </c>
      <c r="H374" s="9" t="s">
        <v>1611</v>
      </c>
      <c r="I374" s="14" t="s">
        <v>293</v>
      </c>
      <c r="J374" s="4" t="s">
        <v>1755</v>
      </c>
      <c r="K374" s="4">
        <v>4</v>
      </c>
      <c r="L374" s="26" t="s">
        <v>52</v>
      </c>
      <c r="M374" t="s">
        <v>1613</v>
      </c>
    </row>
    <row r="375" spans="1:13" ht="27" x14ac:dyDescent="0.3">
      <c r="A375" s="674"/>
      <c r="B375" s="99" t="s">
        <v>1532</v>
      </c>
      <c r="C375" s="4" t="s">
        <v>19</v>
      </c>
      <c r="D375" s="4" t="s">
        <v>25</v>
      </c>
      <c r="E375" s="4" t="s">
        <v>252</v>
      </c>
      <c r="F375" s="155" t="s">
        <v>1509</v>
      </c>
      <c r="G375" s="4" t="s">
        <v>18</v>
      </c>
      <c r="H375" s="9" t="s">
        <v>594</v>
      </c>
      <c r="I375" s="14" t="s">
        <v>95</v>
      </c>
      <c r="J375" s="4" t="s">
        <v>1755</v>
      </c>
      <c r="K375" s="4">
        <v>4</v>
      </c>
      <c r="L375" s="26" t="s">
        <v>52</v>
      </c>
      <c r="M375" t="s">
        <v>1618</v>
      </c>
    </row>
    <row r="376" spans="1:13" ht="27" x14ac:dyDescent="0.3">
      <c r="A376" s="674"/>
      <c r="B376" s="99" t="s">
        <v>1619</v>
      </c>
      <c r="C376" s="4" t="s">
        <v>19</v>
      </c>
      <c r="D376" s="4" t="s">
        <v>25</v>
      </c>
      <c r="E376" s="4" t="s">
        <v>252</v>
      </c>
      <c r="F376" s="155" t="s">
        <v>1328</v>
      </c>
      <c r="G376" s="4" t="s">
        <v>1580</v>
      </c>
      <c r="H376" s="9" t="s">
        <v>594</v>
      </c>
      <c r="I376" s="14" t="s">
        <v>95</v>
      </c>
      <c r="J376" s="4" t="s">
        <v>1577</v>
      </c>
      <c r="K376" s="4">
        <v>6</v>
      </c>
      <c r="L376" s="26" t="s">
        <v>50</v>
      </c>
      <c r="M376" t="s">
        <v>1621</v>
      </c>
    </row>
    <row r="377" spans="1:13" ht="27" x14ac:dyDescent="0.3">
      <c r="A377" s="674"/>
      <c r="B377" s="16">
        <v>45407</v>
      </c>
      <c r="C377" s="4" t="s">
        <v>19</v>
      </c>
      <c r="D377" s="4" t="s">
        <v>25</v>
      </c>
      <c r="E377" s="4" t="s">
        <v>20</v>
      </c>
      <c r="F377" s="155" t="s">
        <v>1592</v>
      </c>
      <c r="G377" s="4" t="s">
        <v>1717</v>
      </c>
      <c r="H377" s="9" t="s">
        <v>594</v>
      </c>
      <c r="I377" s="14" t="s">
        <v>293</v>
      </c>
      <c r="J377" s="4" t="s">
        <v>1593</v>
      </c>
      <c r="K377" s="4">
        <v>2</v>
      </c>
      <c r="L377" s="26" t="s">
        <v>50</v>
      </c>
      <c r="M377" t="s">
        <v>1625</v>
      </c>
    </row>
    <row r="378" spans="1:13" x14ac:dyDescent="0.3">
      <c r="A378" s="661" t="s">
        <v>1655</v>
      </c>
      <c r="B378" s="661"/>
      <c r="C378" s="661"/>
      <c r="D378" s="661"/>
      <c r="E378" s="661"/>
      <c r="F378" s="661"/>
      <c r="G378" s="661"/>
      <c r="H378" s="661"/>
      <c r="I378" s="661"/>
      <c r="J378" s="661"/>
      <c r="K378" s="4">
        <v>25</v>
      </c>
      <c r="L378" s="59"/>
    </row>
    <row r="381" spans="1:13" x14ac:dyDescent="0.3">
      <c r="B381" s="690" t="s">
        <v>1</v>
      </c>
      <c r="C381" s="690" t="s">
        <v>2</v>
      </c>
      <c r="D381" s="690" t="s">
        <v>3</v>
      </c>
      <c r="E381" s="40" t="s">
        <v>54</v>
      </c>
      <c r="F381" s="690" t="s">
        <v>5</v>
      </c>
      <c r="G381" s="690" t="s">
        <v>6</v>
      </c>
      <c r="H381" s="690" t="s">
        <v>7</v>
      </c>
      <c r="I381" s="690" t="s">
        <v>55</v>
      </c>
      <c r="J381" s="690" t="s">
        <v>9</v>
      </c>
      <c r="K381" s="692" t="s">
        <v>56</v>
      </c>
      <c r="L381" s="690" t="s">
        <v>57</v>
      </c>
    </row>
    <row r="382" spans="1:13" x14ac:dyDescent="0.3">
      <c r="B382" s="691"/>
      <c r="C382" s="691"/>
      <c r="D382" s="691"/>
      <c r="E382" s="41" t="s">
        <v>59</v>
      </c>
      <c r="F382" s="691"/>
      <c r="G382" s="691"/>
      <c r="H382" s="691"/>
      <c r="I382" s="691"/>
      <c r="J382" s="691"/>
      <c r="K382" s="693"/>
      <c r="L382" s="691"/>
    </row>
    <row r="383" spans="1:13" ht="27" x14ac:dyDescent="0.3">
      <c r="B383" s="99" t="s">
        <v>1889</v>
      </c>
      <c r="C383" s="133" t="s">
        <v>307</v>
      </c>
      <c r="D383" s="133" t="s">
        <v>323</v>
      </c>
      <c r="E383" s="133" t="s">
        <v>308</v>
      </c>
      <c r="F383" s="207" t="s">
        <v>1890</v>
      </c>
      <c r="G383" s="133" t="s">
        <v>151</v>
      </c>
      <c r="H383" s="207" t="s">
        <v>1891</v>
      </c>
      <c r="I383" s="133" t="s">
        <v>1892</v>
      </c>
      <c r="J383" s="197" t="s">
        <v>1754</v>
      </c>
      <c r="K383" s="133" t="s">
        <v>325</v>
      </c>
      <c r="L383" s="103">
        <v>1000000</v>
      </c>
    </row>
    <row r="384" spans="1:13" ht="27" x14ac:dyDescent="0.3">
      <c r="B384" s="99" t="s">
        <v>1893</v>
      </c>
      <c r="C384" s="4" t="s">
        <v>19</v>
      </c>
      <c r="D384" s="4" t="s">
        <v>1894</v>
      </c>
      <c r="E384" s="4" t="s">
        <v>1895</v>
      </c>
      <c r="F384" s="207" t="s">
        <v>1384</v>
      </c>
      <c r="G384" s="133" t="s">
        <v>116</v>
      </c>
      <c r="H384" s="207" t="s">
        <v>1843</v>
      </c>
      <c r="I384" s="133" t="s">
        <v>1892</v>
      </c>
      <c r="J384" s="197" t="s">
        <v>1593</v>
      </c>
      <c r="K384" s="61" t="s">
        <v>211</v>
      </c>
      <c r="L384" s="103">
        <v>500000</v>
      </c>
    </row>
    <row r="385" spans="1:13" ht="27" x14ac:dyDescent="0.3">
      <c r="B385" s="130" t="s">
        <v>1858</v>
      </c>
      <c r="C385" s="4" t="s">
        <v>1896</v>
      </c>
      <c r="D385" s="4" t="s">
        <v>152</v>
      </c>
      <c r="E385" s="4" t="s">
        <v>124</v>
      </c>
      <c r="F385" s="217" t="s">
        <v>1856</v>
      </c>
      <c r="G385" s="216" t="s">
        <v>1897</v>
      </c>
      <c r="H385" s="217" t="s">
        <v>1898</v>
      </c>
      <c r="I385" s="216" t="s">
        <v>610</v>
      </c>
      <c r="J385" s="197" t="s">
        <v>1754</v>
      </c>
      <c r="K385" s="61" t="s">
        <v>211</v>
      </c>
      <c r="L385" s="103">
        <v>1000000</v>
      </c>
    </row>
    <row r="386" spans="1:13" ht="27" x14ac:dyDescent="0.3">
      <c r="B386" s="99" t="s">
        <v>1870</v>
      </c>
      <c r="C386" s="133" t="s">
        <v>307</v>
      </c>
      <c r="D386" s="133" t="s">
        <v>323</v>
      </c>
      <c r="E386" s="133" t="s">
        <v>308</v>
      </c>
      <c r="F386" s="207" t="s">
        <v>1899</v>
      </c>
      <c r="G386" s="133" t="s">
        <v>1900</v>
      </c>
      <c r="H386" s="207" t="s">
        <v>1868</v>
      </c>
      <c r="I386" s="133" t="s">
        <v>610</v>
      </c>
      <c r="J386" s="4" t="s">
        <v>1754</v>
      </c>
      <c r="K386" s="133" t="s">
        <v>325</v>
      </c>
      <c r="L386" s="103">
        <v>1000000</v>
      </c>
    </row>
    <row r="387" spans="1:13" x14ac:dyDescent="0.3">
      <c r="B387" s="99"/>
      <c r="C387" s="133"/>
      <c r="D387" s="133"/>
      <c r="E387" s="133"/>
      <c r="F387" s="207"/>
      <c r="G387" s="133"/>
      <c r="H387" s="207"/>
      <c r="I387" s="133"/>
      <c r="J387" s="4"/>
      <c r="K387" s="133" t="s">
        <v>325</v>
      </c>
      <c r="L387" s="103">
        <f>SUM(L383:L386)</f>
        <v>3500000</v>
      </c>
    </row>
    <row r="390" spans="1:13" x14ac:dyDescent="0.3">
      <c r="A390" t="s">
        <v>1911</v>
      </c>
    </row>
    <row r="392" spans="1:13" ht="27" x14ac:dyDescent="0.3">
      <c r="A392" s="20" t="s">
        <v>43</v>
      </c>
      <c r="B392" s="20" t="s">
        <v>44</v>
      </c>
      <c r="C392" s="21" t="s">
        <v>2</v>
      </c>
      <c r="D392" s="21" t="s">
        <v>3</v>
      </c>
      <c r="E392" s="21" t="s">
        <v>4</v>
      </c>
      <c r="F392" s="21" t="s">
        <v>5</v>
      </c>
      <c r="G392" s="21" t="s">
        <v>6</v>
      </c>
      <c r="H392" s="22" t="s">
        <v>45</v>
      </c>
      <c r="I392" s="21" t="s">
        <v>8</v>
      </c>
      <c r="J392" s="23" t="s">
        <v>46</v>
      </c>
      <c r="K392" s="24" t="s">
        <v>47</v>
      </c>
      <c r="L392" s="24" t="s">
        <v>48</v>
      </c>
    </row>
    <row r="393" spans="1:13" ht="27" x14ac:dyDescent="0.3">
      <c r="A393" s="169" t="s">
        <v>1117</v>
      </c>
      <c r="B393" s="68" t="s">
        <v>1670</v>
      </c>
      <c r="C393" s="68" t="s">
        <v>312</v>
      </c>
      <c r="D393" s="137" t="s">
        <v>321</v>
      </c>
      <c r="E393" s="68" t="s">
        <v>1430</v>
      </c>
      <c r="F393" s="68" t="s">
        <v>663</v>
      </c>
      <c r="G393" s="68" t="s">
        <v>664</v>
      </c>
      <c r="H393" s="165" t="s">
        <v>676</v>
      </c>
      <c r="I393" s="137" t="s">
        <v>640</v>
      </c>
      <c r="J393" s="4">
        <v>1</v>
      </c>
      <c r="K393" s="26" t="s">
        <v>50</v>
      </c>
      <c r="L393" s="34" t="s">
        <v>51</v>
      </c>
    </row>
    <row r="394" spans="1:13" x14ac:dyDescent="0.3">
      <c r="A394" s="659" t="s">
        <v>53</v>
      </c>
      <c r="B394" s="659"/>
      <c r="C394" s="659"/>
      <c r="D394" s="659"/>
      <c r="E394" s="659"/>
      <c r="F394" s="659"/>
      <c r="G394" s="659"/>
      <c r="H394" s="659"/>
      <c r="I394" s="659"/>
      <c r="J394" s="26">
        <v>1</v>
      </c>
      <c r="K394" s="26"/>
      <c r="L394" s="26"/>
    </row>
    <row r="396" spans="1:13" ht="27" customHeight="1" x14ac:dyDescent="0.3">
      <c r="A396" s="20" t="s">
        <v>1994</v>
      </c>
      <c r="B396" s="20" t="s">
        <v>1995</v>
      </c>
      <c r="C396" s="21" t="s">
        <v>2</v>
      </c>
      <c r="D396" s="21" t="s">
        <v>3</v>
      </c>
      <c r="E396" s="21" t="s">
        <v>1996</v>
      </c>
      <c r="F396" s="21" t="s">
        <v>5</v>
      </c>
      <c r="G396" s="21" t="s">
        <v>6</v>
      </c>
      <c r="H396" s="22" t="s">
        <v>45</v>
      </c>
      <c r="I396" s="21" t="s">
        <v>8</v>
      </c>
      <c r="J396" s="23" t="s">
        <v>46</v>
      </c>
      <c r="K396" s="24" t="s">
        <v>1997</v>
      </c>
      <c r="L396" s="24" t="s">
        <v>1998</v>
      </c>
    </row>
    <row r="397" spans="1:13" ht="27" customHeight="1" x14ac:dyDescent="0.3">
      <c r="A397" s="673" t="s">
        <v>219</v>
      </c>
      <c r="B397" s="99" t="s">
        <v>1999</v>
      </c>
      <c r="C397" s="4" t="s">
        <v>307</v>
      </c>
      <c r="D397" s="4" t="s">
        <v>323</v>
      </c>
      <c r="E397" s="4" t="s">
        <v>308</v>
      </c>
      <c r="F397" s="155" t="s">
        <v>1765</v>
      </c>
      <c r="G397" s="4" t="s">
        <v>349</v>
      </c>
      <c r="H397" s="9" t="s">
        <v>2000</v>
      </c>
      <c r="I397" s="14" t="s">
        <v>351</v>
      </c>
      <c r="J397" s="4">
        <v>4</v>
      </c>
      <c r="K397" s="229" t="s">
        <v>633</v>
      </c>
      <c r="L397" s="34" t="s">
        <v>51</v>
      </c>
      <c r="M397">
        <v>20</v>
      </c>
    </row>
    <row r="398" spans="1:13" ht="27" customHeight="1" x14ac:dyDescent="0.3">
      <c r="A398" s="674"/>
      <c r="B398" s="99" t="s">
        <v>2001</v>
      </c>
      <c r="C398" s="4" t="s">
        <v>307</v>
      </c>
      <c r="D398" s="4" t="s">
        <v>323</v>
      </c>
      <c r="E398" s="4" t="s">
        <v>308</v>
      </c>
      <c r="F398" s="155" t="s">
        <v>1412</v>
      </c>
      <c r="G398" s="4" t="s">
        <v>664</v>
      </c>
      <c r="H398" s="9" t="s">
        <v>2000</v>
      </c>
      <c r="I398" s="14" t="s">
        <v>351</v>
      </c>
      <c r="J398" s="4">
        <v>2</v>
      </c>
      <c r="K398" s="229" t="s">
        <v>2104</v>
      </c>
      <c r="L398" s="34" t="s">
        <v>51</v>
      </c>
      <c r="M398">
        <v>20</v>
      </c>
    </row>
    <row r="399" spans="1:13" ht="27" customHeight="1" x14ac:dyDescent="0.3">
      <c r="A399" s="674"/>
      <c r="B399" s="130" t="s">
        <v>2002</v>
      </c>
      <c r="C399" s="4" t="s">
        <v>307</v>
      </c>
      <c r="D399" s="4" t="s">
        <v>323</v>
      </c>
      <c r="E399" s="4" t="s">
        <v>308</v>
      </c>
      <c r="F399" s="155" t="s">
        <v>1922</v>
      </c>
      <c r="G399" s="4" t="s">
        <v>2003</v>
      </c>
      <c r="H399" s="9" t="s">
        <v>2000</v>
      </c>
      <c r="I399" s="14" t="s">
        <v>351</v>
      </c>
      <c r="J399" s="4">
        <v>4</v>
      </c>
      <c r="K399" s="229" t="s">
        <v>633</v>
      </c>
      <c r="L399" s="34" t="s">
        <v>51</v>
      </c>
      <c r="M399">
        <v>21</v>
      </c>
    </row>
    <row r="400" spans="1:13" ht="27" customHeight="1" x14ac:dyDescent="0.3">
      <c r="A400" s="674"/>
      <c r="B400" s="99" t="s">
        <v>2004</v>
      </c>
      <c r="C400" s="4" t="s">
        <v>307</v>
      </c>
      <c r="D400" s="4" t="s">
        <v>323</v>
      </c>
      <c r="E400" s="4" t="s">
        <v>308</v>
      </c>
      <c r="F400" s="155" t="s">
        <v>2005</v>
      </c>
      <c r="G400" s="4" t="s">
        <v>369</v>
      </c>
      <c r="H400" s="9" t="s">
        <v>2000</v>
      </c>
      <c r="I400" s="14" t="s">
        <v>351</v>
      </c>
      <c r="J400" s="4">
        <v>4</v>
      </c>
      <c r="K400" s="229" t="s">
        <v>2006</v>
      </c>
      <c r="L400" s="34" t="s">
        <v>2007</v>
      </c>
      <c r="M400">
        <v>22</v>
      </c>
    </row>
    <row r="401" spans="1:13" ht="27" customHeight="1" x14ac:dyDescent="0.3">
      <c r="A401" s="659" t="s">
        <v>53</v>
      </c>
      <c r="B401" s="659"/>
      <c r="C401" s="659"/>
      <c r="D401" s="659"/>
      <c r="E401" s="659"/>
      <c r="F401" s="659"/>
      <c r="G401" s="659"/>
      <c r="H401" s="659"/>
      <c r="I401" s="659"/>
      <c r="J401" s="26">
        <v>14</v>
      </c>
      <c r="K401" s="26"/>
      <c r="L401" s="26"/>
    </row>
    <row r="402" spans="1:13" ht="20.100000000000001" customHeight="1" x14ac:dyDescent="0.3"/>
    <row r="403" spans="1:13" ht="20.100000000000001" customHeight="1" x14ac:dyDescent="0.3"/>
    <row r="404" spans="1:13" ht="27" customHeight="1" x14ac:dyDescent="0.3">
      <c r="A404" s="20" t="s">
        <v>2008</v>
      </c>
      <c r="B404" s="20" t="s">
        <v>2009</v>
      </c>
      <c r="C404" s="21" t="s">
        <v>2</v>
      </c>
      <c r="D404" s="21" t="s">
        <v>3</v>
      </c>
      <c r="E404" s="21" t="s">
        <v>4</v>
      </c>
      <c r="F404" s="21" t="s">
        <v>5</v>
      </c>
      <c r="G404" s="21" t="s">
        <v>6</v>
      </c>
      <c r="H404" s="22" t="s">
        <v>2010</v>
      </c>
      <c r="I404" s="21" t="s">
        <v>8</v>
      </c>
      <c r="J404" s="23" t="s">
        <v>46</v>
      </c>
      <c r="K404" s="24" t="s">
        <v>47</v>
      </c>
      <c r="L404" s="24" t="s">
        <v>48</v>
      </c>
    </row>
    <row r="405" spans="1:13" ht="13.5" customHeight="1" x14ac:dyDescent="0.3">
      <c r="A405" s="658" t="s">
        <v>230</v>
      </c>
      <c r="B405" s="665" t="s">
        <v>1814</v>
      </c>
      <c r="C405" s="665" t="s">
        <v>702</v>
      </c>
      <c r="D405" s="694" t="s">
        <v>677</v>
      </c>
      <c r="E405" s="665" t="s">
        <v>1815</v>
      </c>
      <c r="F405" s="665" t="s">
        <v>1816</v>
      </c>
      <c r="G405" s="665" t="s">
        <v>664</v>
      </c>
      <c r="H405" s="695" t="s">
        <v>1817</v>
      </c>
      <c r="I405" s="694"/>
      <c r="J405" s="695">
        <v>1</v>
      </c>
      <c r="K405" s="667" t="s">
        <v>633</v>
      </c>
      <c r="L405" s="653" t="s">
        <v>51</v>
      </c>
      <c r="M405">
        <v>19</v>
      </c>
    </row>
    <row r="406" spans="1:13" ht="13.5" customHeight="1" x14ac:dyDescent="0.3">
      <c r="A406" s="658"/>
      <c r="B406" s="665"/>
      <c r="C406" s="665"/>
      <c r="D406" s="694"/>
      <c r="E406" s="665"/>
      <c r="F406" s="665"/>
      <c r="G406" s="665"/>
      <c r="H406" s="695"/>
      <c r="I406" s="694"/>
      <c r="J406" s="695"/>
      <c r="K406" s="668"/>
      <c r="L406" s="655"/>
      <c r="M406">
        <v>18</v>
      </c>
    </row>
    <row r="407" spans="1:13" ht="27" customHeight="1" x14ac:dyDescent="0.3">
      <c r="A407" s="658"/>
      <c r="B407" s="95" t="s">
        <v>1783</v>
      </c>
      <c r="C407" s="95" t="s">
        <v>312</v>
      </c>
      <c r="D407" s="266" t="s">
        <v>321</v>
      </c>
      <c r="E407" s="266" t="s">
        <v>411</v>
      </c>
      <c r="F407" s="267" t="s">
        <v>1417</v>
      </c>
      <c r="G407" s="266" t="s">
        <v>349</v>
      </c>
      <c r="H407" s="267" t="s">
        <v>1586</v>
      </c>
      <c r="I407" s="266"/>
      <c r="J407" s="266">
        <v>2</v>
      </c>
      <c r="K407" s="26" t="s">
        <v>2006</v>
      </c>
      <c r="L407" s="399" t="s">
        <v>2007</v>
      </c>
    </row>
    <row r="408" spans="1:13" ht="27" customHeight="1" x14ac:dyDescent="0.3">
      <c r="A408" s="658"/>
      <c r="B408" s="268">
        <v>45434</v>
      </c>
      <c r="C408" s="48" t="s">
        <v>139</v>
      </c>
      <c r="D408" s="49" t="s">
        <v>14</v>
      </c>
      <c r="E408" s="49" t="s">
        <v>2011</v>
      </c>
      <c r="F408" s="48" t="s">
        <v>2012</v>
      </c>
      <c r="G408" s="48" t="s">
        <v>40</v>
      </c>
      <c r="H408" s="50" t="s">
        <v>2013</v>
      </c>
      <c r="I408" s="51" t="s">
        <v>2014</v>
      </c>
      <c r="J408" s="49">
        <v>1</v>
      </c>
      <c r="K408" s="26" t="s">
        <v>633</v>
      </c>
      <c r="L408" s="399" t="s">
        <v>51</v>
      </c>
      <c r="M408">
        <v>21</v>
      </c>
    </row>
    <row r="409" spans="1:13" ht="27" customHeight="1" x14ac:dyDescent="0.3">
      <c r="A409" s="658" t="s">
        <v>1655</v>
      </c>
      <c r="B409" s="658"/>
      <c r="C409" s="658"/>
      <c r="D409" s="658"/>
      <c r="E409" s="658"/>
      <c r="F409" s="658"/>
      <c r="G409" s="658"/>
      <c r="H409" s="658"/>
      <c r="I409" s="658"/>
      <c r="J409" s="26">
        <v>4</v>
      </c>
      <c r="K409" s="26"/>
      <c r="L409" s="26"/>
    </row>
    <row r="410" spans="1:13" ht="20.100000000000001" customHeight="1" x14ac:dyDescent="0.3"/>
    <row r="411" spans="1:13" ht="20.100000000000001" customHeight="1" x14ac:dyDescent="0.3">
      <c r="A411" s="20" t="s">
        <v>2008</v>
      </c>
      <c r="B411" s="20" t="s">
        <v>2015</v>
      </c>
      <c r="C411" s="21" t="s">
        <v>2</v>
      </c>
      <c r="D411" s="21" t="s">
        <v>3</v>
      </c>
      <c r="E411" s="241" t="s">
        <v>4</v>
      </c>
      <c r="F411" s="21" t="s">
        <v>5</v>
      </c>
      <c r="G411" s="21" t="s">
        <v>6</v>
      </c>
      <c r="H411" s="22" t="s">
        <v>45</v>
      </c>
      <c r="I411" s="21" t="s">
        <v>2016</v>
      </c>
      <c r="J411" s="23" t="s">
        <v>2017</v>
      </c>
      <c r="K411" s="24" t="s">
        <v>47</v>
      </c>
      <c r="L411" s="24" t="s">
        <v>48</v>
      </c>
    </row>
    <row r="412" spans="1:13" ht="20.100000000000001" customHeight="1" x14ac:dyDescent="0.3">
      <c r="A412" s="658" t="s">
        <v>2018</v>
      </c>
      <c r="B412" s="696" t="s">
        <v>2019</v>
      </c>
      <c r="C412" s="667" t="s">
        <v>21</v>
      </c>
      <c r="D412" s="552" t="s">
        <v>14</v>
      </c>
      <c r="E412" s="667" t="s">
        <v>78</v>
      </c>
      <c r="F412" s="665" t="s">
        <v>2020</v>
      </c>
      <c r="G412" s="665" t="s">
        <v>40</v>
      </c>
      <c r="H412" s="695" t="s">
        <v>616</v>
      </c>
      <c r="I412" s="694"/>
      <c r="J412" s="695">
        <v>1</v>
      </c>
      <c r="K412" s="667" t="s">
        <v>2021</v>
      </c>
      <c r="L412" s="653" t="s">
        <v>2007</v>
      </c>
      <c r="M412">
        <v>19</v>
      </c>
    </row>
    <row r="413" spans="1:13" ht="20.100000000000001" customHeight="1" x14ac:dyDescent="0.3">
      <c r="A413" s="658"/>
      <c r="B413" s="665"/>
      <c r="C413" s="668"/>
      <c r="D413" s="553"/>
      <c r="E413" s="668"/>
      <c r="F413" s="665"/>
      <c r="G413" s="665"/>
      <c r="H413" s="695"/>
      <c r="I413" s="694"/>
      <c r="J413" s="695"/>
      <c r="K413" s="668"/>
      <c r="L413" s="655"/>
      <c r="M413">
        <v>18</v>
      </c>
    </row>
    <row r="414" spans="1:13" ht="20.100000000000001" customHeight="1" x14ac:dyDescent="0.3">
      <c r="A414" s="658" t="s">
        <v>1655</v>
      </c>
      <c r="B414" s="658"/>
      <c r="C414" s="658"/>
      <c r="D414" s="658"/>
      <c r="E414" s="658"/>
      <c r="F414" s="658"/>
      <c r="G414" s="658"/>
      <c r="H414" s="658"/>
      <c r="I414" s="658"/>
      <c r="J414" s="26">
        <v>1</v>
      </c>
      <c r="K414" s="26"/>
      <c r="L414" s="26"/>
    </row>
    <row r="415" spans="1:13" ht="20.100000000000001" customHeight="1" x14ac:dyDescent="0.3"/>
    <row r="416" spans="1:13" ht="27" customHeight="1" x14ac:dyDescent="0.3">
      <c r="A416" s="20" t="s">
        <v>2008</v>
      </c>
      <c r="B416" s="20" t="s">
        <v>2009</v>
      </c>
      <c r="C416" s="21" t="s">
        <v>2</v>
      </c>
      <c r="D416" s="21" t="s">
        <v>3</v>
      </c>
      <c r="E416" s="21" t="s">
        <v>2022</v>
      </c>
      <c r="F416" s="21" t="s">
        <v>5</v>
      </c>
      <c r="G416" s="21" t="s">
        <v>6</v>
      </c>
      <c r="H416" s="22" t="s">
        <v>45</v>
      </c>
      <c r="I416" s="21" t="s">
        <v>2016</v>
      </c>
      <c r="J416" s="23" t="s">
        <v>2017</v>
      </c>
      <c r="K416" s="24" t="s">
        <v>47</v>
      </c>
      <c r="L416" s="24" t="s">
        <v>48</v>
      </c>
    </row>
    <row r="417" spans="1:13" ht="27" customHeight="1" x14ac:dyDescent="0.3">
      <c r="A417" s="653" t="s">
        <v>230</v>
      </c>
      <c r="B417" s="58">
        <v>45406</v>
      </c>
      <c r="C417" s="101" t="s">
        <v>307</v>
      </c>
      <c r="D417" s="101" t="s">
        <v>323</v>
      </c>
      <c r="E417" s="101" t="s">
        <v>308</v>
      </c>
      <c r="F417" s="43">
        <v>3306</v>
      </c>
      <c r="G417" s="101" t="s">
        <v>1156</v>
      </c>
      <c r="H417" s="43" t="s">
        <v>2023</v>
      </c>
      <c r="I417" s="101" t="s">
        <v>666</v>
      </c>
      <c r="J417" s="101">
        <v>2</v>
      </c>
      <c r="K417" s="26" t="s">
        <v>633</v>
      </c>
      <c r="L417" s="399" t="s">
        <v>51</v>
      </c>
      <c r="M417">
        <v>17</v>
      </c>
    </row>
    <row r="418" spans="1:13" ht="13.5" customHeight="1" x14ac:dyDescent="0.3">
      <c r="A418" s="654"/>
      <c r="B418" s="84" t="s">
        <v>1757</v>
      </c>
      <c r="C418" s="694" t="s">
        <v>307</v>
      </c>
      <c r="D418" s="694" t="s">
        <v>323</v>
      </c>
      <c r="E418" s="694" t="s">
        <v>308</v>
      </c>
      <c r="F418" s="695">
        <v>3306</v>
      </c>
      <c r="G418" s="694" t="s">
        <v>1156</v>
      </c>
      <c r="H418" s="695" t="s">
        <v>1758</v>
      </c>
      <c r="I418" s="694" t="s">
        <v>666</v>
      </c>
      <c r="J418" s="694">
        <v>4</v>
      </c>
      <c r="K418" s="667" t="s">
        <v>633</v>
      </c>
      <c r="L418" s="653" t="s">
        <v>51</v>
      </c>
      <c r="M418">
        <v>18</v>
      </c>
    </row>
    <row r="419" spans="1:13" ht="13.5" customHeight="1" x14ac:dyDescent="0.3">
      <c r="A419" s="654"/>
      <c r="B419" s="85" t="s">
        <v>1760</v>
      </c>
      <c r="C419" s="694"/>
      <c r="D419" s="694"/>
      <c r="E419" s="694"/>
      <c r="F419" s="695"/>
      <c r="G419" s="694"/>
      <c r="H419" s="695"/>
      <c r="I419" s="694"/>
      <c r="J419" s="694"/>
      <c r="K419" s="668"/>
      <c r="L419" s="655"/>
    </row>
    <row r="420" spans="1:13" ht="13.5" customHeight="1" x14ac:dyDescent="0.3">
      <c r="A420" s="654"/>
      <c r="B420" s="84" t="s">
        <v>1809</v>
      </c>
      <c r="C420" s="694" t="s">
        <v>307</v>
      </c>
      <c r="D420" s="694" t="s">
        <v>323</v>
      </c>
      <c r="E420" s="694" t="s">
        <v>308</v>
      </c>
      <c r="F420" s="695" t="s">
        <v>1810</v>
      </c>
      <c r="G420" s="694" t="s">
        <v>1811</v>
      </c>
      <c r="H420" s="695" t="s">
        <v>1812</v>
      </c>
      <c r="I420" s="694" t="s">
        <v>666</v>
      </c>
      <c r="J420" s="694">
        <v>5</v>
      </c>
      <c r="K420" s="667" t="s">
        <v>633</v>
      </c>
      <c r="L420" s="653" t="s">
        <v>51</v>
      </c>
      <c r="M420">
        <v>19</v>
      </c>
    </row>
    <row r="421" spans="1:13" ht="13.5" customHeight="1" x14ac:dyDescent="0.3">
      <c r="A421" s="654"/>
      <c r="B421" s="85" t="s">
        <v>1804</v>
      </c>
      <c r="C421" s="694"/>
      <c r="D421" s="694"/>
      <c r="E421" s="694"/>
      <c r="F421" s="695"/>
      <c r="G421" s="694"/>
      <c r="H421" s="695"/>
      <c r="I421" s="694"/>
      <c r="J421" s="694"/>
      <c r="K421" s="668"/>
      <c r="L421" s="655"/>
    </row>
    <row r="422" spans="1:13" ht="27" customHeight="1" x14ac:dyDescent="0.3">
      <c r="A422" s="655"/>
      <c r="B422" s="268" t="s">
        <v>2024</v>
      </c>
      <c r="C422" s="101" t="s">
        <v>307</v>
      </c>
      <c r="D422" s="101" t="s">
        <v>323</v>
      </c>
      <c r="E422" s="101" t="s">
        <v>308</v>
      </c>
      <c r="F422" s="43">
        <v>3306</v>
      </c>
      <c r="G422" s="101" t="s">
        <v>1021</v>
      </c>
      <c r="H422" s="43" t="s">
        <v>2025</v>
      </c>
      <c r="I422" s="101" t="s">
        <v>169</v>
      </c>
      <c r="J422" s="49">
        <v>4</v>
      </c>
      <c r="K422" s="26" t="s">
        <v>2006</v>
      </c>
      <c r="L422" s="399" t="s">
        <v>51</v>
      </c>
      <c r="M422">
        <v>21</v>
      </c>
    </row>
    <row r="423" spans="1:13" ht="27" customHeight="1" x14ac:dyDescent="0.3">
      <c r="A423" s="658" t="s">
        <v>1655</v>
      </c>
      <c r="B423" s="658"/>
      <c r="C423" s="658"/>
      <c r="D423" s="658"/>
      <c r="E423" s="658"/>
      <c r="F423" s="658"/>
      <c r="G423" s="658"/>
      <c r="H423" s="658"/>
      <c r="I423" s="658"/>
      <c r="J423" s="26">
        <v>15</v>
      </c>
      <c r="K423" s="26"/>
      <c r="L423" s="26"/>
    </row>
    <row r="424" spans="1:13" ht="20.100000000000001" customHeight="1" x14ac:dyDescent="0.3"/>
    <row r="425" spans="1:13" ht="20.100000000000001" customHeight="1" x14ac:dyDescent="0.3"/>
    <row r="426" spans="1:13" ht="20.100000000000001" customHeight="1" x14ac:dyDescent="0.3">
      <c r="A426" s="20" t="s">
        <v>2008</v>
      </c>
      <c r="B426" s="20" t="s">
        <v>2009</v>
      </c>
      <c r="C426" s="21" t="s">
        <v>2</v>
      </c>
      <c r="D426" s="21" t="s">
        <v>3</v>
      </c>
      <c r="E426" s="21" t="s">
        <v>1733</v>
      </c>
      <c r="F426" s="21" t="s">
        <v>5</v>
      </c>
      <c r="G426" s="21" t="s">
        <v>6</v>
      </c>
      <c r="H426" s="22" t="s">
        <v>45</v>
      </c>
      <c r="I426" s="21" t="s">
        <v>2016</v>
      </c>
      <c r="J426" s="23" t="s">
        <v>2017</v>
      </c>
      <c r="K426" s="24" t="s">
        <v>47</v>
      </c>
      <c r="L426" s="24" t="s">
        <v>48</v>
      </c>
    </row>
    <row r="427" spans="1:13" ht="20.100000000000001" customHeight="1" x14ac:dyDescent="0.3">
      <c r="A427" s="697" t="s">
        <v>2018</v>
      </c>
      <c r="B427" s="99">
        <v>45418</v>
      </c>
      <c r="C427" s="4" t="s">
        <v>19</v>
      </c>
      <c r="D427" s="4" t="s">
        <v>25</v>
      </c>
      <c r="E427" s="4" t="s">
        <v>20</v>
      </c>
      <c r="F427" s="155">
        <v>3306</v>
      </c>
      <c r="G427" s="4" t="s">
        <v>1156</v>
      </c>
      <c r="H427" s="9" t="s">
        <v>2026</v>
      </c>
      <c r="I427" s="14" t="s">
        <v>2027</v>
      </c>
      <c r="J427" s="4">
        <v>2</v>
      </c>
      <c r="K427" s="26" t="s">
        <v>2028</v>
      </c>
      <c r="L427" s="34" t="s">
        <v>51</v>
      </c>
    </row>
    <row r="428" spans="1:13" ht="20.100000000000001" customHeight="1" x14ac:dyDescent="0.3">
      <c r="A428" s="698"/>
      <c r="B428" s="99">
        <v>45420</v>
      </c>
      <c r="C428" s="4" t="s">
        <v>19</v>
      </c>
      <c r="D428" s="4" t="s">
        <v>2029</v>
      </c>
      <c r="E428" s="4" t="s">
        <v>2030</v>
      </c>
      <c r="F428" s="155">
        <v>3306</v>
      </c>
      <c r="G428" s="4" t="s">
        <v>1156</v>
      </c>
      <c r="H428" s="9" t="s">
        <v>2031</v>
      </c>
      <c r="I428" s="14" t="s">
        <v>2027</v>
      </c>
      <c r="J428" s="4">
        <v>2</v>
      </c>
      <c r="K428" s="26" t="s">
        <v>2032</v>
      </c>
      <c r="L428" s="34" t="s">
        <v>51</v>
      </c>
    </row>
    <row r="429" spans="1:13" ht="20.100000000000001" customHeight="1" x14ac:dyDescent="0.3">
      <c r="A429" s="698"/>
      <c r="B429" s="16">
        <v>45425</v>
      </c>
      <c r="C429" s="4" t="s">
        <v>19</v>
      </c>
      <c r="D429" s="4" t="s">
        <v>25</v>
      </c>
      <c r="E429" s="4" t="s">
        <v>20</v>
      </c>
      <c r="F429" s="155">
        <v>3306</v>
      </c>
      <c r="G429" s="4" t="s">
        <v>1156</v>
      </c>
      <c r="H429" s="9" t="s">
        <v>2026</v>
      </c>
      <c r="I429" s="14" t="s">
        <v>2027</v>
      </c>
      <c r="J429" s="4">
        <v>2</v>
      </c>
      <c r="K429" s="26" t="s">
        <v>2028</v>
      </c>
      <c r="L429" s="34" t="s">
        <v>2007</v>
      </c>
    </row>
    <row r="430" spans="1:13" ht="20.100000000000001" customHeight="1" x14ac:dyDescent="0.3">
      <c r="A430" s="698"/>
      <c r="B430" s="99">
        <v>45428</v>
      </c>
      <c r="C430" s="4" t="s">
        <v>19</v>
      </c>
      <c r="D430" s="4" t="s">
        <v>2029</v>
      </c>
      <c r="E430" s="4" t="s">
        <v>20</v>
      </c>
      <c r="F430" s="155">
        <v>3306</v>
      </c>
      <c r="G430" s="4" t="s">
        <v>1156</v>
      </c>
      <c r="H430" s="9" t="s">
        <v>2033</v>
      </c>
      <c r="I430" s="14" t="s">
        <v>169</v>
      </c>
      <c r="J430" s="4">
        <v>2</v>
      </c>
      <c r="K430" s="26" t="s">
        <v>2032</v>
      </c>
      <c r="L430" s="34" t="s">
        <v>51</v>
      </c>
    </row>
    <row r="431" spans="1:13" ht="20.100000000000001" customHeight="1" x14ac:dyDescent="0.3">
      <c r="A431" s="659" t="s">
        <v>1655</v>
      </c>
      <c r="B431" s="659"/>
      <c r="C431" s="659"/>
      <c r="D431" s="659"/>
      <c r="E431" s="659"/>
      <c r="F431" s="659"/>
      <c r="G431" s="659"/>
      <c r="H431" s="659"/>
      <c r="I431" s="659"/>
      <c r="J431" s="26">
        <f>SUM(J427:J430)</f>
        <v>8</v>
      </c>
      <c r="K431" s="26"/>
      <c r="L431" s="26"/>
    </row>
    <row r="432" spans="1:13" ht="20.100000000000001" customHeight="1" x14ac:dyDescent="0.3">
      <c r="A432" s="20" t="s">
        <v>2008</v>
      </c>
      <c r="B432" s="20" t="s">
        <v>2015</v>
      </c>
      <c r="C432" s="21" t="s">
        <v>2</v>
      </c>
      <c r="D432" s="21" t="s">
        <v>3</v>
      </c>
      <c r="E432" s="21" t="s">
        <v>1733</v>
      </c>
      <c r="F432" s="21" t="s">
        <v>5</v>
      </c>
      <c r="G432" s="21" t="s">
        <v>6</v>
      </c>
      <c r="H432" s="22" t="s">
        <v>2010</v>
      </c>
      <c r="I432" s="21" t="s">
        <v>2016</v>
      </c>
      <c r="J432" s="23" t="s">
        <v>46</v>
      </c>
      <c r="K432" s="24" t="s">
        <v>1997</v>
      </c>
      <c r="L432" s="24" t="s">
        <v>48</v>
      </c>
    </row>
    <row r="433" spans="1:13" ht="20.100000000000001" customHeight="1" x14ac:dyDescent="0.3">
      <c r="A433" s="698" t="s">
        <v>2018</v>
      </c>
      <c r="B433" s="99">
        <v>45422</v>
      </c>
      <c r="C433" s="4" t="s">
        <v>19</v>
      </c>
      <c r="D433" s="4" t="s">
        <v>25</v>
      </c>
      <c r="E433" s="4" t="s">
        <v>20</v>
      </c>
      <c r="F433" s="155" t="s">
        <v>2020</v>
      </c>
      <c r="G433" s="4" t="s">
        <v>40</v>
      </c>
      <c r="H433" s="9" t="s">
        <v>2034</v>
      </c>
      <c r="I433" s="14" t="s">
        <v>2027</v>
      </c>
      <c r="J433" s="4">
        <v>5</v>
      </c>
      <c r="K433" s="26" t="s">
        <v>2028</v>
      </c>
      <c r="L433" s="34" t="s">
        <v>51</v>
      </c>
    </row>
    <row r="434" spans="1:13" ht="20.100000000000001" customHeight="1" x14ac:dyDescent="0.3">
      <c r="A434" s="699"/>
      <c r="B434" s="16">
        <v>45423</v>
      </c>
      <c r="C434" s="4" t="s">
        <v>19</v>
      </c>
      <c r="D434" s="4" t="s">
        <v>25</v>
      </c>
      <c r="E434" s="4" t="s">
        <v>20</v>
      </c>
      <c r="F434" s="155" t="s">
        <v>1654</v>
      </c>
      <c r="G434" s="4" t="s">
        <v>2035</v>
      </c>
      <c r="H434" s="9" t="s">
        <v>2034</v>
      </c>
      <c r="I434" s="14" t="s">
        <v>2027</v>
      </c>
      <c r="J434" s="4">
        <v>5</v>
      </c>
      <c r="K434" s="26" t="s">
        <v>2032</v>
      </c>
      <c r="L434" s="34" t="s">
        <v>51</v>
      </c>
    </row>
    <row r="435" spans="1:13" ht="20.100000000000001" customHeight="1" x14ac:dyDescent="0.3">
      <c r="A435" s="659" t="s">
        <v>1655</v>
      </c>
      <c r="B435" s="659"/>
      <c r="C435" s="659"/>
      <c r="D435" s="659"/>
      <c r="E435" s="659"/>
      <c r="F435" s="659"/>
      <c r="G435" s="659"/>
      <c r="H435" s="659"/>
      <c r="I435" s="659"/>
      <c r="J435" s="26">
        <f>SUM(J433:J434)</f>
        <v>10</v>
      </c>
      <c r="K435" s="26"/>
      <c r="L435" s="26"/>
    </row>
    <row r="436" spans="1:13" ht="20.100000000000001" customHeight="1" x14ac:dyDescent="0.3"/>
    <row r="437" spans="1:13" ht="20.100000000000001" customHeight="1" x14ac:dyDescent="0.3">
      <c r="A437" s="20" t="s">
        <v>2008</v>
      </c>
      <c r="B437" s="20" t="s">
        <v>2036</v>
      </c>
      <c r="C437" s="21" t="s">
        <v>2</v>
      </c>
      <c r="D437" s="21" t="s">
        <v>3</v>
      </c>
      <c r="E437" s="21" t="s">
        <v>4</v>
      </c>
      <c r="F437" s="21" t="s">
        <v>5</v>
      </c>
      <c r="G437" s="21" t="s">
        <v>6</v>
      </c>
      <c r="H437" s="22" t="s">
        <v>45</v>
      </c>
      <c r="I437" s="21" t="s">
        <v>2016</v>
      </c>
      <c r="J437" s="23" t="s">
        <v>2017</v>
      </c>
      <c r="K437" s="24" t="s">
        <v>1997</v>
      </c>
      <c r="L437" s="24" t="s">
        <v>1998</v>
      </c>
    </row>
    <row r="438" spans="1:13" ht="13.5" customHeight="1" x14ac:dyDescent="0.3">
      <c r="A438" s="547" t="s">
        <v>2037</v>
      </c>
      <c r="B438" s="269" t="s">
        <v>1769</v>
      </c>
      <c r="C438" s="607" t="s">
        <v>307</v>
      </c>
      <c r="D438" s="607" t="s">
        <v>323</v>
      </c>
      <c r="E438" s="607" t="s">
        <v>308</v>
      </c>
      <c r="F438" s="700" t="s">
        <v>1770</v>
      </c>
      <c r="G438" s="607" t="s">
        <v>330</v>
      </c>
      <c r="H438" s="679" t="s">
        <v>1771</v>
      </c>
      <c r="I438" s="558" t="s">
        <v>666</v>
      </c>
      <c r="J438" s="702">
        <v>2</v>
      </c>
      <c r="K438" s="667" t="s">
        <v>2006</v>
      </c>
      <c r="L438" s="667" t="s">
        <v>51</v>
      </c>
      <c r="M438">
        <v>18</v>
      </c>
    </row>
    <row r="439" spans="1:13" ht="13.5" customHeight="1" x14ac:dyDescent="0.3">
      <c r="A439" s="548"/>
      <c r="B439" s="270" t="s">
        <v>2038</v>
      </c>
      <c r="C439" s="608"/>
      <c r="D439" s="608"/>
      <c r="E439" s="608"/>
      <c r="F439" s="701"/>
      <c r="G439" s="608"/>
      <c r="H439" s="681"/>
      <c r="I439" s="559"/>
      <c r="J439" s="703"/>
      <c r="K439" s="668"/>
      <c r="L439" s="668"/>
    </row>
    <row r="440" spans="1:13" ht="13.5" customHeight="1" x14ac:dyDescent="0.3">
      <c r="A440" s="548"/>
      <c r="B440" s="271" t="s">
        <v>1803</v>
      </c>
      <c r="C440" s="704" t="s">
        <v>307</v>
      </c>
      <c r="D440" s="704" t="s">
        <v>323</v>
      </c>
      <c r="E440" s="704" t="s">
        <v>308</v>
      </c>
      <c r="F440" s="705" t="s">
        <v>1805</v>
      </c>
      <c r="G440" s="704" t="s">
        <v>1806</v>
      </c>
      <c r="H440" s="705" t="s">
        <v>1801</v>
      </c>
      <c r="I440" s="704" t="s">
        <v>666</v>
      </c>
      <c r="J440" s="538">
        <v>4</v>
      </c>
      <c r="K440" s="667" t="s">
        <v>633</v>
      </c>
      <c r="L440" s="667" t="s">
        <v>2007</v>
      </c>
      <c r="M440">
        <v>19</v>
      </c>
    </row>
    <row r="441" spans="1:13" ht="13.5" customHeight="1" x14ac:dyDescent="0.3">
      <c r="A441" s="548"/>
      <c r="B441" s="272" t="s">
        <v>1804</v>
      </c>
      <c r="C441" s="704"/>
      <c r="D441" s="704"/>
      <c r="E441" s="704"/>
      <c r="F441" s="705"/>
      <c r="G441" s="704"/>
      <c r="H441" s="705"/>
      <c r="I441" s="704"/>
      <c r="J441" s="539"/>
      <c r="K441" s="668"/>
      <c r="L441" s="668"/>
    </row>
    <row r="442" spans="1:13" ht="20.100000000000001" customHeight="1" x14ac:dyDescent="0.3">
      <c r="A442" s="548"/>
      <c r="B442" s="273" t="s">
        <v>2039</v>
      </c>
      <c r="C442" s="133" t="s">
        <v>307</v>
      </c>
      <c r="D442" s="133" t="s">
        <v>323</v>
      </c>
      <c r="E442" s="133" t="s">
        <v>308</v>
      </c>
      <c r="F442" s="207" t="s">
        <v>2040</v>
      </c>
      <c r="G442" s="133" t="s">
        <v>363</v>
      </c>
      <c r="H442" s="207" t="s">
        <v>2041</v>
      </c>
      <c r="I442" s="133" t="s">
        <v>666</v>
      </c>
      <c r="J442" s="4">
        <v>1</v>
      </c>
      <c r="K442" s="26" t="s">
        <v>2006</v>
      </c>
      <c r="L442" s="26" t="s">
        <v>2007</v>
      </c>
      <c r="M442">
        <v>20</v>
      </c>
    </row>
    <row r="443" spans="1:13" ht="20.100000000000001" customHeight="1" x14ac:dyDescent="0.3">
      <c r="A443" s="548"/>
      <c r="B443" s="273" t="s">
        <v>2042</v>
      </c>
      <c r="C443" s="133" t="s">
        <v>307</v>
      </c>
      <c r="D443" s="133" t="s">
        <v>323</v>
      </c>
      <c r="E443" s="133" t="s">
        <v>308</v>
      </c>
      <c r="F443" s="207">
        <v>3306</v>
      </c>
      <c r="G443" s="133" t="s">
        <v>2043</v>
      </c>
      <c r="H443" s="207" t="s">
        <v>2044</v>
      </c>
      <c r="I443" s="133" t="s">
        <v>666</v>
      </c>
      <c r="J443" s="4">
        <v>1</v>
      </c>
      <c r="K443" s="26" t="s">
        <v>633</v>
      </c>
      <c r="L443" s="26" t="s">
        <v>2007</v>
      </c>
    </row>
    <row r="444" spans="1:13" ht="20.100000000000001" customHeight="1" x14ac:dyDescent="0.3">
      <c r="A444" s="548"/>
      <c r="B444" s="273" t="s">
        <v>2045</v>
      </c>
      <c r="C444" s="4" t="s">
        <v>2046</v>
      </c>
      <c r="D444" s="4" t="s">
        <v>2029</v>
      </c>
      <c r="E444" s="4" t="s">
        <v>20</v>
      </c>
      <c r="F444" s="207" t="s">
        <v>2040</v>
      </c>
      <c r="G444" s="133" t="s">
        <v>265</v>
      </c>
      <c r="H444" s="207" t="s">
        <v>1251</v>
      </c>
      <c r="I444" s="133" t="s">
        <v>666</v>
      </c>
      <c r="J444" s="4">
        <v>2</v>
      </c>
      <c r="K444" s="26" t="s">
        <v>2006</v>
      </c>
      <c r="L444" s="26" t="s">
        <v>2007</v>
      </c>
    </row>
    <row r="445" spans="1:13" ht="20.100000000000001" customHeight="1" x14ac:dyDescent="0.3">
      <c r="A445" s="548"/>
      <c r="B445" s="269" t="s">
        <v>2047</v>
      </c>
      <c r="C445" s="216" t="s">
        <v>307</v>
      </c>
      <c r="D445" s="216" t="s">
        <v>323</v>
      </c>
      <c r="E445" s="216" t="s">
        <v>308</v>
      </c>
      <c r="F445" s="217" t="s">
        <v>1509</v>
      </c>
      <c r="G445" s="216" t="s">
        <v>265</v>
      </c>
      <c r="H445" s="217" t="s">
        <v>2048</v>
      </c>
      <c r="I445" s="216" t="s">
        <v>2027</v>
      </c>
      <c r="J445" s="4">
        <v>2</v>
      </c>
      <c r="K445" s="26" t="s">
        <v>633</v>
      </c>
      <c r="L445" s="26" t="s">
        <v>2007</v>
      </c>
      <c r="M445">
        <v>21</v>
      </c>
    </row>
    <row r="446" spans="1:13" ht="20.100000000000001" customHeight="1" x14ac:dyDescent="0.3">
      <c r="A446" s="548"/>
      <c r="B446" s="269">
        <v>45434</v>
      </c>
      <c r="C446" s="216" t="s">
        <v>307</v>
      </c>
      <c r="D446" s="216" t="s">
        <v>323</v>
      </c>
      <c r="E446" s="216" t="s">
        <v>308</v>
      </c>
      <c r="F446" s="217" t="s">
        <v>2040</v>
      </c>
      <c r="G446" s="216" t="s">
        <v>363</v>
      </c>
      <c r="H446" s="217" t="s">
        <v>2049</v>
      </c>
      <c r="I446" s="216" t="s">
        <v>2027</v>
      </c>
      <c r="J446" s="4">
        <v>1</v>
      </c>
      <c r="K446" s="26" t="s">
        <v>2006</v>
      </c>
      <c r="L446" s="26" t="s">
        <v>2007</v>
      </c>
    </row>
    <row r="447" spans="1:13" ht="20.100000000000001" customHeight="1" x14ac:dyDescent="0.3">
      <c r="A447" s="548"/>
      <c r="B447" s="269" t="s">
        <v>2050</v>
      </c>
      <c r="C447" s="216" t="s">
        <v>307</v>
      </c>
      <c r="D447" s="216" t="s">
        <v>323</v>
      </c>
      <c r="E447" s="216" t="s">
        <v>308</v>
      </c>
      <c r="F447" s="217">
        <v>3306</v>
      </c>
      <c r="G447" s="216" t="s">
        <v>1021</v>
      </c>
      <c r="H447" s="217" t="s">
        <v>2051</v>
      </c>
      <c r="I447" s="216" t="s">
        <v>2027</v>
      </c>
      <c r="J447" s="4">
        <v>2</v>
      </c>
      <c r="K447" s="26" t="s">
        <v>2006</v>
      </c>
      <c r="L447" s="26" t="s">
        <v>51</v>
      </c>
      <c r="M447">
        <v>22</v>
      </c>
    </row>
    <row r="448" spans="1:13" ht="20.100000000000001" customHeight="1" x14ac:dyDescent="0.3">
      <c r="A448" s="548"/>
      <c r="B448" s="274" t="s">
        <v>2052</v>
      </c>
      <c r="C448" s="133" t="s">
        <v>307</v>
      </c>
      <c r="D448" s="133" t="s">
        <v>323</v>
      </c>
      <c r="E448" s="133" t="s">
        <v>308</v>
      </c>
      <c r="F448" s="207" t="s">
        <v>1509</v>
      </c>
      <c r="G448" s="133" t="s">
        <v>265</v>
      </c>
      <c r="H448" s="207" t="s">
        <v>2041</v>
      </c>
      <c r="I448" s="133" t="s">
        <v>169</v>
      </c>
      <c r="J448" s="4">
        <v>2</v>
      </c>
      <c r="K448" s="26" t="s">
        <v>633</v>
      </c>
      <c r="L448" s="26" t="s">
        <v>2007</v>
      </c>
    </row>
    <row r="449" spans="1:13" ht="20.100000000000001" customHeight="1" x14ac:dyDescent="0.3">
      <c r="A449" s="549"/>
      <c r="B449" s="273" t="s">
        <v>2053</v>
      </c>
      <c r="C449" s="133" t="s">
        <v>307</v>
      </c>
      <c r="D449" s="133" t="s">
        <v>323</v>
      </c>
      <c r="E449" s="133" t="s">
        <v>308</v>
      </c>
      <c r="F449" s="207">
        <v>3306</v>
      </c>
      <c r="G449" s="133" t="s">
        <v>1021</v>
      </c>
      <c r="H449" s="207" t="s">
        <v>2054</v>
      </c>
      <c r="I449" s="133" t="s">
        <v>169</v>
      </c>
      <c r="J449" s="4">
        <v>3</v>
      </c>
      <c r="K449" s="26" t="s">
        <v>633</v>
      </c>
      <c r="L449" s="26" t="s">
        <v>51</v>
      </c>
    </row>
    <row r="450" spans="1:13" ht="20.100000000000001" customHeight="1" x14ac:dyDescent="0.3">
      <c r="A450" s="662" t="s">
        <v>1655</v>
      </c>
      <c r="B450" s="663"/>
      <c r="C450" s="663"/>
      <c r="D450" s="663"/>
      <c r="E450" s="663"/>
      <c r="F450" s="663"/>
      <c r="G450" s="663"/>
      <c r="H450" s="663"/>
      <c r="I450" s="663"/>
      <c r="J450" s="59">
        <v>20</v>
      </c>
      <c r="K450" s="61"/>
      <c r="L450" s="400"/>
    </row>
    <row r="451" spans="1:13" ht="20.100000000000001" customHeight="1" x14ac:dyDescent="0.3"/>
    <row r="452" spans="1:13" ht="20.100000000000001" customHeight="1" x14ac:dyDescent="0.3"/>
    <row r="453" spans="1:13" ht="20.100000000000001" customHeight="1" x14ac:dyDescent="0.3"/>
    <row r="454" spans="1:13" ht="20.100000000000001" customHeight="1" x14ac:dyDescent="0.3"/>
    <row r="455" spans="1:13" ht="27" customHeight="1" x14ac:dyDescent="0.3">
      <c r="A455" s="20" t="s">
        <v>1994</v>
      </c>
      <c r="B455" s="20" t="s">
        <v>2009</v>
      </c>
      <c r="C455" s="21" t="s">
        <v>2</v>
      </c>
      <c r="D455" s="21" t="s">
        <v>3</v>
      </c>
      <c r="E455" s="21" t="s">
        <v>1733</v>
      </c>
      <c r="F455" s="21" t="s">
        <v>5</v>
      </c>
      <c r="G455" s="21" t="s">
        <v>6</v>
      </c>
      <c r="H455" s="22" t="s">
        <v>2010</v>
      </c>
      <c r="I455" s="21" t="s">
        <v>2016</v>
      </c>
      <c r="J455" s="23" t="s">
        <v>46</v>
      </c>
      <c r="K455" s="24" t="s">
        <v>1997</v>
      </c>
      <c r="L455" s="24" t="s">
        <v>1998</v>
      </c>
    </row>
    <row r="456" spans="1:13" ht="27" customHeight="1" x14ac:dyDescent="0.3">
      <c r="A456" s="522" t="s">
        <v>2055</v>
      </c>
      <c r="B456" s="38">
        <v>45420</v>
      </c>
      <c r="C456" s="3" t="s">
        <v>2056</v>
      </c>
      <c r="D456" s="4" t="s">
        <v>2029</v>
      </c>
      <c r="E456" s="3" t="s">
        <v>2057</v>
      </c>
      <c r="F456" s="3" t="s">
        <v>2058</v>
      </c>
      <c r="G456" s="3" t="s">
        <v>2059</v>
      </c>
      <c r="H456" s="9" t="s">
        <v>2060</v>
      </c>
      <c r="I456" s="14" t="s">
        <v>2061</v>
      </c>
      <c r="J456" s="4">
        <v>1</v>
      </c>
      <c r="K456" s="26" t="s">
        <v>2062</v>
      </c>
      <c r="L456" s="34" t="s">
        <v>2007</v>
      </c>
    </row>
    <row r="457" spans="1:13" ht="27" customHeight="1" x14ac:dyDescent="0.3">
      <c r="A457" s="523"/>
      <c r="B457" s="38">
        <v>45431</v>
      </c>
      <c r="C457" s="3" t="s">
        <v>2056</v>
      </c>
      <c r="D457" s="4" t="s">
        <v>2029</v>
      </c>
      <c r="E457" s="3" t="s">
        <v>2063</v>
      </c>
      <c r="F457" s="3">
        <v>3306</v>
      </c>
      <c r="G457" s="3" t="s">
        <v>2043</v>
      </c>
      <c r="H457" s="9" t="s">
        <v>2064</v>
      </c>
      <c r="I457" s="14" t="s">
        <v>2065</v>
      </c>
      <c r="J457" s="4">
        <v>3</v>
      </c>
      <c r="K457" s="26" t="s">
        <v>2066</v>
      </c>
      <c r="L457" s="34" t="s">
        <v>2007</v>
      </c>
    </row>
    <row r="458" spans="1:13" ht="27" customHeight="1" x14ac:dyDescent="0.3">
      <c r="A458" s="523"/>
      <c r="B458" s="38">
        <v>45432</v>
      </c>
      <c r="C458" s="3" t="s">
        <v>2056</v>
      </c>
      <c r="D458" s="4" t="s">
        <v>25</v>
      </c>
      <c r="E458" s="3" t="s">
        <v>2067</v>
      </c>
      <c r="F458" s="3">
        <v>3306</v>
      </c>
      <c r="G458" s="3" t="s">
        <v>2043</v>
      </c>
      <c r="H458" s="9" t="s">
        <v>2068</v>
      </c>
      <c r="I458" s="14" t="s">
        <v>1322</v>
      </c>
      <c r="J458" s="4">
        <v>1</v>
      </c>
      <c r="K458" s="26" t="s">
        <v>2066</v>
      </c>
      <c r="L458" s="34" t="s">
        <v>51</v>
      </c>
    </row>
    <row r="459" spans="1:13" ht="27" customHeight="1" x14ac:dyDescent="0.3">
      <c r="A459" s="661" t="s">
        <v>2069</v>
      </c>
      <c r="B459" s="661"/>
      <c r="C459" s="661"/>
      <c r="D459" s="661"/>
      <c r="E459" s="661"/>
      <c r="F459" s="661"/>
      <c r="G459" s="661"/>
      <c r="H459" s="661"/>
      <c r="I459" s="661"/>
      <c r="J459" s="26">
        <f>SUM(J456:J458)</f>
        <v>5</v>
      </c>
      <c r="K459" s="26"/>
      <c r="L459" s="26"/>
    </row>
    <row r="460" spans="1:13" ht="20.100000000000001" customHeight="1" x14ac:dyDescent="0.3"/>
    <row r="461" spans="1:13" ht="27" customHeight="1" x14ac:dyDescent="0.3">
      <c r="A461" s="20" t="s">
        <v>2008</v>
      </c>
      <c r="B461" s="20" t="s">
        <v>2009</v>
      </c>
      <c r="C461" s="21" t="s">
        <v>2</v>
      </c>
      <c r="D461" s="21" t="s">
        <v>3</v>
      </c>
      <c r="E461" s="21" t="s">
        <v>4</v>
      </c>
      <c r="F461" s="21" t="s">
        <v>5</v>
      </c>
      <c r="G461" s="21" t="s">
        <v>6</v>
      </c>
      <c r="H461" s="22" t="s">
        <v>45</v>
      </c>
      <c r="I461" s="21" t="s">
        <v>8</v>
      </c>
      <c r="J461" s="23" t="s">
        <v>46</v>
      </c>
      <c r="K461" s="24" t="s">
        <v>47</v>
      </c>
      <c r="L461" s="24" t="s">
        <v>48</v>
      </c>
    </row>
    <row r="462" spans="1:13" ht="27" customHeight="1" x14ac:dyDescent="0.3">
      <c r="A462" s="697" t="s">
        <v>1009</v>
      </c>
      <c r="B462" s="58" t="s">
        <v>2070</v>
      </c>
      <c r="C462" s="48" t="s">
        <v>139</v>
      </c>
      <c r="D462" s="49" t="s">
        <v>14</v>
      </c>
      <c r="E462" s="49" t="s">
        <v>108</v>
      </c>
      <c r="F462" s="48" t="s">
        <v>271</v>
      </c>
      <c r="G462" s="48" t="s">
        <v>2071</v>
      </c>
      <c r="H462" s="42" t="s">
        <v>2072</v>
      </c>
      <c r="I462" s="51" t="s">
        <v>90</v>
      </c>
      <c r="J462" s="42">
        <v>1</v>
      </c>
      <c r="K462" s="26" t="s">
        <v>633</v>
      </c>
      <c r="L462" s="26" t="s">
        <v>51</v>
      </c>
      <c r="M462">
        <v>17</v>
      </c>
    </row>
    <row r="463" spans="1:13" ht="13.5" customHeight="1" x14ac:dyDescent="0.3">
      <c r="A463" s="698"/>
      <c r="B463" s="706" t="s">
        <v>1776</v>
      </c>
      <c r="C463" s="707" t="s">
        <v>312</v>
      </c>
      <c r="D463" s="707" t="s">
        <v>321</v>
      </c>
      <c r="E463" s="707" t="s">
        <v>711</v>
      </c>
      <c r="F463" s="707" t="s">
        <v>1777</v>
      </c>
      <c r="G463" s="706" t="s">
        <v>1778</v>
      </c>
      <c r="H463" s="275" t="s">
        <v>1779</v>
      </c>
      <c r="I463" s="707"/>
      <c r="J463" s="707">
        <v>1</v>
      </c>
      <c r="K463" s="552" t="s">
        <v>633</v>
      </c>
      <c r="L463" s="581" t="s">
        <v>51</v>
      </c>
      <c r="M463">
        <v>18</v>
      </c>
    </row>
    <row r="464" spans="1:13" ht="13.5" customHeight="1" x14ac:dyDescent="0.3">
      <c r="A464" s="698"/>
      <c r="B464" s="706"/>
      <c r="C464" s="707"/>
      <c r="D464" s="707"/>
      <c r="E464" s="707"/>
      <c r="F464" s="707"/>
      <c r="G464" s="706"/>
      <c r="H464" s="276" t="s">
        <v>1782</v>
      </c>
      <c r="I464" s="707"/>
      <c r="J464" s="707"/>
      <c r="K464" s="553"/>
      <c r="L464" s="582"/>
    </row>
    <row r="465" spans="1:13" ht="13.5" customHeight="1" x14ac:dyDescent="0.3">
      <c r="A465" s="698"/>
      <c r="B465" s="708" t="s">
        <v>1822</v>
      </c>
      <c r="C465" s="665" t="s">
        <v>702</v>
      </c>
      <c r="D465" s="694" t="s">
        <v>321</v>
      </c>
      <c r="E465" s="694" t="s">
        <v>338</v>
      </c>
      <c r="F465" s="665" t="s">
        <v>355</v>
      </c>
      <c r="G465" s="665" t="s">
        <v>1823</v>
      </c>
      <c r="H465" s="695" t="s">
        <v>1824</v>
      </c>
      <c r="I465" s="694" t="s">
        <v>640</v>
      </c>
      <c r="J465" s="695">
        <v>2</v>
      </c>
      <c r="K465" s="667" t="s">
        <v>633</v>
      </c>
      <c r="L465" s="667" t="s">
        <v>51</v>
      </c>
      <c r="M465">
        <v>19</v>
      </c>
    </row>
    <row r="466" spans="1:13" ht="13.5" customHeight="1" x14ac:dyDescent="0.3">
      <c r="A466" s="698"/>
      <c r="B466" s="708"/>
      <c r="C466" s="665"/>
      <c r="D466" s="694"/>
      <c r="E466" s="694"/>
      <c r="F466" s="665"/>
      <c r="G466" s="665"/>
      <c r="H466" s="695"/>
      <c r="I466" s="694"/>
      <c r="J466" s="695"/>
      <c r="K466" s="668"/>
      <c r="L466" s="668"/>
    </row>
    <row r="467" spans="1:13" ht="27" customHeight="1" x14ac:dyDescent="0.3">
      <c r="A467" s="698"/>
      <c r="B467" s="26" t="s">
        <v>1828</v>
      </c>
      <c r="C467" s="26" t="s">
        <v>702</v>
      </c>
      <c r="D467" s="49" t="s">
        <v>321</v>
      </c>
      <c r="E467" s="49" t="s">
        <v>338</v>
      </c>
      <c r="F467" s="26" t="s">
        <v>355</v>
      </c>
      <c r="G467" s="26" t="s">
        <v>1823</v>
      </c>
      <c r="H467" s="277" t="s">
        <v>1824</v>
      </c>
      <c r="I467" s="49" t="s">
        <v>640</v>
      </c>
      <c r="J467" s="277">
        <v>1</v>
      </c>
      <c r="K467" s="26" t="s">
        <v>633</v>
      </c>
      <c r="L467" s="26" t="s">
        <v>51</v>
      </c>
      <c r="M467">
        <v>19</v>
      </c>
    </row>
    <row r="468" spans="1:13" ht="13.5" customHeight="1" x14ac:dyDescent="0.3">
      <c r="A468" s="698"/>
      <c r="B468" s="665" t="s">
        <v>1829</v>
      </c>
      <c r="C468" s="665" t="s">
        <v>702</v>
      </c>
      <c r="D468" s="694" t="s">
        <v>321</v>
      </c>
      <c r="E468" s="694" t="s">
        <v>711</v>
      </c>
      <c r="F468" s="694" t="s">
        <v>1777</v>
      </c>
      <c r="G468" s="665" t="s">
        <v>1830</v>
      </c>
      <c r="H468" s="278" t="s">
        <v>1831</v>
      </c>
      <c r="I468" s="694" t="s">
        <v>640</v>
      </c>
      <c r="J468" s="694">
        <v>2</v>
      </c>
      <c r="K468" s="667" t="s">
        <v>633</v>
      </c>
      <c r="L468" s="667" t="s">
        <v>51</v>
      </c>
      <c r="M468">
        <v>19</v>
      </c>
    </row>
    <row r="469" spans="1:13" ht="13.5" customHeight="1" x14ac:dyDescent="0.3">
      <c r="A469" s="698"/>
      <c r="B469" s="665"/>
      <c r="C469" s="665"/>
      <c r="D469" s="694"/>
      <c r="E469" s="694"/>
      <c r="F469" s="694"/>
      <c r="G469" s="665"/>
      <c r="H469" s="279" t="s">
        <v>1832</v>
      </c>
      <c r="I469" s="694"/>
      <c r="J469" s="694"/>
      <c r="K469" s="668"/>
      <c r="L469" s="668"/>
    </row>
    <row r="470" spans="1:13" ht="27" customHeight="1" x14ac:dyDescent="0.3">
      <c r="A470" s="698"/>
      <c r="B470" s="99" t="s">
        <v>2073</v>
      </c>
      <c r="C470" s="3" t="s">
        <v>2074</v>
      </c>
      <c r="D470" s="4" t="s">
        <v>17</v>
      </c>
      <c r="E470" s="4" t="s">
        <v>2075</v>
      </c>
      <c r="F470" s="17" t="s">
        <v>2076</v>
      </c>
      <c r="G470" s="3" t="s">
        <v>28</v>
      </c>
      <c r="H470" s="9" t="s">
        <v>2077</v>
      </c>
      <c r="I470" s="49" t="s">
        <v>640</v>
      </c>
      <c r="J470" s="277">
        <v>2</v>
      </c>
      <c r="K470" s="26" t="s">
        <v>633</v>
      </c>
      <c r="L470" s="26" t="s">
        <v>51</v>
      </c>
      <c r="M470">
        <v>20</v>
      </c>
    </row>
    <row r="471" spans="1:13" ht="27" customHeight="1" x14ac:dyDescent="0.3">
      <c r="A471" s="699"/>
      <c r="B471" s="268">
        <v>45437</v>
      </c>
      <c r="C471" s="69" t="s">
        <v>139</v>
      </c>
      <c r="D471" s="84" t="s">
        <v>14</v>
      </c>
      <c r="E471" s="84" t="s">
        <v>108</v>
      </c>
      <c r="F471" s="69" t="s">
        <v>271</v>
      </c>
      <c r="G471" s="69" t="s">
        <v>1396</v>
      </c>
      <c r="H471" s="50" t="s">
        <v>2072</v>
      </c>
      <c r="I471" s="54" t="s">
        <v>2078</v>
      </c>
      <c r="J471" s="50">
        <v>2</v>
      </c>
      <c r="K471" s="26" t="s">
        <v>633</v>
      </c>
      <c r="L471" s="26" t="s">
        <v>51</v>
      </c>
      <c r="M471">
        <v>21</v>
      </c>
    </row>
    <row r="472" spans="1:13" ht="27" customHeight="1" x14ac:dyDescent="0.3">
      <c r="A472" s="659" t="s">
        <v>53</v>
      </c>
      <c r="B472" s="659"/>
      <c r="C472" s="659"/>
      <c r="D472" s="659"/>
      <c r="E472" s="659"/>
      <c r="F472" s="659"/>
      <c r="G472" s="659"/>
      <c r="H472" s="659"/>
      <c r="I472" s="659"/>
      <c r="J472" s="26">
        <v>11</v>
      </c>
      <c r="K472" s="26"/>
      <c r="L472" s="26"/>
    </row>
    <row r="473" spans="1:13" ht="20.100000000000001" customHeight="1" x14ac:dyDescent="0.3"/>
    <row r="474" spans="1:13" ht="20.100000000000001" customHeight="1" x14ac:dyDescent="0.3"/>
    <row r="475" spans="1:13" ht="27" customHeight="1" x14ac:dyDescent="0.3">
      <c r="A475" s="20" t="s">
        <v>2008</v>
      </c>
      <c r="B475" s="20" t="s">
        <v>2009</v>
      </c>
      <c r="C475" s="21" t="s">
        <v>2</v>
      </c>
      <c r="D475" s="21" t="s">
        <v>3</v>
      </c>
      <c r="E475" s="21" t="s">
        <v>4</v>
      </c>
      <c r="F475" s="21" t="s">
        <v>5</v>
      </c>
      <c r="G475" s="21" t="s">
        <v>6</v>
      </c>
      <c r="H475" s="22" t="s">
        <v>45</v>
      </c>
      <c r="I475" s="21" t="s">
        <v>8</v>
      </c>
      <c r="J475" s="23" t="s">
        <v>46</v>
      </c>
      <c r="K475" s="24" t="s">
        <v>47</v>
      </c>
      <c r="L475" s="24" t="s">
        <v>48</v>
      </c>
    </row>
    <row r="476" spans="1:13" ht="13.5" customHeight="1" x14ac:dyDescent="0.3">
      <c r="A476" s="659" t="s">
        <v>229</v>
      </c>
      <c r="B476" s="706" t="s">
        <v>1776</v>
      </c>
      <c r="C476" s="707" t="s">
        <v>312</v>
      </c>
      <c r="D476" s="707" t="s">
        <v>321</v>
      </c>
      <c r="E476" s="707" t="s">
        <v>711</v>
      </c>
      <c r="F476" s="707" t="s">
        <v>1777</v>
      </c>
      <c r="G476" s="706" t="s">
        <v>1778</v>
      </c>
      <c r="H476" s="275" t="s">
        <v>1779</v>
      </c>
      <c r="I476" s="707"/>
      <c r="J476" s="707">
        <v>1</v>
      </c>
      <c r="K476" s="552" t="s">
        <v>633</v>
      </c>
      <c r="L476" s="581" t="s">
        <v>51</v>
      </c>
      <c r="M476">
        <v>18</v>
      </c>
    </row>
    <row r="477" spans="1:13" ht="13.5" customHeight="1" x14ac:dyDescent="0.3">
      <c r="A477" s="659"/>
      <c r="B477" s="706"/>
      <c r="C477" s="707"/>
      <c r="D477" s="707"/>
      <c r="E477" s="707"/>
      <c r="F477" s="707"/>
      <c r="G477" s="706"/>
      <c r="H477" s="276" t="s">
        <v>1782</v>
      </c>
      <c r="I477" s="707"/>
      <c r="J477" s="707"/>
      <c r="K477" s="553"/>
      <c r="L477" s="582"/>
    </row>
    <row r="478" spans="1:13" ht="27" customHeight="1" x14ac:dyDescent="0.3">
      <c r="A478" s="659"/>
      <c r="B478" s="99">
        <v>45437</v>
      </c>
      <c r="C478" s="3" t="s">
        <v>21</v>
      </c>
      <c r="D478" s="4" t="s">
        <v>14</v>
      </c>
      <c r="E478" s="4" t="s">
        <v>108</v>
      </c>
      <c r="F478" s="3" t="s">
        <v>109</v>
      </c>
      <c r="G478" s="3" t="s">
        <v>378</v>
      </c>
      <c r="H478" s="9" t="s">
        <v>2079</v>
      </c>
      <c r="I478" s="14"/>
      <c r="J478" s="9">
        <v>2</v>
      </c>
      <c r="K478" s="26" t="s">
        <v>633</v>
      </c>
      <c r="L478" s="26" t="s">
        <v>51</v>
      </c>
      <c r="M478">
        <v>21</v>
      </c>
    </row>
    <row r="479" spans="1:13" ht="27" customHeight="1" x14ac:dyDescent="0.3">
      <c r="A479" s="659" t="s">
        <v>1655</v>
      </c>
      <c r="B479" s="659"/>
      <c r="C479" s="659"/>
      <c r="D479" s="659"/>
      <c r="E479" s="659"/>
      <c r="F479" s="659"/>
      <c r="G479" s="659"/>
      <c r="H479" s="659"/>
      <c r="I479" s="659"/>
      <c r="J479" s="26">
        <f>SUM(J476:J478)</f>
        <v>3</v>
      </c>
      <c r="K479" s="26"/>
      <c r="L479" s="26"/>
    </row>
    <row r="480" spans="1:13" ht="20.100000000000001" customHeight="1" x14ac:dyDescent="0.3"/>
    <row r="481" spans="1:13" ht="20.100000000000001" customHeight="1" x14ac:dyDescent="0.3">
      <c r="A481" s="20" t="s">
        <v>2008</v>
      </c>
      <c r="B481" s="20" t="s">
        <v>2009</v>
      </c>
      <c r="C481" s="21" t="s">
        <v>2</v>
      </c>
      <c r="D481" s="21" t="s">
        <v>3</v>
      </c>
      <c r="E481" s="21" t="s">
        <v>4</v>
      </c>
      <c r="F481" s="21" t="s">
        <v>5</v>
      </c>
      <c r="G481" s="21" t="s">
        <v>6</v>
      </c>
      <c r="H481" s="22" t="s">
        <v>45</v>
      </c>
      <c r="I481" s="21" t="s">
        <v>8</v>
      </c>
      <c r="J481" s="23" t="s">
        <v>46</v>
      </c>
      <c r="K481" s="24" t="s">
        <v>47</v>
      </c>
      <c r="L481" s="24" t="s">
        <v>48</v>
      </c>
    </row>
    <row r="482" spans="1:13" ht="20.100000000000001" customHeight="1" x14ac:dyDescent="0.3">
      <c r="A482" s="667" t="s">
        <v>229</v>
      </c>
      <c r="B482" s="99" t="s">
        <v>2080</v>
      </c>
      <c r="C482" s="3" t="s">
        <v>307</v>
      </c>
      <c r="D482" s="4" t="s">
        <v>323</v>
      </c>
      <c r="E482" s="4" t="s">
        <v>308</v>
      </c>
      <c r="F482" s="4">
        <v>3306</v>
      </c>
      <c r="G482" s="4" t="s">
        <v>1156</v>
      </c>
      <c r="H482" s="9" t="s">
        <v>2081</v>
      </c>
      <c r="I482" s="14" t="s">
        <v>666</v>
      </c>
      <c r="J482" s="4">
        <v>1</v>
      </c>
      <c r="K482" s="26" t="s">
        <v>633</v>
      </c>
      <c r="L482" s="26" t="s">
        <v>51</v>
      </c>
      <c r="M482" s="127">
        <v>18</v>
      </c>
    </row>
    <row r="483" spans="1:13" ht="20.100000000000001" customHeight="1" x14ac:dyDescent="0.3">
      <c r="A483" s="677"/>
      <c r="B483" s="99">
        <v>45413</v>
      </c>
      <c r="C483" s="3" t="s">
        <v>19</v>
      </c>
      <c r="D483" s="4" t="s">
        <v>25</v>
      </c>
      <c r="E483" s="4" t="s">
        <v>20</v>
      </c>
      <c r="F483" s="4" t="s">
        <v>1654</v>
      </c>
      <c r="G483" s="4" t="s">
        <v>40</v>
      </c>
      <c r="H483" s="9" t="s">
        <v>1972</v>
      </c>
      <c r="I483" s="14" t="s">
        <v>169</v>
      </c>
      <c r="J483" s="4">
        <v>1</v>
      </c>
      <c r="K483" s="26" t="s">
        <v>2082</v>
      </c>
      <c r="L483" s="26" t="s">
        <v>51</v>
      </c>
      <c r="M483" s="127"/>
    </row>
    <row r="484" spans="1:13" ht="20.100000000000001" customHeight="1" x14ac:dyDescent="0.3">
      <c r="A484" s="677"/>
      <c r="B484" s="16">
        <v>45414</v>
      </c>
      <c r="C484" s="3" t="s">
        <v>19</v>
      </c>
      <c r="D484" s="4" t="s">
        <v>25</v>
      </c>
      <c r="E484" s="4" t="s">
        <v>20</v>
      </c>
      <c r="F484" s="4" t="s">
        <v>1534</v>
      </c>
      <c r="G484" s="3" t="s">
        <v>40</v>
      </c>
      <c r="H484" s="9" t="s">
        <v>2083</v>
      </c>
      <c r="I484" s="14" t="s">
        <v>169</v>
      </c>
      <c r="J484" s="4">
        <v>1</v>
      </c>
      <c r="K484" s="26" t="s">
        <v>2084</v>
      </c>
      <c r="L484" s="26" t="s">
        <v>51</v>
      </c>
      <c r="M484" s="127"/>
    </row>
    <row r="485" spans="1:13" ht="20.100000000000001" customHeight="1" x14ac:dyDescent="0.3">
      <c r="A485" s="677"/>
      <c r="B485" s="16">
        <v>45416</v>
      </c>
      <c r="C485" s="3" t="s">
        <v>19</v>
      </c>
      <c r="D485" s="4" t="s">
        <v>25</v>
      </c>
      <c r="E485" s="4" t="s">
        <v>20</v>
      </c>
      <c r="F485" s="4" t="s">
        <v>1654</v>
      </c>
      <c r="G485" s="4" t="s">
        <v>40</v>
      </c>
      <c r="H485" s="9" t="s">
        <v>2085</v>
      </c>
      <c r="I485" s="14" t="s">
        <v>169</v>
      </c>
      <c r="J485" s="4">
        <v>1</v>
      </c>
      <c r="K485" s="26" t="s">
        <v>2086</v>
      </c>
      <c r="L485" s="26" t="s">
        <v>51</v>
      </c>
      <c r="M485" s="127"/>
    </row>
    <row r="486" spans="1:13" ht="20.100000000000001" customHeight="1" x14ac:dyDescent="0.3">
      <c r="A486" s="668"/>
      <c r="B486" s="16">
        <v>45441</v>
      </c>
      <c r="C486" s="118" t="s">
        <v>307</v>
      </c>
      <c r="D486" s="118" t="s">
        <v>323</v>
      </c>
      <c r="E486" s="4" t="s">
        <v>308</v>
      </c>
      <c r="F486" s="4" t="s">
        <v>2005</v>
      </c>
      <c r="G486" s="4" t="s">
        <v>1049</v>
      </c>
      <c r="H486" s="9" t="s">
        <v>1771</v>
      </c>
      <c r="I486" s="14" t="s">
        <v>666</v>
      </c>
      <c r="J486" s="4">
        <v>1</v>
      </c>
      <c r="K486" s="26" t="s">
        <v>633</v>
      </c>
      <c r="L486" s="26" t="s">
        <v>51</v>
      </c>
      <c r="M486" s="127">
        <v>22</v>
      </c>
    </row>
    <row r="487" spans="1:13" ht="20.100000000000001" customHeight="1" x14ac:dyDescent="0.3">
      <c r="A487" s="662" t="s">
        <v>53</v>
      </c>
      <c r="B487" s="663"/>
      <c r="C487" s="663"/>
      <c r="D487" s="663"/>
      <c r="E487" s="663"/>
      <c r="F487" s="663"/>
      <c r="G487" s="663"/>
      <c r="H487" s="663"/>
      <c r="I487" s="664"/>
      <c r="J487" s="26">
        <v>5</v>
      </c>
      <c r="K487" s="27"/>
      <c r="L487" s="59"/>
    </row>
    <row r="490" spans="1:13" x14ac:dyDescent="0.3">
      <c r="A490" t="s">
        <v>2103</v>
      </c>
    </row>
    <row r="492" spans="1:13" x14ac:dyDescent="0.3">
      <c r="A492" s="20" t="s">
        <v>2187</v>
      </c>
      <c r="B492" s="20" t="s">
        <v>2188</v>
      </c>
      <c r="C492" s="21" t="s">
        <v>2</v>
      </c>
      <c r="D492" s="21" t="s">
        <v>3</v>
      </c>
      <c r="E492" s="21" t="s">
        <v>2189</v>
      </c>
      <c r="F492" s="21" t="s">
        <v>5</v>
      </c>
      <c r="G492" s="21" t="s">
        <v>6</v>
      </c>
      <c r="H492" s="22" t="s">
        <v>2190</v>
      </c>
      <c r="I492" s="21" t="s">
        <v>8</v>
      </c>
      <c r="J492" s="23" t="s">
        <v>2191</v>
      </c>
      <c r="K492" s="24" t="s">
        <v>47</v>
      </c>
    </row>
    <row r="493" spans="1:13" ht="24.95" customHeight="1" x14ac:dyDescent="0.3">
      <c r="A493" s="710" t="s">
        <v>219</v>
      </c>
      <c r="B493" s="260" t="s">
        <v>1921</v>
      </c>
      <c r="C493" s="260" t="s">
        <v>307</v>
      </c>
      <c r="D493" s="260" t="s">
        <v>323</v>
      </c>
      <c r="E493" s="260" t="s">
        <v>308</v>
      </c>
      <c r="F493" s="294" t="s">
        <v>1922</v>
      </c>
      <c r="G493" s="260" t="s">
        <v>1923</v>
      </c>
      <c r="H493" s="294" t="s">
        <v>1924</v>
      </c>
      <c r="I493" s="260" t="s">
        <v>351</v>
      </c>
      <c r="J493" s="260">
        <v>2</v>
      </c>
      <c r="K493" s="26" t="s">
        <v>2192</v>
      </c>
      <c r="L493" s="238">
        <v>23</v>
      </c>
    </row>
    <row r="494" spans="1:13" ht="12.6" customHeight="1" x14ac:dyDescent="0.3">
      <c r="A494" s="711"/>
      <c r="B494" s="709" t="s">
        <v>2193</v>
      </c>
      <c r="C494" s="709" t="s">
        <v>307</v>
      </c>
      <c r="D494" s="709" t="s">
        <v>323</v>
      </c>
      <c r="E494" s="709" t="s">
        <v>308</v>
      </c>
      <c r="F494" s="712" t="s">
        <v>1928</v>
      </c>
      <c r="G494" s="709" t="s">
        <v>664</v>
      </c>
      <c r="H494" s="712" t="s">
        <v>1929</v>
      </c>
      <c r="I494" s="709" t="s">
        <v>351</v>
      </c>
      <c r="J494" s="709">
        <v>2</v>
      </c>
      <c r="K494" s="665" t="s">
        <v>50</v>
      </c>
      <c r="L494" s="238">
        <v>23</v>
      </c>
    </row>
    <row r="495" spans="1:13" ht="12.6" customHeight="1" x14ac:dyDescent="0.3">
      <c r="A495" s="711"/>
      <c r="B495" s="709"/>
      <c r="C495" s="709"/>
      <c r="D495" s="709"/>
      <c r="E495" s="709"/>
      <c r="F495" s="712"/>
      <c r="G495" s="709"/>
      <c r="H495" s="712"/>
      <c r="I495" s="709"/>
      <c r="J495" s="709"/>
      <c r="K495" s="665"/>
    </row>
    <row r="496" spans="1:13" ht="24.95" customHeight="1" x14ac:dyDescent="0.3">
      <c r="A496" s="711"/>
      <c r="B496" s="99" t="s">
        <v>2194</v>
      </c>
      <c r="C496" s="133" t="s">
        <v>307</v>
      </c>
      <c r="D496" s="133" t="s">
        <v>323</v>
      </c>
      <c r="E496" s="133" t="s">
        <v>308</v>
      </c>
      <c r="F496" s="207" t="s">
        <v>2195</v>
      </c>
      <c r="G496" s="133" t="s">
        <v>2196</v>
      </c>
      <c r="H496" s="207" t="s">
        <v>2197</v>
      </c>
      <c r="I496" s="133" t="s">
        <v>95</v>
      </c>
      <c r="J496" s="4">
        <v>6</v>
      </c>
      <c r="K496" s="26" t="s">
        <v>2198</v>
      </c>
      <c r="L496" s="238">
        <v>24</v>
      </c>
    </row>
    <row r="497" spans="1:12" ht="24.95" customHeight="1" x14ac:dyDescent="0.3">
      <c r="A497" s="711"/>
      <c r="B497" s="99" t="s">
        <v>2199</v>
      </c>
      <c r="C497" s="133" t="s">
        <v>307</v>
      </c>
      <c r="D497" s="133" t="s">
        <v>323</v>
      </c>
      <c r="E497" s="133" t="s">
        <v>308</v>
      </c>
      <c r="F497" s="207" t="s">
        <v>1692</v>
      </c>
      <c r="G497" s="133" t="s">
        <v>107</v>
      </c>
      <c r="H497" s="207" t="s">
        <v>2200</v>
      </c>
      <c r="I497" s="133" t="s">
        <v>2201</v>
      </c>
      <c r="J497" s="4">
        <v>4</v>
      </c>
      <c r="K497" s="26" t="s">
        <v>2192</v>
      </c>
      <c r="L497" s="238">
        <v>25</v>
      </c>
    </row>
    <row r="498" spans="1:12" ht="24.95" customHeight="1" x14ac:dyDescent="0.3">
      <c r="A498" s="711"/>
      <c r="B498" s="99" t="s">
        <v>2202</v>
      </c>
      <c r="C498" s="133" t="s">
        <v>307</v>
      </c>
      <c r="D498" s="133" t="s">
        <v>323</v>
      </c>
      <c r="E498" s="133" t="s">
        <v>308</v>
      </c>
      <c r="F498" s="207" t="s">
        <v>2203</v>
      </c>
      <c r="G498" s="133" t="s">
        <v>2204</v>
      </c>
      <c r="H498" s="207" t="s">
        <v>2205</v>
      </c>
      <c r="I498" s="133" t="s">
        <v>95</v>
      </c>
      <c r="J498" s="4">
        <v>2</v>
      </c>
      <c r="K498" s="26" t="s">
        <v>50</v>
      </c>
      <c r="L498" s="238">
        <v>26</v>
      </c>
    </row>
    <row r="499" spans="1:12" ht="24.95" customHeight="1" x14ac:dyDescent="0.3">
      <c r="A499" s="711"/>
      <c r="B499" s="99">
        <v>45472</v>
      </c>
      <c r="C499" s="133" t="s">
        <v>307</v>
      </c>
      <c r="D499" s="133" t="s">
        <v>323</v>
      </c>
      <c r="E499" s="133" t="s">
        <v>308</v>
      </c>
      <c r="F499" s="207">
        <v>3306</v>
      </c>
      <c r="G499" s="133" t="s">
        <v>2206</v>
      </c>
      <c r="H499" s="207" t="s">
        <v>2207</v>
      </c>
      <c r="I499" s="133" t="s">
        <v>95</v>
      </c>
      <c r="J499" s="4">
        <v>4</v>
      </c>
      <c r="K499" s="26" t="s">
        <v>50</v>
      </c>
      <c r="L499" s="238">
        <v>26</v>
      </c>
    </row>
    <row r="500" spans="1:12" x14ac:dyDescent="0.3">
      <c r="A500" s="659" t="s">
        <v>53</v>
      </c>
      <c r="B500" s="659"/>
      <c r="C500" s="659"/>
      <c r="D500" s="659"/>
      <c r="E500" s="659"/>
      <c r="F500" s="659"/>
      <c r="G500" s="659"/>
      <c r="H500" s="659"/>
      <c r="I500" s="659"/>
      <c r="J500" s="26">
        <v>20</v>
      </c>
      <c r="K500" s="27"/>
    </row>
    <row r="503" spans="1:12" x14ac:dyDescent="0.3">
      <c r="A503" t="s">
        <v>2208</v>
      </c>
    </row>
    <row r="505" spans="1:12" ht="27" x14ac:dyDescent="0.3">
      <c r="A505" s="20" t="s">
        <v>2187</v>
      </c>
      <c r="B505" s="20" t="s">
        <v>2209</v>
      </c>
      <c r="C505" s="21" t="s">
        <v>2</v>
      </c>
      <c r="D505" s="21" t="s">
        <v>3</v>
      </c>
      <c r="E505" s="21" t="s">
        <v>4</v>
      </c>
      <c r="F505" s="21" t="s">
        <v>5</v>
      </c>
      <c r="G505" s="21" t="s">
        <v>6</v>
      </c>
      <c r="H505" s="22" t="s">
        <v>2190</v>
      </c>
      <c r="I505" s="21" t="s">
        <v>8</v>
      </c>
      <c r="J505" s="23" t="s">
        <v>2210</v>
      </c>
      <c r="K505" s="24" t="s">
        <v>47</v>
      </c>
    </row>
    <row r="506" spans="1:12" x14ac:dyDescent="0.3">
      <c r="A506" s="661" t="s">
        <v>2211</v>
      </c>
      <c r="B506" s="99">
        <v>45439</v>
      </c>
      <c r="C506" s="3" t="s">
        <v>2212</v>
      </c>
      <c r="D506" s="4" t="s">
        <v>2213</v>
      </c>
      <c r="E506" s="4" t="s">
        <v>226</v>
      </c>
      <c r="F506" s="4" t="s">
        <v>2214</v>
      </c>
      <c r="G506" s="3" t="s">
        <v>265</v>
      </c>
      <c r="H506" s="9" t="s">
        <v>2215</v>
      </c>
      <c r="I506" s="14"/>
      <c r="J506" s="4">
        <v>2</v>
      </c>
      <c r="K506" s="26" t="s">
        <v>50</v>
      </c>
      <c r="L506" s="238">
        <v>22</v>
      </c>
    </row>
    <row r="507" spans="1:12" x14ac:dyDescent="0.3">
      <c r="A507" s="661"/>
      <c r="B507" s="16">
        <v>45442</v>
      </c>
      <c r="C507" s="3" t="s">
        <v>2216</v>
      </c>
      <c r="D507" s="4" t="s">
        <v>70</v>
      </c>
      <c r="E507" s="3" t="s">
        <v>2217</v>
      </c>
      <c r="F507" s="3" t="s">
        <v>2218</v>
      </c>
      <c r="G507" s="3" t="s">
        <v>2219</v>
      </c>
      <c r="H507" s="9" t="s">
        <v>2220</v>
      </c>
      <c r="I507" s="14" t="s">
        <v>90</v>
      </c>
      <c r="J507" s="4">
        <v>1</v>
      </c>
      <c r="K507" s="26" t="s">
        <v>50</v>
      </c>
      <c r="L507" s="238">
        <v>22</v>
      </c>
    </row>
    <row r="508" spans="1:12" ht="27" x14ac:dyDescent="0.3">
      <c r="A508" s="661"/>
      <c r="B508" s="16">
        <v>45458</v>
      </c>
      <c r="C508" s="3" t="s">
        <v>97</v>
      </c>
      <c r="D508" s="4" t="s">
        <v>70</v>
      </c>
      <c r="E508" s="3" t="s">
        <v>108</v>
      </c>
      <c r="F508" s="3" t="s">
        <v>109</v>
      </c>
      <c r="G508" s="3" t="s">
        <v>2221</v>
      </c>
      <c r="H508" s="9" t="s">
        <v>2222</v>
      </c>
      <c r="I508" s="14" t="s">
        <v>90</v>
      </c>
      <c r="J508" s="4">
        <v>1</v>
      </c>
      <c r="K508" s="26" t="s">
        <v>50</v>
      </c>
      <c r="L508" s="238">
        <v>24</v>
      </c>
    </row>
    <row r="509" spans="1:12" ht="27" x14ac:dyDescent="0.3">
      <c r="A509" s="661"/>
      <c r="B509" s="16">
        <v>45457</v>
      </c>
      <c r="C509" s="3" t="s">
        <v>97</v>
      </c>
      <c r="D509" s="4" t="s">
        <v>2223</v>
      </c>
      <c r="E509" s="3" t="s">
        <v>2217</v>
      </c>
      <c r="F509" s="3" t="s">
        <v>944</v>
      </c>
      <c r="G509" s="3" t="s">
        <v>103</v>
      </c>
      <c r="H509" s="9" t="s">
        <v>2224</v>
      </c>
      <c r="I509" s="14" t="s">
        <v>90</v>
      </c>
      <c r="J509" s="4">
        <v>1</v>
      </c>
      <c r="K509" s="26" t="s">
        <v>2192</v>
      </c>
      <c r="L509" s="238">
        <v>24</v>
      </c>
    </row>
    <row r="510" spans="1:12" ht="27" x14ac:dyDescent="0.3">
      <c r="A510" s="661"/>
      <c r="B510" s="99">
        <v>45469</v>
      </c>
      <c r="C510" s="3" t="s">
        <v>2212</v>
      </c>
      <c r="D510" s="4" t="s">
        <v>70</v>
      </c>
      <c r="E510" s="3" t="s">
        <v>2225</v>
      </c>
      <c r="F510" s="3" t="s">
        <v>2214</v>
      </c>
      <c r="G510" s="3" t="s">
        <v>2226</v>
      </c>
      <c r="H510" s="9" t="s">
        <v>2227</v>
      </c>
      <c r="I510" s="14" t="s">
        <v>90</v>
      </c>
      <c r="J510" s="9">
        <v>1</v>
      </c>
      <c r="K510" s="26" t="s">
        <v>50</v>
      </c>
      <c r="L510" s="238">
        <v>26</v>
      </c>
    </row>
    <row r="511" spans="1:12" x14ac:dyDescent="0.3">
      <c r="A511" s="659" t="s">
        <v>2228</v>
      </c>
      <c r="B511" s="659"/>
      <c r="C511" s="659"/>
      <c r="D511" s="659"/>
      <c r="E511" s="659"/>
      <c r="F511" s="659"/>
      <c r="G511" s="659"/>
      <c r="H511" s="659"/>
      <c r="I511" s="659"/>
      <c r="J511" s="26">
        <v>6</v>
      </c>
      <c r="K511" s="27"/>
    </row>
    <row r="514" spans="1:13" x14ac:dyDescent="0.3">
      <c r="A514" s="20" t="s">
        <v>2229</v>
      </c>
      <c r="B514" s="20" t="s">
        <v>2230</v>
      </c>
      <c r="C514" s="21" t="s">
        <v>2</v>
      </c>
      <c r="D514" s="21" t="s">
        <v>3</v>
      </c>
      <c r="E514" s="21" t="s">
        <v>2231</v>
      </c>
      <c r="F514" s="21" t="s">
        <v>5</v>
      </c>
      <c r="G514" s="21" t="s">
        <v>6</v>
      </c>
      <c r="H514" s="22" t="s">
        <v>2232</v>
      </c>
      <c r="I514" s="21" t="s">
        <v>2233</v>
      </c>
      <c r="J514" s="23" t="s">
        <v>2191</v>
      </c>
      <c r="K514" s="24" t="s">
        <v>2234</v>
      </c>
    </row>
    <row r="515" spans="1:13" x14ac:dyDescent="0.3">
      <c r="A515" s="661" t="s">
        <v>2235</v>
      </c>
      <c r="B515" s="16">
        <v>45443</v>
      </c>
      <c r="C515" s="3" t="s">
        <v>2236</v>
      </c>
      <c r="D515" s="4" t="s">
        <v>2237</v>
      </c>
      <c r="E515" s="3" t="s">
        <v>2238</v>
      </c>
      <c r="F515" s="3">
        <v>3307</v>
      </c>
      <c r="G515" s="3" t="s">
        <v>2206</v>
      </c>
      <c r="H515" s="9" t="s">
        <v>2239</v>
      </c>
      <c r="I515" s="14" t="s">
        <v>2240</v>
      </c>
      <c r="J515" s="4">
        <v>2</v>
      </c>
      <c r="K515" s="26" t="s">
        <v>2241</v>
      </c>
    </row>
    <row r="516" spans="1:13" x14ac:dyDescent="0.3">
      <c r="A516" s="661"/>
      <c r="B516" s="16">
        <v>45444</v>
      </c>
      <c r="C516" s="3" t="s">
        <v>2236</v>
      </c>
      <c r="D516" s="4" t="s">
        <v>2237</v>
      </c>
      <c r="E516" s="3" t="s">
        <v>2238</v>
      </c>
      <c r="F516" s="3">
        <v>3307</v>
      </c>
      <c r="G516" s="3" t="s">
        <v>2206</v>
      </c>
      <c r="H516" s="9" t="s">
        <v>2239</v>
      </c>
      <c r="I516" s="14" t="s">
        <v>2240</v>
      </c>
      <c r="J516" s="4">
        <v>2</v>
      </c>
      <c r="K516" s="26" t="s">
        <v>2241</v>
      </c>
    </row>
    <row r="517" spans="1:13" x14ac:dyDescent="0.3">
      <c r="A517" s="661"/>
      <c r="B517" s="16">
        <v>45446</v>
      </c>
      <c r="C517" s="3" t="s">
        <v>2236</v>
      </c>
      <c r="D517" s="4" t="s">
        <v>2237</v>
      </c>
      <c r="E517" s="3" t="s">
        <v>2238</v>
      </c>
      <c r="F517" s="3">
        <v>3307</v>
      </c>
      <c r="G517" s="3" t="s">
        <v>2206</v>
      </c>
      <c r="H517" s="9" t="s">
        <v>2239</v>
      </c>
      <c r="I517" s="14" t="s">
        <v>2240</v>
      </c>
      <c r="J517" s="4">
        <v>1</v>
      </c>
      <c r="K517" s="26" t="s">
        <v>2241</v>
      </c>
    </row>
    <row r="518" spans="1:13" x14ac:dyDescent="0.3">
      <c r="A518" s="661"/>
      <c r="B518" s="16">
        <v>45453</v>
      </c>
      <c r="C518" s="3" t="s">
        <v>2236</v>
      </c>
      <c r="D518" s="4" t="s">
        <v>2237</v>
      </c>
      <c r="E518" s="3" t="s">
        <v>2238</v>
      </c>
      <c r="F518" s="3">
        <v>3307</v>
      </c>
      <c r="G518" s="3" t="s">
        <v>2206</v>
      </c>
      <c r="H518" s="9" t="s">
        <v>2242</v>
      </c>
      <c r="I518" s="14" t="s">
        <v>2240</v>
      </c>
      <c r="J518" s="4">
        <v>2</v>
      </c>
      <c r="K518" s="26" t="s">
        <v>2241</v>
      </c>
    </row>
    <row r="519" spans="1:13" x14ac:dyDescent="0.3">
      <c r="A519" s="661"/>
      <c r="B519" s="16">
        <v>45454</v>
      </c>
      <c r="C519" s="3" t="s">
        <v>2236</v>
      </c>
      <c r="D519" s="4" t="s">
        <v>2237</v>
      </c>
      <c r="E519" s="3" t="s">
        <v>2238</v>
      </c>
      <c r="F519" s="3">
        <v>3307</v>
      </c>
      <c r="G519" s="3" t="s">
        <v>2206</v>
      </c>
      <c r="H519" s="9" t="s">
        <v>2242</v>
      </c>
      <c r="I519" s="14" t="s">
        <v>2240</v>
      </c>
      <c r="J519" s="4">
        <v>2</v>
      </c>
      <c r="K519" s="26" t="s">
        <v>2241</v>
      </c>
    </row>
    <row r="520" spans="1:13" x14ac:dyDescent="0.3">
      <c r="A520" s="661"/>
      <c r="B520" s="16">
        <v>45455</v>
      </c>
      <c r="C520" s="3" t="s">
        <v>2236</v>
      </c>
      <c r="D520" s="4" t="s">
        <v>2237</v>
      </c>
      <c r="E520" s="3" t="s">
        <v>2238</v>
      </c>
      <c r="F520" s="3">
        <v>3307</v>
      </c>
      <c r="G520" s="3" t="s">
        <v>2206</v>
      </c>
      <c r="H520" s="9" t="s">
        <v>2242</v>
      </c>
      <c r="I520" s="14" t="s">
        <v>2240</v>
      </c>
      <c r="J520" s="4">
        <v>1</v>
      </c>
      <c r="K520" s="26" t="s">
        <v>2241</v>
      </c>
    </row>
    <row r="521" spans="1:13" x14ac:dyDescent="0.3">
      <c r="A521" s="661"/>
      <c r="B521" s="16">
        <v>45468</v>
      </c>
      <c r="C521" s="3" t="s">
        <v>2236</v>
      </c>
      <c r="D521" s="4" t="s">
        <v>2237</v>
      </c>
      <c r="E521" s="3" t="s">
        <v>2238</v>
      </c>
      <c r="F521" s="3">
        <v>3307</v>
      </c>
      <c r="G521" s="3" t="s">
        <v>2206</v>
      </c>
      <c r="H521" s="9" t="s">
        <v>2243</v>
      </c>
      <c r="I521" s="14" t="s">
        <v>2240</v>
      </c>
      <c r="J521" s="4">
        <v>2</v>
      </c>
      <c r="K521" s="26" t="s">
        <v>2241</v>
      </c>
    </row>
    <row r="522" spans="1:13" x14ac:dyDescent="0.3">
      <c r="A522" s="661" t="s">
        <v>2244</v>
      </c>
      <c r="B522" s="661"/>
      <c r="C522" s="661"/>
      <c r="D522" s="661"/>
      <c r="E522" s="661"/>
      <c r="F522" s="661"/>
      <c r="G522" s="661"/>
      <c r="H522" s="661"/>
      <c r="I522" s="661"/>
      <c r="J522" s="26">
        <v>12</v>
      </c>
      <c r="K522" s="26"/>
    </row>
    <row r="526" spans="1:13" ht="27" x14ac:dyDescent="0.3">
      <c r="A526" s="20" t="s">
        <v>2229</v>
      </c>
      <c r="B526" s="20" t="s">
        <v>2230</v>
      </c>
      <c r="C526" s="21" t="s">
        <v>2</v>
      </c>
      <c r="D526" s="21" t="s">
        <v>3</v>
      </c>
      <c r="E526" s="21" t="s">
        <v>4</v>
      </c>
      <c r="F526" s="21" t="s">
        <v>5</v>
      </c>
      <c r="G526" s="21" t="s">
        <v>6</v>
      </c>
      <c r="H526" s="22" t="s">
        <v>2232</v>
      </c>
      <c r="I526" s="21" t="s">
        <v>2233</v>
      </c>
      <c r="J526" s="23" t="s">
        <v>2191</v>
      </c>
      <c r="K526" s="24" t="s">
        <v>2234</v>
      </c>
      <c r="L526" s="24" t="s">
        <v>2245</v>
      </c>
    </row>
    <row r="527" spans="1:13" ht="27" x14ac:dyDescent="0.3">
      <c r="A527" s="207" t="s">
        <v>2246</v>
      </c>
      <c r="B527" s="58">
        <v>45447</v>
      </c>
      <c r="C527" s="118" t="s">
        <v>312</v>
      </c>
      <c r="D527" s="156" t="s">
        <v>321</v>
      </c>
      <c r="E527" s="118" t="s">
        <v>2247</v>
      </c>
      <c r="F527" s="118" t="s">
        <v>2218</v>
      </c>
      <c r="G527" s="118" t="s">
        <v>664</v>
      </c>
      <c r="H527" s="157" t="s">
        <v>676</v>
      </c>
      <c r="I527" s="156"/>
      <c r="J527" s="4">
        <v>1</v>
      </c>
      <c r="K527" s="26" t="s">
        <v>2192</v>
      </c>
      <c r="L527" s="34" t="s">
        <v>2248</v>
      </c>
      <c r="M527">
        <v>23</v>
      </c>
    </row>
    <row r="528" spans="1:13" x14ac:dyDescent="0.3">
      <c r="A528" s="659" t="s">
        <v>2249</v>
      </c>
      <c r="B528" s="659"/>
      <c r="C528" s="659"/>
      <c r="D528" s="659"/>
      <c r="E528" s="659"/>
      <c r="F528" s="659"/>
      <c r="G528" s="659"/>
      <c r="H528" s="659"/>
      <c r="I528" s="659"/>
      <c r="J528" s="26">
        <v>1</v>
      </c>
      <c r="K528" s="26"/>
      <c r="L528" s="26"/>
    </row>
    <row r="531" spans="1:13" ht="27" x14ac:dyDescent="0.3">
      <c r="A531" s="20" t="s">
        <v>2229</v>
      </c>
      <c r="B531" s="20" t="s">
        <v>2230</v>
      </c>
      <c r="C531" s="21" t="s">
        <v>2</v>
      </c>
      <c r="D531" s="21" t="s">
        <v>3</v>
      </c>
      <c r="E531" s="21" t="s">
        <v>4</v>
      </c>
      <c r="F531" s="21" t="s">
        <v>5</v>
      </c>
      <c r="G531" s="21" t="s">
        <v>6</v>
      </c>
      <c r="H531" s="22" t="s">
        <v>2232</v>
      </c>
      <c r="I531" s="21" t="s">
        <v>2233</v>
      </c>
      <c r="J531" s="23" t="s">
        <v>2191</v>
      </c>
      <c r="K531" s="24" t="s">
        <v>2234</v>
      </c>
    </row>
    <row r="532" spans="1:13" x14ac:dyDescent="0.3">
      <c r="A532" s="661" t="s">
        <v>2250</v>
      </c>
      <c r="B532" s="99">
        <v>45439</v>
      </c>
      <c r="C532" s="262" t="s">
        <v>312</v>
      </c>
      <c r="D532" s="260" t="s">
        <v>321</v>
      </c>
      <c r="E532" s="262" t="s">
        <v>338</v>
      </c>
      <c r="F532" s="262" t="s">
        <v>355</v>
      </c>
      <c r="G532" s="262" t="s">
        <v>1945</v>
      </c>
      <c r="H532" s="294" t="s">
        <v>1946</v>
      </c>
      <c r="I532" s="260" t="s">
        <v>640</v>
      </c>
      <c r="J532" s="4">
        <v>1</v>
      </c>
      <c r="K532" s="26" t="s">
        <v>2192</v>
      </c>
      <c r="L532" s="238">
        <v>23</v>
      </c>
    </row>
    <row r="533" spans="1:13" ht="27" x14ac:dyDescent="0.3">
      <c r="A533" s="661"/>
      <c r="B533" s="99">
        <v>45461</v>
      </c>
      <c r="C533" s="3" t="s">
        <v>2212</v>
      </c>
      <c r="D533" s="4" t="s">
        <v>2251</v>
      </c>
      <c r="E533" s="3" t="s">
        <v>2252</v>
      </c>
      <c r="F533" s="3" t="s">
        <v>2253</v>
      </c>
      <c r="G533" s="3" t="s">
        <v>2254</v>
      </c>
      <c r="H533" s="9" t="s">
        <v>2255</v>
      </c>
      <c r="I533" s="14" t="s">
        <v>2256</v>
      </c>
      <c r="J533" s="4">
        <v>2</v>
      </c>
      <c r="K533" s="26" t="s">
        <v>2192</v>
      </c>
      <c r="L533" s="238">
        <v>25</v>
      </c>
    </row>
    <row r="534" spans="1:13" ht="27" x14ac:dyDescent="0.3">
      <c r="A534" s="661"/>
      <c r="B534" s="99">
        <v>45472</v>
      </c>
      <c r="C534" s="4" t="s">
        <v>2212</v>
      </c>
      <c r="D534" s="4" t="s">
        <v>2213</v>
      </c>
      <c r="E534" s="4" t="s">
        <v>2257</v>
      </c>
      <c r="F534" s="4" t="s">
        <v>2258</v>
      </c>
      <c r="G534" s="9" t="s">
        <v>2259</v>
      </c>
      <c r="H534" s="9" t="s">
        <v>2260</v>
      </c>
      <c r="I534" s="14" t="s">
        <v>2261</v>
      </c>
      <c r="J534" s="4">
        <v>1</v>
      </c>
      <c r="K534" s="26" t="s">
        <v>2192</v>
      </c>
      <c r="L534" s="238">
        <v>26</v>
      </c>
    </row>
    <row r="535" spans="1:13" x14ac:dyDescent="0.3">
      <c r="A535" s="659" t="s">
        <v>2244</v>
      </c>
      <c r="B535" s="659"/>
      <c r="C535" s="659"/>
      <c r="D535" s="659"/>
      <c r="E535" s="659"/>
      <c r="F535" s="659"/>
      <c r="G535" s="659"/>
      <c r="H535" s="659"/>
      <c r="I535" s="659"/>
      <c r="J535" s="26">
        <v>4</v>
      </c>
      <c r="K535" s="27"/>
    </row>
    <row r="538" spans="1:13" ht="27" x14ac:dyDescent="0.3">
      <c r="A538" s="20" t="s">
        <v>2229</v>
      </c>
      <c r="B538" s="20" t="s">
        <v>2230</v>
      </c>
      <c r="C538" s="21" t="s">
        <v>2</v>
      </c>
      <c r="D538" s="21" t="s">
        <v>3</v>
      </c>
      <c r="E538" s="21" t="s">
        <v>4</v>
      </c>
      <c r="F538" s="21" t="s">
        <v>5</v>
      </c>
      <c r="G538" s="21" t="s">
        <v>6</v>
      </c>
      <c r="H538" s="22" t="s">
        <v>2232</v>
      </c>
      <c r="I538" s="21" t="s">
        <v>2233</v>
      </c>
      <c r="J538" s="23" t="s">
        <v>2191</v>
      </c>
      <c r="K538" s="24" t="s">
        <v>2234</v>
      </c>
      <c r="L538" s="24" t="s">
        <v>2245</v>
      </c>
    </row>
    <row r="539" spans="1:13" ht="27" x14ac:dyDescent="0.3">
      <c r="A539" s="60" t="s">
        <v>2250</v>
      </c>
      <c r="B539" s="99">
        <v>45468</v>
      </c>
      <c r="C539" s="3" t="s">
        <v>307</v>
      </c>
      <c r="D539" s="4" t="s">
        <v>323</v>
      </c>
      <c r="E539" s="4" t="s">
        <v>308</v>
      </c>
      <c r="F539" s="4" t="s">
        <v>2262</v>
      </c>
      <c r="G539" s="4" t="s">
        <v>2263</v>
      </c>
      <c r="H539" s="9" t="s">
        <v>2264</v>
      </c>
      <c r="I539" s="14" t="s">
        <v>666</v>
      </c>
      <c r="J539" s="4">
        <v>2</v>
      </c>
      <c r="K539" s="26" t="s">
        <v>2265</v>
      </c>
      <c r="L539" s="26" t="s">
        <v>2248</v>
      </c>
      <c r="M539" s="127"/>
    </row>
    <row r="540" spans="1:13" x14ac:dyDescent="0.3">
      <c r="A540" s="662" t="s">
        <v>2249</v>
      </c>
      <c r="B540" s="663"/>
      <c r="C540" s="663"/>
      <c r="D540" s="663"/>
      <c r="E540" s="663"/>
      <c r="F540" s="663"/>
      <c r="G540" s="663"/>
      <c r="H540" s="663"/>
      <c r="I540" s="664"/>
      <c r="J540" s="26">
        <v>2</v>
      </c>
      <c r="K540" s="27"/>
      <c r="L540" s="59"/>
    </row>
    <row r="543" spans="1:13" ht="27" x14ac:dyDescent="0.3">
      <c r="A543" s="20" t="s">
        <v>2229</v>
      </c>
      <c r="B543" s="20" t="s">
        <v>2230</v>
      </c>
      <c r="C543" s="21" t="s">
        <v>2</v>
      </c>
      <c r="D543" s="21" t="s">
        <v>3</v>
      </c>
      <c r="E543" s="21" t="s">
        <v>4</v>
      </c>
      <c r="F543" s="21" t="s">
        <v>5</v>
      </c>
      <c r="G543" s="21" t="s">
        <v>6</v>
      </c>
      <c r="H543" s="22" t="s">
        <v>2232</v>
      </c>
      <c r="I543" s="21" t="s">
        <v>2233</v>
      </c>
      <c r="J543" s="23" t="s">
        <v>2191</v>
      </c>
      <c r="K543" s="24" t="s">
        <v>2234</v>
      </c>
      <c r="L543" s="24" t="s">
        <v>2245</v>
      </c>
    </row>
    <row r="544" spans="1:13" ht="27" x14ac:dyDescent="0.3">
      <c r="A544" s="659" t="s">
        <v>2266</v>
      </c>
      <c r="B544" s="295">
        <v>45440</v>
      </c>
      <c r="C544" s="144" t="s">
        <v>2212</v>
      </c>
      <c r="D544" s="133" t="s">
        <v>2251</v>
      </c>
      <c r="E544" s="133" t="s">
        <v>2267</v>
      </c>
      <c r="F544" s="144" t="s">
        <v>2268</v>
      </c>
      <c r="G544" s="144" t="s">
        <v>2254</v>
      </c>
      <c r="H544" s="207" t="s">
        <v>2269</v>
      </c>
      <c r="I544" s="296" t="s">
        <v>2270</v>
      </c>
      <c r="J544" s="133">
        <v>2</v>
      </c>
      <c r="K544" s="232" t="s">
        <v>2192</v>
      </c>
      <c r="L544" s="34" t="s">
        <v>2248</v>
      </c>
      <c r="M544">
        <v>22</v>
      </c>
    </row>
    <row r="545" spans="1:13" x14ac:dyDescent="0.3">
      <c r="A545" s="659"/>
      <c r="B545" s="232" t="s">
        <v>1921</v>
      </c>
      <c r="C545" s="232" t="s">
        <v>312</v>
      </c>
      <c r="D545" s="133" t="s">
        <v>321</v>
      </c>
      <c r="E545" s="232" t="s">
        <v>692</v>
      </c>
      <c r="F545" s="232" t="s">
        <v>1939</v>
      </c>
      <c r="G545" s="232" t="s">
        <v>664</v>
      </c>
      <c r="H545" s="297" t="s">
        <v>2271</v>
      </c>
      <c r="I545" s="133"/>
      <c r="J545" s="133">
        <v>1</v>
      </c>
      <c r="K545" s="232" t="s">
        <v>2192</v>
      </c>
      <c r="L545" s="34" t="s">
        <v>2248</v>
      </c>
      <c r="M545">
        <v>23</v>
      </c>
    </row>
    <row r="546" spans="1:13" x14ac:dyDescent="0.3">
      <c r="A546" s="658" t="s">
        <v>2244</v>
      </c>
      <c r="B546" s="658"/>
      <c r="C546" s="658"/>
      <c r="D546" s="658"/>
      <c r="E546" s="658"/>
      <c r="F546" s="658"/>
      <c r="G546" s="658"/>
      <c r="H546" s="658"/>
      <c r="I546" s="658"/>
      <c r="J546" s="26">
        <v>3</v>
      </c>
      <c r="K546" s="26"/>
      <c r="L546" s="26"/>
    </row>
    <row r="548" spans="1:13" x14ac:dyDescent="0.3">
      <c r="A548" s="20" t="s">
        <v>2229</v>
      </c>
      <c r="B548" s="20" t="s">
        <v>2230</v>
      </c>
      <c r="C548" s="21" t="s">
        <v>2</v>
      </c>
      <c r="D548" s="21" t="s">
        <v>3</v>
      </c>
      <c r="E548" s="21" t="s">
        <v>2272</v>
      </c>
      <c r="F548" s="21" t="s">
        <v>5</v>
      </c>
      <c r="G548" s="21" t="s">
        <v>6</v>
      </c>
      <c r="H548" s="22" t="s">
        <v>2232</v>
      </c>
      <c r="I548" s="21" t="s">
        <v>2233</v>
      </c>
      <c r="J548" s="23" t="s">
        <v>2191</v>
      </c>
      <c r="K548" s="24" t="s">
        <v>2234</v>
      </c>
      <c r="L548" s="24" t="s">
        <v>2245</v>
      </c>
    </row>
    <row r="549" spans="1:13" x14ac:dyDescent="0.3">
      <c r="A549" s="293" t="s">
        <v>2266</v>
      </c>
      <c r="B549" s="99">
        <v>45439</v>
      </c>
      <c r="C549" s="133" t="s">
        <v>307</v>
      </c>
      <c r="D549" s="133" t="s">
        <v>323</v>
      </c>
      <c r="E549" s="133" t="s">
        <v>308</v>
      </c>
      <c r="F549" s="207" t="s">
        <v>2273</v>
      </c>
      <c r="G549" s="133" t="s">
        <v>2196</v>
      </c>
      <c r="H549" s="207" t="s">
        <v>2274</v>
      </c>
      <c r="I549" s="133" t="s">
        <v>2275</v>
      </c>
      <c r="J549" s="4">
        <v>2</v>
      </c>
      <c r="K549" s="298" t="s">
        <v>2192</v>
      </c>
      <c r="L549" s="34" t="s">
        <v>2248</v>
      </c>
      <c r="M549">
        <v>22</v>
      </c>
    </row>
    <row r="550" spans="1:13" x14ac:dyDescent="0.3">
      <c r="A550" s="659" t="s">
        <v>2244</v>
      </c>
      <c r="B550" s="659"/>
      <c r="C550" s="659"/>
      <c r="D550" s="659"/>
      <c r="E550" s="659"/>
      <c r="F550" s="659"/>
      <c r="G550" s="659"/>
      <c r="H550" s="659"/>
      <c r="I550" s="659"/>
      <c r="J550" s="26">
        <v>2</v>
      </c>
      <c r="K550" s="26"/>
      <c r="L550" s="26"/>
    </row>
    <row r="553" spans="1:13" ht="27" x14ac:dyDescent="0.3">
      <c r="A553" s="299" t="s">
        <v>2229</v>
      </c>
      <c r="B553" s="299" t="s">
        <v>2276</v>
      </c>
      <c r="C553" s="300" t="s">
        <v>2</v>
      </c>
      <c r="D553" s="300" t="s">
        <v>3</v>
      </c>
      <c r="E553" s="300" t="s">
        <v>4</v>
      </c>
      <c r="F553" s="300" t="s">
        <v>5</v>
      </c>
      <c r="G553" s="300" t="s">
        <v>6</v>
      </c>
      <c r="H553" s="301" t="s">
        <v>2232</v>
      </c>
      <c r="I553" s="300" t="s">
        <v>2233</v>
      </c>
      <c r="J553" s="302" t="s">
        <v>2191</v>
      </c>
      <c r="K553" s="303" t="s">
        <v>2234</v>
      </c>
      <c r="L553" s="303" t="s">
        <v>2245</v>
      </c>
    </row>
    <row r="554" spans="1:13" ht="27" x14ac:dyDescent="0.3">
      <c r="A554" s="660" t="s">
        <v>2277</v>
      </c>
      <c r="B554" s="133" t="s">
        <v>2278</v>
      </c>
      <c r="C554" s="133" t="s">
        <v>307</v>
      </c>
      <c r="D554" s="133" t="s">
        <v>323</v>
      </c>
      <c r="E554" s="133" t="s">
        <v>308</v>
      </c>
      <c r="F554" s="297" t="s">
        <v>1423</v>
      </c>
      <c r="G554" s="133" t="s">
        <v>1920</v>
      </c>
      <c r="H554" s="297" t="s">
        <v>1157</v>
      </c>
      <c r="I554" s="133" t="s">
        <v>666</v>
      </c>
      <c r="J554" s="133">
        <v>2</v>
      </c>
      <c r="K554" s="232" t="s">
        <v>2192</v>
      </c>
      <c r="L554" s="232" t="s">
        <v>2248</v>
      </c>
      <c r="M554">
        <v>23</v>
      </c>
    </row>
    <row r="555" spans="1:13" ht="27" x14ac:dyDescent="0.3">
      <c r="A555" s="660"/>
      <c r="B555" s="133" t="s">
        <v>2193</v>
      </c>
      <c r="C555" s="133" t="s">
        <v>307</v>
      </c>
      <c r="D555" s="133" t="s">
        <v>323</v>
      </c>
      <c r="E555" s="133" t="s">
        <v>308</v>
      </c>
      <c r="F555" s="297">
        <v>4267</v>
      </c>
      <c r="G555" s="133" t="s">
        <v>642</v>
      </c>
      <c r="H555" s="297" t="s">
        <v>1157</v>
      </c>
      <c r="I555" s="133" t="s">
        <v>666</v>
      </c>
      <c r="J555" s="133">
        <v>2</v>
      </c>
      <c r="K555" s="232" t="s">
        <v>2192</v>
      </c>
      <c r="L555" s="232" t="s">
        <v>2248</v>
      </c>
    </row>
    <row r="556" spans="1:13" ht="27" x14ac:dyDescent="0.3">
      <c r="A556" s="660"/>
      <c r="B556" s="304" t="s">
        <v>2279</v>
      </c>
      <c r="C556" s="133" t="s">
        <v>307</v>
      </c>
      <c r="D556" s="133" t="s">
        <v>323</v>
      </c>
      <c r="E556" s="133" t="s">
        <v>308</v>
      </c>
      <c r="F556" s="207" t="s">
        <v>2203</v>
      </c>
      <c r="G556" s="133" t="s">
        <v>2280</v>
      </c>
      <c r="H556" s="207" t="s">
        <v>2281</v>
      </c>
      <c r="I556" s="133" t="s">
        <v>221</v>
      </c>
      <c r="J556" s="133">
        <v>2</v>
      </c>
      <c r="K556" s="232" t="s">
        <v>2192</v>
      </c>
      <c r="L556" s="232" t="s">
        <v>2248</v>
      </c>
    </row>
    <row r="557" spans="1:13" ht="27" x14ac:dyDescent="0.3">
      <c r="A557" s="660"/>
      <c r="B557" s="304" t="s">
        <v>2282</v>
      </c>
      <c r="C557" s="133" t="s">
        <v>307</v>
      </c>
      <c r="D557" s="133" t="s">
        <v>323</v>
      </c>
      <c r="E557" s="133" t="s">
        <v>308</v>
      </c>
      <c r="F557" s="207">
        <v>4267</v>
      </c>
      <c r="G557" s="133" t="s">
        <v>2283</v>
      </c>
      <c r="H557" s="207" t="s">
        <v>2281</v>
      </c>
      <c r="I557" s="133" t="s">
        <v>2275</v>
      </c>
      <c r="J557" s="133">
        <v>2</v>
      </c>
      <c r="K557" s="232" t="s">
        <v>2192</v>
      </c>
      <c r="L557" s="232" t="s">
        <v>2248</v>
      </c>
    </row>
    <row r="558" spans="1:13" x14ac:dyDescent="0.3">
      <c r="A558" s="660"/>
      <c r="B558" s="304" t="s">
        <v>2284</v>
      </c>
      <c r="C558" s="133" t="s">
        <v>307</v>
      </c>
      <c r="D558" s="133" t="s">
        <v>323</v>
      </c>
      <c r="E558" s="133" t="s">
        <v>308</v>
      </c>
      <c r="F558" s="207">
        <v>3306</v>
      </c>
      <c r="G558" s="133" t="s">
        <v>2206</v>
      </c>
      <c r="H558" s="207" t="s">
        <v>2285</v>
      </c>
      <c r="I558" s="133" t="s">
        <v>2275</v>
      </c>
      <c r="J558" s="133">
        <v>1</v>
      </c>
      <c r="K558" s="232" t="s">
        <v>2192</v>
      </c>
      <c r="L558" s="232" t="s">
        <v>2248</v>
      </c>
    </row>
    <row r="559" spans="1:13" x14ac:dyDescent="0.3">
      <c r="A559" s="660"/>
      <c r="B559" s="304" t="s">
        <v>2286</v>
      </c>
      <c r="C559" s="133" t="s">
        <v>307</v>
      </c>
      <c r="D559" s="133" t="s">
        <v>323</v>
      </c>
      <c r="E559" s="133" t="s">
        <v>308</v>
      </c>
      <c r="F559" s="207" t="s">
        <v>2203</v>
      </c>
      <c r="G559" s="133" t="s">
        <v>2280</v>
      </c>
      <c r="H559" s="207" t="s">
        <v>2287</v>
      </c>
      <c r="I559" s="133" t="s">
        <v>2275</v>
      </c>
      <c r="J559" s="133">
        <v>1</v>
      </c>
      <c r="K559" s="232" t="s">
        <v>2192</v>
      </c>
      <c r="L559" s="232" t="s">
        <v>2248</v>
      </c>
    </row>
    <row r="560" spans="1:13" ht="27" x14ac:dyDescent="0.3">
      <c r="A560" s="660"/>
      <c r="B560" s="304" t="s">
        <v>2288</v>
      </c>
      <c r="C560" s="133" t="s">
        <v>307</v>
      </c>
      <c r="D560" s="133" t="s">
        <v>323</v>
      </c>
      <c r="E560" s="133" t="s">
        <v>308</v>
      </c>
      <c r="F560" s="207">
        <v>3306</v>
      </c>
      <c r="G560" s="133" t="s">
        <v>2206</v>
      </c>
      <c r="H560" s="207" t="s">
        <v>2289</v>
      </c>
      <c r="I560" s="133" t="s">
        <v>2275</v>
      </c>
      <c r="J560" s="133">
        <v>2</v>
      </c>
      <c r="K560" s="232" t="s">
        <v>2192</v>
      </c>
      <c r="L560" s="232" t="s">
        <v>2248</v>
      </c>
    </row>
    <row r="561" spans="1:12" ht="27" x14ac:dyDescent="0.3">
      <c r="A561" s="660"/>
      <c r="B561" s="304" t="s">
        <v>2290</v>
      </c>
      <c r="C561" s="133" t="s">
        <v>307</v>
      </c>
      <c r="D561" s="133" t="s">
        <v>323</v>
      </c>
      <c r="E561" s="133" t="s">
        <v>308</v>
      </c>
      <c r="F561" s="207" t="s">
        <v>2291</v>
      </c>
      <c r="G561" s="133" t="s">
        <v>2292</v>
      </c>
      <c r="H561" s="207" t="s">
        <v>2293</v>
      </c>
      <c r="I561" s="133" t="s">
        <v>2275</v>
      </c>
      <c r="J561" s="133">
        <v>2</v>
      </c>
      <c r="K561" s="232" t="s">
        <v>2192</v>
      </c>
      <c r="L561" s="232" t="s">
        <v>2248</v>
      </c>
    </row>
    <row r="562" spans="1:12" ht="27" x14ac:dyDescent="0.3">
      <c r="A562" s="660"/>
      <c r="B562" s="304" t="s">
        <v>2294</v>
      </c>
      <c r="C562" s="133" t="s">
        <v>307</v>
      </c>
      <c r="D562" s="133" t="s">
        <v>323</v>
      </c>
      <c r="E562" s="133" t="s">
        <v>308</v>
      </c>
      <c r="F562" s="207" t="s">
        <v>2295</v>
      </c>
      <c r="G562" s="133" t="s">
        <v>2296</v>
      </c>
      <c r="H562" s="207" t="s">
        <v>2297</v>
      </c>
      <c r="I562" s="133" t="s">
        <v>2275</v>
      </c>
      <c r="J562" s="133">
        <v>2</v>
      </c>
      <c r="K562" s="232" t="s">
        <v>2192</v>
      </c>
      <c r="L562" s="232" t="s">
        <v>2248</v>
      </c>
    </row>
    <row r="563" spans="1:12" x14ac:dyDescent="0.3">
      <c r="A563" s="660"/>
      <c r="B563" s="304">
        <v>45469</v>
      </c>
      <c r="C563" s="133" t="s">
        <v>307</v>
      </c>
      <c r="D563" s="133" t="s">
        <v>323</v>
      </c>
      <c r="E563" s="133" t="s">
        <v>308</v>
      </c>
      <c r="F563" s="207">
        <v>4267</v>
      </c>
      <c r="G563" s="133" t="s">
        <v>2283</v>
      </c>
      <c r="H563" s="207" t="s">
        <v>2298</v>
      </c>
      <c r="I563" s="133" t="s">
        <v>2275</v>
      </c>
      <c r="J563" s="133">
        <v>1</v>
      </c>
      <c r="K563" s="232" t="s">
        <v>2192</v>
      </c>
      <c r="L563" s="232" t="s">
        <v>2248</v>
      </c>
    </row>
    <row r="564" spans="1:12" ht="27" x14ac:dyDescent="0.3">
      <c r="A564" s="660"/>
      <c r="B564" s="304" t="s">
        <v>2299</v>
      </c>
      <c r="C564" s="133" t="s">
        <v>307</v>
      </c>
      <c r="D564" s="133" t="s">
        <v>323</v>
      </c>
      <c r="E564" s="133" t="s">
        <v>308</v>
      </c>
      <c r="F564" s="207" t="s">
        <v>2300</v>
      </c>
      <c r="G564" s="133" t="s">
        <v>2301</v>
      </c>
      <c r="H564" s="207" t="s">
        <v>2293</v>
      </c>
      <c r="I564" s="133" t="s">
        <v>2275</v>
      </c>
      <c r="J564" s="133">
        <v>2</v>
      </c>
      <c r="K564" s="232" t="s">
        <v>2192</v>
      </c>
      <c r="L564" s="232" t="s">
        <v>2248</v>
      </c>
    </row>
    <row r="565" spans="1:12" x14ac:dyDescent="0.3">
      <c r="A565" s="659" t="s">
        <v>2244</v>
      </c>
      <c r="B565" s="659"/>
      <c r="C565" s="659"/>
      <c r="D565" s="659"/>
      <c r="E565" s="659"/>
      <c r="F565" s="659"/>
      <c r="G565" s="659"/>
      <c r="H565" s="659"/>
      <c r="I565" s="659"/>
      <c r="J565" s="34">
        <v>19</v>
      </c>
      <c r="K565" s="61"/>
      <c r="L565" s="401"/>
    </row>
    <row r="568" spans="1:12" ht="27" x14ac:dyDescent="0.3">
      <c r="A568" s="299" t="s">
        <v>2229</v>
      </c>
      <c r="B568" s="299" t="s">
        <v>2276</v>
      </c>
      <c r="C568" s="300" t="s">
        <v>2</v>
      </c>
      <c r="D568" s="300" t="s">
        <v>3</v>
      </c>
      <c r="E568" s="300" t="s">
        <v>4</v>
      </c>
      <c r="F568" s="300" t="s">
        <v>5</v>
      </c>
      <c r="G568" s="300" t="s">
        <v>6</v>
      </c>
      <c r="H568" s="301" t="s">
        <v>2232</v>
      </c>
      <c r="I568" s="300" t="s">
        <v>2233</v>
      </c>
      <c r="J568" s="302" t="s">
        <v>2191</v>
      </c>
      <c r="K568" s="303" t="s">
        <v>2234</v>
      </c>
    </row>
    <row r="569" spans="1:12" x14ac:dyDescent="0.3">
      <c r="B569" s="260" t="s">
        <v>1915</v>
      </c>
      <c r="C569" s="525" t="s">
        <v>307</v>
      </c>
      <c r="D569" s="525" t="s">
        <v>323</v>
      </c>
      <c r="E569" s="525" t="s">
        <v>308</v>
      </c>
      <c r="F569" s="525">
        <v>3306</v>
      </c>
      <c r="G569" s="525" t="s">
        <v>1156</v>
      </c>
      <c r="H569" s="525" t="s">
        <v>1916</v>
      </c>
      <c r="I569" s="525" t="s">
        <v>1113</v>
      </c>
      <c r="J569" s="525" t="s">
        <v>694</v>
      </c>
      <c r="K569" s="656" t="s">
        <v>2302</v>
      </c>
    </row>
    <row r="570" spans="1:12" x14ac:dyDescent="0.3">
      <c r="B570" s="260" t="s">
        <v>1918</v>
      </c>
      <c r="C570" s="526"/>
      <c r="D570" s="526"/>
      <c r="E570" s="526"/>
      <c r="F570" s="526"/>
      <c r="G570" s="526"/>
      <c r="H570" s="526"/>
      <c r="I570" s="526"/>
      <c r="J570" s="526"/>
      <c r="K570" s="657"/>
    </row>
    <row r="572" spans="1:12" x14ac:dyDescent="0.3">
      <c r="A572" t="s">
        <v>2479</v>
      </c>
    </row>
    <row r="574" spans="1:12" x14ac:dyDescent="0.3">
      <c r="A574" s="20" t="s">
        <v>2366</v>
      </c>
      <c r="B574" s="20" t="s">
        <v>2367</v>
      </c>
      <c r="C574" s="21" t="s">
        <v>2</v>
      </c>
      <c r="D574" s="21" t="s">
        <v>3</v>
      </c>
      <c r="E574" s="21" t="s">
        <v>2368</v>
      </c>
      <c r="F574" s="21" t="s">
        <v>5</v>
      </c>
      <c r="G574" s="21" t="s">
        <v>6</v>
      </c>
      <c r="H574" s="22" t="s">
        <v>2369</v>
      </c>
      <c r="I574" s="21" t="s">
        <v>8</v>
      </c>
      <c r="J574" s="23" t="s">
        <v>2370</v>
      </c>
      <c r="K574" s="24" t="s">
        <v>2371</v>
      </c>
    </row>
    <row r="575" spans="1:12" ht="27" x14ac:dyDescent="0.3">
      <c r="A575" s="710" t="s">
        <v>2372</v>
      </c>
      <c r="B575" s="99" t="s">
        <v>2373</v>
      </c>
      <c r="C575" s="133" t="s">
        <v>307</v>
      </c>
      <c r="D575" s="133" t="s">
        <v>323</v>
      </c>
      <c r="E575" s="133" t="s">
        <v>308</v>
      </c>
      <c r="F575" s="207">
        <v>3306</v>
      </c>
      <c r="G575" s="133" t="s">
        <v>2374</v>
      </c>
      <c r="H575" s="207" t="s">
        <v>2375</v>
      </c>
      <c r="I575" s="133" t="s">
        <v>2376</v>
      </c>
      <c r="J575" s="4">
        <v>4</v>
      </c>
      <c r="K575" s="26" t="s">
        <v>633</v>
      </c>
      <c r="L575" s="238">
        <v>27</v>
      </c>
    </row>
    <row r="576" spans="1:12" x14ac:dyDescent="0.3">
      <c r="A576" s="711"/>
      <c r="B576" s="99">
        <v>45479</v>
      </c>
      <c r="C576" s="133" t="s">
        <v>307</v>
      </c>
      <c r="D576" s="133" t="s">
        <v>323</v>
      </c>
      <c r="E576" s="133" t="s">
        <v>308</v>
      </c>
      <c r="F576" s="207">
        <v>4267</v>
      </c>
      <c r="G576" s="133" t="s">
        <v>18</v>
      </c>
      <c r="H576" s="207" t="s">
        <v>2377</v>
      </c>
      <c r="I576" s="133" t="s">
        <v>2378</v>
      </c>
      <c r="J576" s="4">
        <v>2</v>
      </c>
      <c r="K576" s="26" t="s">
        <v>2379</v>
      </c>
      <c r="L576" s="238">
        <v>27</v>
      </c>
    </row>
    <row r="577" spans="1:12" ht="27" x14ac:dyDescent="0.3">
      <c r="A577" s="711"/>
      <c r="B577" s="99" t="s">
        <v>2380</v>
      </c>
      <c r="C577" s="133" t="s">
        <v>307</v>
      </c>
      <c r="D577" s="133" t="s">
        <v>323</v>
      </c>
      <c r="E577" s="133" t="s">
        <v>308</v>
      </c>
      <c r="F577" s="207">
        <v>3306</v>
      </c>
      <c r="G577" s="133" t="s">
        <v>2374</v>
      </c>
      <c r="H577" s="207" t="s">
        <v>2381</v>
      </c>
      <c r="I577" s="133" t="s">
        <v>293</v>
      </c>
      <c r="J577" s="4">
        <v>6</v>
      </c>
      <c r="K577" s="26" t="s">
        <v>633</v>
      </c>
      <c r="L577" s="238">
        <v>28</v>
      </c>
    </row>
    <row r="578" spans="1:12" x14ac:dyDescent="0.3">
      <c r="A578" s="711"/>
      <c r="B578" s="130" t="s">
        <v>2132</v>
      </c>
      <c r="C578" s="216" t="s">
        <v>307</v>
      </c>
      <c r="D578" s="216" t="s">
        <v>323</v>
      </c>
      <c r="E578" s="216" t="s">
        <v>308</v>
      </c>
      <c r="F578" s="207">
        <v>4267</v>
      </c>
      <c r="G578" s="133" t="s">
        <v>2382</v>
      </c>
      <c r="H578" s="217" t="s">
        <v>2383</v>
      </c>
      <c r="I578" s="133" t="s">
        <v>2384</v>
      </c>
      <c r="J578" s="4">
        <v>2</v>
      </c>
      <c r="K578" s="26" t="s">
        <v>2385</v>
      </c>
      <c r="L578" s="238">
        <v>29</v>
      </c>
    </row>
    <row r="579" spans="1:12" x14ac:dyDescent="0.3">
      <c r="A579" s="711"/>
      <c r="B579" s="130" t="s">
        <v>2132</v>
      </c>
      <c r="C579" s="216" t="s">
        <v>307</v>
      </c>
      <c r="D579" s="216" t="s">
        <v>323</v>
      </c>
      <c r="E579" s="216" t="s">
        <v>308</v>
      </c>
      <c r="F579" s="207">
        <v>3306</v>
      </c>
      <c r="G579" s="133" t="s">
        <v>2374</v>
      </c>
      <c r="H579" s="217" t="s">
        <v>2134</v>
      </c>
      <c r="I579" s="133" t="s">
        <v>293</v>
      </c>
      <c r="J579" s="4">
        <v>2</v>
      </c>
      <c r="K579" s="26" t="s">
        <v>2385</v>
      </c>
      <c r="L579" s="238">
        <v>29</v>
      </c>
    </row>
    <row r="580" spans="1:12" ht="27" x14ac:dyDescent="0.3">
      <c r="A580" s="711"/>
      <c r="B580" s="99" t="s">
        <v>2150</v>
      </c>
      <c r="C580" s="133" t="s">
        <v>307</v>
      </c>
      <c r="D580" s="133" t="s">
        <v>323</v>
      </c>
      <c r="E580" s="133" t="s">
        <v>308</v>
      </c>
      <c r="F580" s="207" t="s">
        <v>2386</v>
      </c>
      <c r="G580" s="133" t="s">
        <v>2387</v>
      </c>
      <c r="H580" s="217" t="s">
        <v>2388</v>
      </c>
      <c r="I580" s="216" t="s">
        <v>293</v>
      </c>
      <c r="J580" s="4">
        <v>6</v>
      </c>
      <c r="K580" s="26" t="s">
        <v>633</v>
      </c>
      <c r="L580" s="238">
        <v>30</v>
      </c>
    </row>
    <row r="581" spans="1:12" x14ac:dyDescent="0.3">
      <c r="A581" s="711"/>
      <c r="B581" s="99" t="s">
        <v>2389</v>
      </c>
      <c r="C581" s="133" t="s">
        <v>307</v>
      </c>
      <c r="D581" s="133" t="s">
        <v>323</v>
      </c>
      <c r="E581" s="133" t="s">
        <v>308</v>
      </c>
      <c r="F581" s="207" t="s">
        <v>2390</v>
      </c>
      <c r="G581" s="133" t="s">
        <v>2391</v>
      </c>
      <c r="H581" s="207" t="s">
        <v>2183</v>
      </c>
      <c r="I581" s="133" t="s">
        <v>2392</v>
      </c>
      <c r="J581" s="4">
        <v>2</v>
      </c>
      <c r="K581" s="26" t="s">
        <v>633</v>
      </c>
      <c r="L581" s="238">
        <v>31</v>
      </c>
    </row>
    <row r="582" spans="1:12" x14ac:dyDescent="0.3">
      <c r="A582" s="659" t="s">
        <v>1463</v>
      </c>
      <c r="B582" s="659"/>
      <c r="C582" s="659"/>
      <c r="D582" s="659"/>
      <c r="E582" s="659"/>
      <c r="F582" s="659"/>
      <c r="G582" s="659"/>
      <c r="H582" s="659"/>
      <c r="I582" s="659"/>
      <c r="J582" s="26">
        <v>24</v>
      </c>
      <c r="K582" s="27"/>
    </row>
    <row r="585" spans="1:12" ht="27" x14ac:dyDescent="0.3">
      <c r="A585" s="20" t="s">
        <v>2366</v>
      </c>
      <c r="B585" s="20" t="s">
        <v>2393</v>
      </c>
      <c r="C585" s="21" t="s">
        <v>2</v>
      </c>
      <c r="D585" s="21" t="s">
        <v>3</v>
      </c>
      <c r="E585" s="21" t="s">
        <v>4</v>
      </c>
      <c r="F585" s="21" t="s">
        <v>5</v>
      </c>
      <c r="G585" s="21" t="s">
        <v>6</v>
      </c>
      <c r="H585" s="22" t="s">
        <v>45</v>
      </c>
      <c r="I585" s="21" t="s">
        <v>8</v>
      </c>
      <c r="J585" s="23" t="s">
        <v>2370</v>
      </c>
      <c r="K585" s="24" t="s">
        <v>47</v>
      </c>
    </row>
    <row r="586" spans="1:12" x14ac:dyDescent="0.3">
      <c r="A586" s="661" t="s">
        <v>1009</v>
      </c>
      <c r="B586" s="99">
        <v>45456</v>
      </c>
      <c r="C586" s="3" t="s">
        <v>2394</v>
      </c>
      <c r="D586" s="4" t="s">
        <v>2395</v>
      </c>
      <c r="E586" s="3" t="s">
        <v>2396</v>
      </c>
      <c r="F586" s="3" t="s">
        <v>2397</v>
      </c>
      <c r="G586" s="3" t="s">
        <v>2398</v>
      </c>
      <c r="H586" s="5" t="s">
        <v>1913</v>
      </c>
      <c r="I586" s="14" t="s">
        <v>2399</v>
      </c>
      <c r="J586" s="4">
        <v>1</v>
      </c>
      <c r="K586" s="26" t="s">
        <v>2379</v>
      </c>
      <c r="L586" s="238">
        <v>24</v>
      </c>
    </row>
    <row r="587" spans="1:12" ht="27" x14ac:dyDescent="0.3">
      <c r="A587" s="661"/>
      <c r="B587" s="16">
        <v>45482</v>
      </c>
      <c r="C587" s="4" t="s">
        <v>21</v>
      </c>
      <c r="D587" s="4" t="s">
        <v>2400</v>
      </c>
      <c r="E587" s="4" t="s">
        <v>226</v>
      </c>
      <c r="F587" s="3" t="s">
        <v>2107</v>
      </c>
      <c r="G587" s="3" t="s">
        <v>2401</v>
      </c>
      <c r="H587" s="9" t="s">
        <v>2402</v>
      </c>
      <c r="I587" s="14" t="s">
        <v>2399</v>
      </c>
      <c r="J587" s="4" t="s">
        <v>2403</v>
      </c>
      <c r="K587" s="26" t="s">
        <v>2379</v>
      </c>
      <c r="L587" s="238">
        <v>28</v>
      </c>
    </row>
    <row r="588" spans="1:12" x14ac:dyDescent="0.3">
      <c r="A588" s="659" t="s">
        <v>2404</v>
      </c>
      <c r="B588" s="659"/>
      <c r="C588" s="659"/>
      <c r="D588" s="659"/>
      <c r="E588" s="659"/>
      <c r="F588" s="659"/>
      <c r="G588" s="659"/>
      <c r="H588" s="659"/>
      <c r="I588" s="659"/>
      <c r="J588" s="26">
        <v>3</v>
      </c>
      <c r="K588" s="27"/>
    </row>
    <row r="590" spans="1:12" x14ac:dyDescent="0.3">
      <c r="A590" s="20" t="s">
        <v>2405</v>
      </c>
      <c r="B590" s="20" t="s">
        <v>2393</v>
      </c>
      <c r="C590" s="21" t="s">
        <v>2</v>
      </c>
      <c r="D590" s="21" t="s">
        <v>3</v>
      </c>
      <c r="E590" s="21" t="s">
        <v>2406</v>
      </c>
      <c r="F590" s="21" t="s">
        <v>5</v>
      </c>
      <c r="G590" s="21" t="s">
        <v>6</v>
      </c>
      <c r="H590" s="22" t="s">
        <v>2369</v>
      </c>
      <c r="I590" s="21" t="s">
        <v>2407</v>
      </c>
      <c r="J590" s="23" t="s">
        <v>2408</v>
      </c>
      <c r="K590" s="24" t="s">
        <v>2409</v>
      </c>
    </row>
    <row r="591" spans="1:12" x14ac:dyDescent="0.3">
      <c r="A591" s="59" t="s">
        <v>2410</v>
      </c>
      <c r="B591" s="16">
        <v>45483</v>
      </c>
      <c r="C591" s="3" t="s">
        <v>2411</v>
      </c>
      <c r="D591" s="4" t="s">
        <v>2412</v>
      </c>
      <c r="E591" s="3" t="s">
        <v>1071</v>
      </c>
      <c r="F591" s="3" t="s">
        <v>2413</v>
      </c>
      <c r="G591" s="3" t="s">
        <v>378</v>
      </c>
      <c r="H591" s="9" t="s">
        <v>2414</v>
      </c>
      <c r="I591" s="14" t="s">
        <v>2415</v>
      </c>
      <c r="J591" s="4">
        <v>1</v>
      </c>
      <c r="K591" s="26" t="s">
        <v>2416</v>
      </c>
    </row>
    <row r="592" spans="1:12" x14ac:dyDescent="0.3">
      <c r="A592" s="661" t="s">
        <v>2417</v>
      </c>
      <c r="B592" s="661"/>
      <c r="C592" s="661"/>
      <c r="D592" s="661"/>
      <c r="E592" s="661"/>
      <c r="F592" s="661"/>
      <c r="G592" s="661"/>
      <c r="H592" s="661"/>
      <c r="I592" s="661"/>
      <c r="J592" s="26">
        <v>1</v>
      </c>
      <c r="K592" s="26"/>
    </row>
    <row r="594" spans="1:12" x14ac:dyDescent="0.3">
      <c r="A594" s="20" t="s">
        <v>2366</v>
      </c>
      <c r="B594" s="20" t="s">
        <v>2393</v>
      </c>
      <c r="C594" s="21" t="s">
        <v>2</v>
      </c>
      <c r="D594" s="21" t="s">
        <v>3</v>
      </c>
      <c r="E594" s="21" t="s">
        <v>2418</v>
      </c>
      <c r="F594" s="21" t="s">
        <v>5</v>
      </c>
      <c r="G594" s="21" t="s">
        <v>6</v>
      </c>
      <c r="H594" s="22" t="s">
        <v>45</v>
      </c>
      <c r="I594" s="21" t="s">
        <v>2419</v>
      </c>
      <c r="J594" s="23" t="s">
        <v>1442</v>
      </c>
      <c r="K594" s="24" t="s">
        <v>2420</v>
      </c>
    </row>
    <row r="595" spans="1:12" x14ac:dyDescent="0.3">
      <c r="A595" s="661" t="s">
        <v>2410</v>
      </c>
      <c r="B595" s="16">
        <v>45469</v>
      </c>
      <c r="C595" s="3" t="s">
        <v>1074</v>
      </c>
      <c r="D595" s="4" t="s">
        <v>25</v>
      </c>
      <c r="E595" s="3" t="s">
        <v>2421</v>
      </c>
      <c r="F595" s="3">
        <v>3307</v>
      </c>
      <c r="G595" s="3" t="s">
        <v>2374</v>
      </c>
      <c r="H595" s="9" t="s">
        <v>2422</v>
      </c>
      <c r="I595" s="14" t="s">
        <v>1077</v>
      </c>
      <c r="J595" s="4">
        <v>1</v>
      </c>
      <c r="K595" s="26" t="s">
        <v>2423</v>
      </c>
    </row>
    <row r="596" spans="1:12" x14ac:dyDescent="0.3">
      <c r="A596" s="661"/>
      <c r="B596" s="16">
        <v>45484</v>
      </c>
      <c r="C596" s="3" t="s">
        <v>2424</v>
      </c>
      <c r="D596" s="4" t="s">
        <v>2425</v>
      </c>
      <c r="E596" s="3" t="s">
        <v>2426</v>
      </c>
      <c r="F596" s="3">
        <v>3307</v>
      </c>
      <c r="G596" s="3" t="s">
        <v>813</v>
      </c>
      <c r="H596" s="9" t="s">
        <v>2427</v>
      </c>
      <c r="I596" s="14" t="s">
        <v>2428</v>
      </c>
      <c r="J596" s="4">
        <v>2</v>
      </c>
      <c r="K596" s="26" t="s">
        <v>2429</v>
      </c>
    </row>
    <row r="597" spans="1:12" x14ac:dyDescent="0.3">
      <c r="A597" s="661"/>
      <c r="B597" s="16">
        <v>45485</v>
      </c>
      <c r="C597" s="3" t="s">
        <v>2430</v>
      </c>
      <c r="D597" s="4" t="s">
        <v>2425</v>
      </c>
      <c r="E597" s="3" t="s">
        <v>2426</v>
      </c>
      <c r="F597" s="3">
        <v>3307</v>
      </c>
      <c r="G597" s="3" t="s">
        <v>2431</v>
      </c>
      <c r="H597" s="9" t="s">
        <v>2432</v>
      </c>
      <c r="I597" s="14" t="s">
        <v>2428</v>
      </c>
      <c r="J597" s="4">
        <v>1</v>
      </c>
      <c r="K597" s="26" t="s">
        <v>2433</v>
      </c>
    </row>
    <row r="598" spans="1:12" x14ac:dyDescent="0.3">
      <c r="A598" s="661"/>
      <c r="B598" s="16">
        <v>45489</v>
      </c>
      <c r="C598" s="3" t="s">
        <v>2430</v>
      </c>
      <c r="D598" s="4" t="s">
        <v>2425</v>
      </c>
      <c r="E598" s="3" t="s">
        <v>2426</v>
      </c>
      <c r="F598" s="3">
        <v>3307</v>
      </c>
      <c r="G598" s="3" t="s">
        <v>2431</v>
      </c>
      <c r="H598" s="9" t="s">
        <v>2434</v>
      </c>
      <c r="I598" s="14" t="s">
        <v>2428</v>
      </c>
      <c r="J598" s="4">
        <v>2</v>
      </c>
      <c r="K598" s="26" t="s">
        <v>2433</v>
      </c>
    </row>
    <row r="599" spans="1:12" x14ac:dyDescent="0.3">
      <c r="A599" s="661"/>
      <c r="B599" s="16">
        <v>45490</v>
      </c>
      <c r="C599" s="3" t="s">
        <v>2430</v>
      </c>
      <c r="D599" s="4" t="s">
        <v>2425</v>
      </c>
      <c r="E599" s="3" t="s">
        <v>2426</v>
      </c>
      <c r="F599" s="3">
        <v>3307</v>
      </c>
      <c r="G599" s="3" t="s">
        <v>2431</v>
      </c>
      <c r="H599" s="9" t="s">
        <v>2434</v>
      </c>
      <c r="I599" s="14" t="s">
        <v>2428</v>
      </c>
      <c r="J599" s="4">
        <v>2</v>
      </c>
      <c r="K599" s="26" t="s">
        <v>2433</v>
      </c>
    </row>
    <row r="600" spans="1:12" x14ac:dyDescent="0.3">
      <c r="A600" s="661"/>
      <c r="B600" s="16">
        <v>45491</v>
      </c>
      <c r="C600" s="3" t="s">
        <v>2430</v>
      </c>
      <c r="D600" s="4" t="s">
        <v>2425</v>
      </c>
      <c r="E600" s="3" t="s">
        <v>2426</v>
      </c>
      <c r="F600" s="3">
        <v>3307</v>
      </c>
      <c r="G600" s="3" t="s">
        <v>2431</v>
      </c>
      <c r="H600" s="9" t="s">
        <v>2434</v>
      </c>
      <c r="I600" s="14" t="s">
        <v>2428</v>
      </c>
      <c r="J600" s="4">
        <v>1</v>
      </c>
      <c r="K600" s="26" t="s">
        <v>2433</v>
      </c>
    </row>
    <row r="601" spans="1:12" x14ac:dyDescent="0.3">
      <c r="A601" s="661" t="s">
        <v>2417</v>
      </c>
      <c r="B601" s="661"/>
      <c r="C601" s="661"/>
      <c r="D601" s="661"/>
      <c r="E601" s="661"/>
      <c r="F601" s="661"/>
      <c r="G601" s="661"/>
      <c r="H601" s="661"/>
      <c r="I601" s="661"/>
      <c r="J601" s="26">
        <v>9</v>
      </c>
      <c r="K601" s="26"/>
    </row>
    <row r="604" spans="1:12" ht="27" x14ac:dyDescent="0.3">
      <c r="A604" s="20" t="s">
        <v>2405</v>
      </c>
      <c r="B604" s="20" t="s">
        <v>2435</v>
      </c>
      <c r="C604" s="21" t="s">
        <v>2</v>
      </c>
      <c r="D604" s="21" t="s">
        <v>3</v>
      </c>
      <c r="E604" s="21" t="s">
        <v>4</v>
      </c>
      <c r="F604" s="21" t="s">
        <v>5</v>
      </c>
      <c r="G604" s="21" t="s">
        <v>6</v>
      </c>
      <c r="H604" s="22" t="s">
        <v>2436</v>
      </c>
      <c r="I604" s="21" t="s">
        <v>2419</v>
      </c>
      <c r="J604" s="23" t="s">
        <v>2408</v>
      </c>
      <c r="K604" s="24" t="s">
        <v>2420</v>
      </c>
      <c r="L604" s="24" t="s">
        <v>2437</v>
      </c>
    </row>
    <row r="605" spans="1:12" ht="40.5" x14ac:dyDescent="0.3">
      <c r="A605" s="207" t="s">
        <v>2438</v>
      </c>
      <c r="B605" s="130">
        <v>45490</v>
      </c>
      <c r="C605" s="4" t="s">
        <v>2439</v>
      </c>
      <c r="D605" s="4" t="s">
        <v>2440</v>
      </c>
      <c r="E605" s="3" t="s">
        <v>2441</v>
      </c>
      <c r="F605" s="3" t="s">
        <v>2442</v>
      </c>
      <c r="G605" s="3" t="s">
        <v>2443</v>
      </c>
      <c r="H605" s="9" t="s">
        <v>2444</v>
      </c>
      <c r="I605" s="14"/>
      <c r="J605" s="9" t="s">
        <v>2445</v>
      </c>
      <c r="K605" s="26" t="s">
        <v>2446</v>
      </c>
      <c r="L605" s="34" t="s">
        <v>2447</v>
      </c>
    </row>
    <row r="606" spans="1:12" x14ac:dyDescent="0.3">
      <c r="A606" s="659" t="s">
        <v>2448</v>
      </c>
      <c r="B606" s="659"/>
      <c r="C606" s="659"/>
      <c r="D606" s="659"/>
      <c r="E606" s="659"/>
      <c r="F606" s="659"/>
      <c r="G606" s="659"/>
      <c r="H606" s="659"/>
      <c r="I606" s="659"/>
      <c r="J606" s="26">
        <v>1</v>
      </c>
      <c r="K606" s="26"/>
      <c r="L606" s="26"/>
    </row>
    <row r="609" spans="1:12" ht="27" x14ac:dyDescent="0.3">
      <c r="A609" s="20" t="s">
        <v>2405</v>
      </c>
      <c r="B609" s="20" t="s">
        <v>2435</v>
      </c>
      <c r="C609" s="21" t="s">
        <v>2</v>
      </c>
      <c r="D609" s="21" t="s">
        <v>3</v>
      </c>
      <c r="E609" s="21" t="s">
        <v>4</v>
      </c>
      <c r="F609" s="21" t="s">
        <v>5</v>
      </c>
      <c r="G609" s="21" t="s">
        <v>6</v>
      </c>
      <c r="H609" s="22" t="s">
        <v>2436</v>
      </c>
      <c r="I609" s="21" t="s">
        <v>2419</v>
      </c>
      <c r="J609" s="23" t="s">
        <v>2408</v>
      </c>
      <c r="K609" s="24" t="s">
        <v>2420</v>
      </c>
    </row>
    <row r="610" spans="1:12" ht="27" x14ac:dyDescent="0.3">
      <c r="A610" s="661" t="s">
        <v>2449</v>
      </c>
      <c r="B610" s="99">
        <v>45477</v>
      </c>
      <c r="C610" s="4" t="s">
        <v>312</v>
      </c>
      <c r="D610" s="4" t="s">
        <v>321</v>
      </c>
      <c r="E610" s="3" t="s">
        <v>411</v>
      </c>
      <c r="F610" s="263" t="s">
        <v>1417</v>
      </c>
      <c r="G610" s="9" t="s">
        <v>2450</v>
      </c>
      <c r="H610" s="9" t="s">
        <v>1431</v>
      </c>
      <c r="I610" s="14" t="s">
        <v>640</v>
      </c>
      <c r="J610" s="4" t="s">
        <v>2451</v>
      </c>
      <c r="K610" s="26" t="s">
        <v>2385</v>
      </c>
      <c r="L610" s="238">
        <v>27</v>
      </c>
    </row>
    <row r="611" spans="1:12" ht="27" x14ac:dyDescent="0.3">
      <c r="A611" s="661"/>
      <c r="B611" s="37">
        <v>45488</v>
      </c>
      <c r="C611" s="4" t="s">
        <v>2439</v>
      </c>
      <c r="D611" s="4" t="s">
        <v>2440</v>
      </c>
      <c r="E611" s="3" t="s">
        <v>2441</v>
      </c>
      <c r="F611" s="3" t="s">
        <v>2442</v>
      </c>
      <c r="G611" s="3" t="s">
        <v>2450</v>
      </c>
      <c r="H611" s="9" t="s">
        <v>2452</v>
      </c>
      <c r="I611" s="14" t="s">
        <v>2453</v>
      </c>
      <c r="J611" s="4" t="s">
        <v>2454</v>
      </c>
      <c r="K611" s="26" t="s">
        <v>2385</v>
      </c>
      <c r="L611" s="238">
        <v>29</v>
      </c>
    </row>
    <row r="612" spans="1:12" x14ac:dyDescent="0.3">
      <c r="A612" s="661"/>
      <c r="B612" s="130">
        <v>45489</v>
      </c>
      <c r="C612" s="4" t="s">
        <v>2439</v>
      </c>
      <c r="D612" s="4" t="s">
        <v>2440</v>
      </c>
      <c r="E612" s="3" t="s">
        <v>2441</v>
      </c>
      <c r="F612" s="3" t="s">
        <v>2442</v>
      </c>
      <c r="G612" s="3" t="s">
        <v>2455</v>
      </c>
      <c r="H612" s="9" t="s">
        <v>2456</v>
      </c>
      <c r="I612" s="14" t="s">
        <v>2453</v>
      </c>
      <c r="J612" s="4" t="s">
        <v>2454</v>
      </c>
      <c r="K612" s="26" t="s">
        <v>2385</v>
      </c>
      <c r="L612" s="238">
        <v>29</v>
      </c>
    </row>
    <row r="613" spans="1:12" x14ac:dyDescent="0.3">
      <c r="A613" s="659" t="s">
        <v>2417</v>
      </c>
      <c r="B613" s="659"/>
      <c r="C613" s="659"/>
      <c r="D613" s="659"/>
      <c r="E613" s="659"/>
      <c r="F613" s="659"/>
      <c r="G613" s="659"/>
      <c r="H613" s="659"/>
      <c r="I613" s="659"/>
      <c r="J613" s="26">
        <v>3</v>
      </c>
      <c r="K613" s="27"/>
    </row>
    <row r="616" spans="1:12" ht="27" x14ac:dyDescent="0.3">
      <c r="A616" s="299" t="s">
        <v>2405</v>
      </c>
      <c r="B616" s="299" t="s">
        <v>2457</v>
      </c>
      <c r="C616" s="300" t="s">
        <v>2</v>
      </c>
      <c r="D616" s="300" t="s">
        <v>3</v>
      </c>
      <c r="E616" s="300" t="s">
        <v>4</v>
      </c>
      <c r="F616" s="300" t="s">
        <v>5</v>
      </c>
      <c r="G616" s="300" t="s">
        <v>6</v>
      </c>
      <c r="H616" s="301" t="s">
        <v>2436</v>
      </c>
      <c r="I616" s="300" t="s">
        <v>2419</v>
      </c>
      <c r="J616" s="302" t="s">
        <v>2408</v>
      </c>
      <c r="K616" s="303" t="s">
        <v>2420</v>
      </c>
    </row>
    <row r="617" spans="1:12" ht="27" x14ac:dyDescent="0.3">
      <c r="A617" s="660" t="s">
        <v>2458</v>
      </c>
      <c r="B617" s="99" t="s">
        <v>2459</v>
      </c>
      <c r="C617" s="133" t="s">
        <v>307</v>
      </c>
      <c r="D617" s="133" t="s">
        <v>323</v>
      </c>
      <c r="E617" s="133" t="s">
        <v>308</v>
      </c>
      <c r="F617" s="207" t="s">
        <v>2460</v>
      </c>
      <c r="G617" s="133" t="s">
        <v>2461</v>
      </c>
      <c r="H617" s="207" t="s">
        <v>2462</v>
      </c>
      <c r="I617" s="133" t="s">
        <v>2463</v>
      </c>
      <c r="J617" s="4">
        <v>2</v>
      </c>
      <c r="K617" s="232" t="s">
        <v>2385</v>
      </c>
      <c r="L617" s="238">
        <v>27</v>
      </c>
    </row>
    <row r="618" spans="1:12" x14ac:dyDescent="0.3">
      <c r="A618" s="660"/>
      <c r="B618" s="99">
        <v>45476</v>
      </c>
      <c r="C618" s="133" t="s">
        <v>307</v>
      </c>
      <c r="D618" s="133" t="s">
        <v>323</v>
      </c>
      <c r="E618" s="133" t="s">
        <v>308</v>
      </c>
      <c r="F618" s="207">
        <v>4267</v>
      </c>
      <c r="G618" s="133" t="s">
        <v>2382</v>
      </c>
      <c r="H618" s="207" t="s">
        <v>2464</v>
      </c>
      <c r="I618" s="133" t="s">
        <v>2463</v>
      </c>
      <c r="J618" s="4">
        <v>1</v>
      </c>
      <c r="K618" s="232" t="s">
        <v>2385</v>
      </c>
      <c r="L618" s="238">
        <v>27</v>
      </c>
    </row>
    <row r="619" spans="1:12" ht="27" x14ac:dyDescent="0.3">
      <c r="A619" s="660"/>
      <c r="B619" s="99" t="s">
        <v>2373</v>
      </c>
      <c r="C619" s="133" t="s">
        <v>307</v>
      </c>
      <c r="D619" s="133" t="s">
        <v>323</v>
      </c>
      <c r="E619" s="133" t="s">
        <v>308</v>
      </c>
      <c r="F619" s="207" t="s">
        <v>2465</v>
      </c>
      <c r="G619" s="133" t="s">
        <v>2466</v>
      </c>
      <c r="H619" s="207" t="s">
        <v>2462</v>
      </c>
      <c r="I619" s="133" t="s">
        <v>2463</v>
      </c>
      <c r="J619" s="4">
        <v>2</v>
      </c>
      <c r="K619" s="232" t="s">
        <v>2385</v>
      </c>
      <c r="L619" s="238">
        <v>27</v>
      </c>
    </row>
    <row r="620" spans="1:12" ht="27" x14ac:dyDescent="0.3">
      <c r="A620" s="660"/>
      <c r="B620" s="99" t="s">
        <v>2467</v>
      </c>
      <c r="C620" s="133" t="s">
        <v>307</v>
      </c>
      <c r="D620" s="133" t="s">
        <v>323</v>
      </c>
      <c r="E620" s="133" t="s">
        <v>308</v>
      </c>
      <c r="F620" s="207" t="s">
        <v>2465</v>
      </c>
      <c r="G620" s="133" t="s">
        <v>2466</v>
      </c>
      <c r="H620" s="207" t="s">
        <v>2462</v>
      </c>
      <c r="I620" s="133" t="s">
        <v>2463</v>
      </c>
      <c r="J620" s="4">
        <v>3</v>
      </c>
      <c r="K620" s="232" t="s">
        <v>2385</v>
      </c>
      <c r="L620" s="238">
        <v>28</v>
      </c>
    </row>
    <row r="621" spans="1:12" ht="27" x14ac:dyDescent="0.3">
      <c r="A621" s="660"/>
      <c r="B621" s="99" t="s">
        <v>2468</v>
      </c>
      <c r="C621" s="133" t="s">
        <v>307</v>
      </c>
      <c r="D621" s="133" t="s">
        <v>323</v>
      </c>
      <c r="E621" s="133" t="s">
        <v>308</v>
      </c>
      <c r="F621" s="207" t="s">
        <v>2460</v>
      </c>
      <c r="G621" s="133" t="s">
        <v>2461</v>
      </c>
      <c r="H621" s="207" t="s">
        <v>2462</v>
      </c>
      <c r="I621" s="133" t="s">
        <v>2463</v>
      </c>
      <c r="J621" s="4">
        <v>2</v>
      </c>
      <c r="K621" s="232" t="s">
        <v>2385</v>
      </c>
      <c r="L621" s="238">
        <v>28</v>
      </c>
    </row>
    <row r="622" spans="1:12" ht="27" x14ac:dyDescent="0.3">
      <c r="A622" s="660"/>
      <c r="B622" s="130" t="s">
        <v>2469</v>
      </c>
      <c r="C622" s="216" t="s">
        <v>307</v>
      </c>
      <c r="D622" s="216" t="s">
        <v>323</v>
      </c>
      <c r="E622" s="216" t="s">
        <v>308</v>
      </c>
      <c r="F622" s="217" t="s">
        <v>2465</v>
      </c>
      <c r="G622" s="216" t="s">
        <v>2466</v>
      </c>
      <c r="H622" s="217" t="s">
        <v>2470</v>
      </c>
      <c r="I622" s="216" t="s">
        <v>2463</v>
      </c>
      <c r="J622" s="4">
        <v>3</v>
      </c>
      <c r="K622" s="232" t="s">
        <v>2385</v>
      </c>
      <c r="L622" s="238">
        <v>29</v>
      </c>
    </row>
    <row r="623" spans="1:12" ht="27" x14ac:dyDescent="0.3">
      <c r="A623" s="660"/>
      <c r="B623" s="130" t="s">
        <v>2471</v>
      </c>
      <c r="C623" s="216" t="s">
        <v>307</v>
      </c>
      <c r="D623" s="216" t="s">
        <v>323</v>
      </c>
      <c r="E623" s="216" t="s">
        <v>308</v>
      </c>
      <c r="F623" s="207" t="s">
        <v>2460</v>
      </c>
      <c r="G623" s="133" t="s">
        <v>2461</v>
      </c>
      <c r="H623" s="207" t="s">
        <v>2462</v>
      </c>
      <c r="I623" s="216" t="s">
        <v>2463</v>
      </c>
      <c r="J623" s="4">
        <v>2</v>
      </c>
      <c r="K623" s="232" t="s">
        <v>2385</v>
      </c>
      <c r="L623" s="238">
        <v>29</v>
      </c>
    </row>
    <row r="624" spans="1:12" ht="27" x14ac:dyDescent="0.3">
      <c r="A624" s="660"/>
      <c r="B624" s="99" t="s">
        <v>2472</v>
      </c>
      <c r="C624" s="133" t="s">
        <v>307</v>
      </c>
      <c r="D624" s="133" t="s">
        <v>323</v>
      </c>
      <c r="E624" s="133" t="s">
        <v>308</v>
      </c>
      <c r="F624" s="207" t="s">
        <v>2473</v>
      </c>
      <c r="G624" s="216" t="s">
        <v>2466</v>
      </c>
      <c r="H624" s="207" t="s">
        <v>2462</v>
      </c>
      <c r="I624" s="216" t="s">
        <v>2463</v>
      </c>
      <c r="J624" s="4">
        <v>3</v>
      </c>
      <c r="K624" s="232" t="s">
        <v>2385</v>
      </c>
      <c r="L624" s="238">
        <v>30</v>
      </c>
    </row>
    <row r="625" spans="1:12" ht="27" x14ac:dyDescent="0.3">
      <c r="A625" s="660"/>
      <c r="B625" s="99" t="s">
        <v>2474</v>
      </c>
      <c r="C625" s="133" t="s">
        <v>307</v>
      </c>
      <c r="D625" s="133" t="s">
        <v>323</v>
      </c>
      <c r="E625" s="133" t="s">
        <v>308</v>
      </c>
      <c r="F625" s="207" t="s">
        <v>2475</v>
      </c>
      <c r="G625" s="133" t="s">
        <v>2382</v>
      </c>
      <c r="H625" s="207" t="s">
        <v>2462</v>
      </c>
      <c r="I625" s="216" t="s">
        <v>2463</v>
      </c>
      <c r="J625" s="4">
        <v>2</v>
      </c>
      <c r="K625" s="232" t="s">
        <v>2385</v>
      </c>
      <c r="L625" s="238">
        <v>30</v>
      </c>
    </row>
    <row r="626" spans="1:12" ht="27" x14ac:dyDescent="0.3">
      <c r="A626" s="660"/>
      <c r="B626" s="99" t="s">
        <v>2476</v>
      </c>
      <c r="C626" s="133" t="s">
        <v>307</v>
      </c>
      <c r="D626" s="133" t="s">
        <v>323</v>
      </c>
      <c r="E626" s="133" t="s">
        <v>308</v>
      </c>
      <c r="F626" s="207" t="s">
        <v>2477</v>
      </c>
      <c r="G626" s="133" t="s">
        <v>2478</v>
      </c>
      <c r="H626" s="207" t="s">
        <v>2462</v>
      </c>
      <c r="I626" s="133" t="s">
        <v>2463</v>
      </c>
      <c r="J626" s="4">
        <v>3</v>
      </c>
      <c r="K626" s="232" t="s">
        <v>2385</v>
      </c>
      <c r="L626" s="238">
        <v>31</v>
      </c>
    </row>
    <row r="627" spans="1:12" x14ac:dyDescent="0.3">
      <c r="A627" s="659" t="s">
        <v>2417</v>
      </c>
      <c r="B627" s="659"/>
      <c r="C627" s="659"/>
      <c r="D627" s="659"/>
      <c r="E627" s="659"/>
      <c r="F627" s="659"/>
      <c r="G627" s="659"/>
      <c r="H627" s="659"/>
      <c r="I627" s="659"/>
      <c r="J627" s="34">
        <v>23</v>
      </c>
      <c r="K627" s="61"/>
    </row>
  </sheetData>
  <autoFilter ref="A349:L357"/>
  <mergeCells count="296">
    <mergeCell ref="A613:I613"/>
    <mergeCell ref="A617:A626"/>
    <mergeCell ref="A627:I627"/>
    <mergeCell ref="A575:A581"/>
    <mergeCell ref="A582:I582"/>
    <mergeCell ref="A586:A587"/>
    <mergeCell ref="A588:I588"/>
    <mergeCell ref="A592:I592"/>
    <mergeCell ref="A595:A600"/>
    <mergeCell ref="A601:I601"/>
    <mergeCell ref="A606:I606"/>
    <mergeCell ref="A610:A612"/>
    <mergeCell ref="J494:J495"/>
    <mergeCell ref="A493:A499"/>
    <mergeCell ref="B494:B495"/>
    <mergeCell ref="A479:I479"/>
    <mergeCell ref="A482:A486"/>
    <mergeCell ref="A487:I487"/>
    <mergeCell ref="A500:I500"/>
    <mergeCell ref="C494:C495"/>
    <mergeCell ref="D494:D495"/>
    <mergeCell ref="E494:E495"/>
    <mergeCell ref="F494:F495"/>
    <mergeCell ref="G494:G495"/>
    <mergeCell ref="H494:H495"/>
    <mergeCell ref="I494:I495"/>
    <mergeCell ref="J468:J469"/>
    <mergeCell ref="K468:K469"/>
    <mergeCell ref="L468:L469"/>
    <mergeCell ref="A472:I472"/>
    <mergeCell ref="A476:A478"/>
    <mergeCell ref="B476:B477"/>
    <mergeCell ref="C476:C477"/>
    <mergeCell ref="D476:D477"/>
    <mergeCell ref="E476:E477"/>
    <mergeCell ref="F476:F477"/>
    <mergeCell ref="G476:G477"/>
    <mergeCell ref="I476:I477"/>
    <mergeCell ref="J476:J477"/>
    <mergeCell ref="K476:K477"/>
    <mergeCell ref="L476:L477"/>
    <mergeCell ref="J463:J464"/>
    <mergeCell ref="K463:K464"/>
    <mergeCell ref="L463:L464"/>
    <mergeCell ref="B465:B466"/>
    <mergeCell ref="C465:C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A450:I450"/>
    <mergeCell ref="A456:A458"/>
    <mergeCell ref="A459:I459"/>
    <mergeCell ref="A462:A471"/>
    <mergeCell ref="B463:B464"/>
    <mergeCell ref="C463:C464"/>
    <mergeCell ref="D463:D464"/>
    <mergeCell ref="E463:E464"/>
    <mergeCell ref="F463:F464"/>
    <mergeCell ref="G463:G464"/>
    <mergeCell ref="I463:I464"/>
    <mergeCell ref="B468:B469"/>
    <mergeCell ref="C468:C469"/>
    <mergeCell ref="D468:D469"/>
    <mergeCell ref="E468:E469"/>
    <mergeCell ref="F468:F469"/>
    <mergeCell ref="G468:G469"/>
    <mergeCell ref="I468:I469"/>
    <mergeCell ref="J438:J439"/>
    <mergeCell ref="K438:K439"/>
    <mergeCell ref="L438:L439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K440:K441"/>
    <mergeCell ref="L440:L441"/>
    <mergeCell ref="A423:I423"/>
    <mergeCell ref="A427:A430"/>
    <mergeCell ref="A431:I431"/>
    <mergeCell ref="A433:A434"/>
    <mergeCell ref="A435:I435"/>
    <mergeCell ref="A438:A449"/>
    <mergeCell ref="C438:C439"/>
    <mergeCell ref="D438:D439"/>
    <mergeCell ref="E438:E439"/>
    <mergeCell ref="F438:F439"/>
    <mergeCell ref="G438:G439"/>
    <mergeCell ref="H438:H439"/>
    <mergeCell ref="I438:I439"/>
    <mergeCell ref="J418:J419"/>
    <mergeCell ref="K418:K419"/>
    <mergeCell ref="L418:L419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L420:L421"/>
    <mergeCell ref="A414:I414"/>
    <mergeCell ref="A417:A422"/>
    <mergeCell ref="C418:C419"/>
    <mergeCell ref="D418:D419"/>
    <mergeCell ref="E418:E419"/>
    <mergeCell ref="F418:F419"/>
    <mergeCell ref="G418:G419"/>
    <mergeCell ref="H418:H419"/>
    <mergeCell ref="I418:I419"/>
    <mergeCell ref="J405:J406"/>
    <mergeCell ref="K405:K406"/>
    <mergeCell ref="L405:L406"/>
    <mergeCell ref="A409:I409"/>
    <mergeCell ref="A412:A413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L412:L413"/>
    <mergeCell ref="A397:A400"/>
    <mergeCell ref="A401:I401"/>
    <mergeCell ref="A405:A408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L381:L382"/>
    <mergeCell ref="B381:B382"/>
    <mergeCell ref="C381:C382"/>
    <mergeCell ref="D381:D382"/>
    <mergeCell ref="F381:F382"/>
    <mergeCell ref="G381:G382"/>
    <mergeCell ref="H381:H382"/>
    <mergeCell ref="I381:I382"/>
    <mergeCell ref="J381:J382"/>
    <mergeCell ref="K381:K382"/>
    <mergeCell ref="A373:A377"/>
    <mergeCell ref="A378:J378"/>
    <mergeCell ref="A112:I112"/>
    <mergeCell ref="A64:I64"/>
    <mergeCell ref="A70:I70"/>
    <mergeCell ref="A92:I92"/>
    <mergeCell ref="A97:A100"/>
    <mergeCell ref="A101:I101"/>
    <mergeCell ref="A76:A77"/>
    <mergeCell ref="A78:I78"/>
    <mergeCell ref="A82:A85"/>
    <mergeCell ref="A86:I86"/>
    <mergeCell ref="B107:B108"/>
    <mergeCell ref="A106:A111"/>
    <mergeCell ref="A68:A69"/>
    <mergeCell ref="A220:A225"/>
    <mergeCell ref="A226:I226"/>
    <mergeCell ref="A229:A235"/>
    <mergeCell ref="A236:I236"/>
    <mergeCell ref="A183:I183"/>
    <mergeCell ref="A173:A182"/>
    <mergeCell ref="A203:I203"/>
    <mergeCell ref="A207:A213"/>
    <mergeCell ref="A214:I214"/>
    <mergeCell ref="I129:I130"/>
    <mergeCell ref="A5:A20"/>
    <mergeCell ref="A48:I48"/>
    <mergeCell ref="A54:I54"/>
    <mergeCell ref="A35:I35"/>
    <mergeCell ref="A30:A34"/>
    <mergeCell ref="A42:I42"/>
    <mergeCell ref="A21:I21"/>
    <mergeCell ref="A26:I26"/>
    <mergeCell ref="A39:A41"/>
    <mergeCell ref="A52:A53"/>
    <mergeCell ref="A271:I271"/>
    <mergeCell ref="H266:H268"/>
    <mergeCell ref="A265:A270"/>
    <mergeCell ref="B61:B63"/>
    <mergeCell ref="A58:A63"/>
    <mergeCell ref="J129:J130"/>
    <mergeCell ref="B133:B134"/>
    <mergeCell ref="J133:J134"/>
    <mergeCell ref="I133:I134"/>
    <mergeCell ref="A167:I167"/>
    <mergeCell ref="A142:A144"/>
    <mergeCell ref="B142:B143"/>
    <mergeCell ref="A126:A136"/>
    <mergeCell ref="A149:A153"/>
    <mergeCell ref="B129:B130"/>
    <mergeCell ref="A137:I137"/>
    <mergeCell ref="A145:I145"/>
    <mergeCell ref="B150:B151"/>
    <mergeCell ref="A163:I163"/>
    <mergeCell ref="A154:I154"/>
    <mergeCell ref="A158:A162"/>
    <mergeCell ref="B119:B120"/>
    <mergeCell ref="A121:I121"/>
    <mergeCell ref="A119:A120"/>
    <mergeCell ref="A314:I314"/>
    <mergeCell ref="A318:A320"/>
    <mergeCell ref="A321:I321"/>
    <mergeCell ref="B189:B190"/>
    <mergeCell ref="B191:B192"/>
    <mergeCell ref="A199:A202"/>
    <mergeCell ref="A189:A192"/>
    <mergeCell ref="A193:I193"/>
    <mergeCell ref="A301:A304"/>
    <mergeCell ref="A305:I305"/>
    <mergeCell ref="A309:I309"/>
    <mergeCell ref="A312:A313"/>
    <mergeCell ref="A257:I257"/>
    <mergeCell ref="A240:A243"/>
    <mergeCell ref="A244:I244"/>
    <mergeCell ref="A247:A249"/>
    <mergeCell ref="A250:I250"/>
    <mergeCell ref="A253:A256"/>
    <mergeCell ref="A279:A283"/>
    <mergeCell ref="A288:A295"/>
    <mergeCell ref="A296:I296"/>
    <mergeCell ref="A275:I275"/>
    <mergeCell ref="A260:A261"/>
    <mergeCell ref="A262:I262"/>
    <mergeCell ref="A343:A346"/>
    <mergeCell ref="C343:C344"/>
    <mergeCell ref="D343:D344"/>
    <mergeCell ref="E343:E344"/>
    <mergeCell ref="F343:F344"/>
    <mergeCell ref="A325:A329"/>
    <mergeCell ref="A330:I330"/>
    <mergeCell ref="A333:A337"/>
    <mergeCell ref="A338:I338"/>
    <mergeCell ref="K494:K495"/>
    <mergeCell ref="A394:I394"/>
    <mergeCell ref="A364:A369"/>
    <mergeCell ref="A370:I370"/>
    <mergeCell ref="A347:I347"/>
    <mergeCell ref="A350:A356"/>
    <mergeCell ref="A357:I357"/>
    <mergeCell ref="A361:I361"/>
    <mergeCell ref="L343:L344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L345:L346"/>
    <mergeCell ref="G343:G344"/>
    <mergeCell ref="H343:H344"/>
    <mergeCell ref="I343:I344"/>
    <mergeCell ref="J343:J344"/>
    <mergeCell ref="K343:K344"/>
    <mergeCell ref="A506:A510"/>
    <mergeCell ref="A511:I511"/>
    <mergeCell ref="A515:A521"/>
    <mergeCell ref="A522:I522"/>
    <mergeCell ref="A528:I528"/>
    <mergeCell ref="A532:A534"/>
    <mergeCell ref="A535:I535"/>
    <mergeCell ref="A540:I540"/>
    <mergeCell ref="A544:A545"/>
    <mergeCell ref="J569:J570"/>
    <mergeCell ref="K569:K570"/>
    <mergeCell ref="A546:I546"/>
    <mergeCell ref="A550:I550"/>
    <mergeCell ref="A554:A564"/>
    <mergeCell ref="A565:I565"/>
    <mergeCell ref="C569:C570"/>
    <mergeCell ref="D569:D570"/>
    <mergeCell ref="E569:E570"/>
    <mergeCell ref="F569:F570"/>
    <mergeCell ref="G569:G570"/>
    <mergeCell ref="H569:H570"/>
    <mergeCell ref="I569:I570"/>
  </mergeCells>
  <phoneticPr fontId="2" type="noConversion"/>
  <pageMargins left="0.7" right="0.7" top="0.75" bottom="0.75" header="0.3" footer="0.3"/>
  <pageSetup paperSize="9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56"/>
  <sheetViews>
    <sheetView topLeftCell="A2" zoomScale="85" zoomScaleNormal="85" zoomScaleSheetLayoutView="55" workbookViewId="0">
      <selection activeCell="B36" sqref="B36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5165</v>
      </c>
      <c r="B2" s="713" t="s">
        <v>1</v>
      </c>
      <c r="C2" s="713" t="s">
        <v>2</v>
      </c>
      <c r="D2" s="713" t="s">
        <v>3</v>
      </c>
      <c r="E2" s="462" t="s">
        <v>2636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1733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20</v>
      </c>
      <c r="B4" s="439">
        <v>46063</v>
      </c>
      <c r="C4" s="4" t="s">
        <v>125</v>
      </c>
      <c r="D4" s="4" t="s">
        <v>152</v>
      </c>
      <c r="E4" s="4" t="s">
        <v>308</v>
      </c>
      <c r="F4" s="207" t="s">
        <v>2986</v>
      </c>
      <c r="G4" s="17" t="s">
        <v>5166</v>
      </c>
      <c r="H4" s="441" t="s">
        <v>5167</v>
      </c>
      <c r="I4" s="4" t="s">
        <v>169</v>
      </c>
      <c r="J4" s="4" t="s">
        <v>5169</v>
      </c>
      <c r="K4" s="4"/>
      <c r="L4" s="103">
        <v>500000</v>
      </c>
      <c r="M4" s="6" t="s">
        <v>5168</v>
      </c>
    </row>
    <row r="5" spans="1:20" ht="27.75" customHeight="1" x14ac:dyDescent="0.3">
      <c r="A5" s="521"/>
      <c r="B5" s="439"/>
      <c r="C5" s="4"/>
      <c r="D5" s="4"/>
      <c r="E5" s="4"/>
      <c r="F5" s="207"/>
      <c r="G5" s="17"/>
      <c r="H5" s="441"/>
      <c r="I5" s="4"/>
      <c r="J5" s="4"/>
      <c r="K5" s="4"/>
      <c r="L5" s="103"/>
      <c r="M5" s="6"/>
      <c r="P5" s="462"/>
      <c r="Q5" s="462" t="s">
        <v>20</v>
      </c>
      <c r="R5" s="462" t="s">
        <v>21</v>
      </c>
      <c r="S5" s="462" t="s">
        <v>3504</v>
      </c>
      <c r="T5" s="462" t="s">
        <v>3505</v>
      </c>
    </row>
    <row r="6" spans="1:20" ht="27.75" customHeight="1" x14ac:dyDescent="0.3">
      <c r="A6" s="521"/>
      <c r="B6" s="439"/>
      <c r="C6" s="4"/>
      <c r="D6" s="4"/>
      <c r="E6" s="4"/>
      <c r="F6" s="155"/>
      <c r="G6" s="17"/>
      <c r="H6" s="441"/>
      <c r="I6" s="4"/>
      <c r="J6" s="4"/>
      <c r="K6" s="4"/>
      <c r="L6" s="103"/>
      <c r="M6" s="6"/>
      <c r="P6" s="34" t="s">
        <v>5142</v>
      </c>
      <c r="Q6" s="442"/>
      <c r="R6" s="438">
        <v>1000000</v>
      </c>
      <c r="S6" s="438"/>
      <c r="T6" s="438">
        <f>SUM(Q6:S6)</f>
        <v>1000000</v>
      </c>
    </row>
    <row r="7" spans="1:20" ht="27.75" customHeight="1" x14ac:dyDescent="0.3">
      <c r="A7" s="521"/>
      <c r="B7" s="439"/>
      <c r="C7" s="4"/>
      <c r="D7" s="4"/>
      <c r="E7" s="4"/>
      <c r="F7" s="207"/>
      <c r="G7" s="17"/>
      <c r="H7" s="441"/>
      <c r="I7" s="4"/>
      <c r="J7" s="4"/>
      <c r="K7" s="4"/>
      <c r="L7" s="103"/>
      <c r="M7" s="6"/>
      <c r="P7" s="34" t="s">
        <v>3349</v>
      </c>
      <c r="Q7" s="442">
        <v>3750000</v>
      </c>
      <c r="R7" s="438">
        <v>1550000</v>
      </c>
      <c r="S7" s="438">
        <v>300000</v>
      </c>
      <c r="T7" s="438">
        <f>SUM(Q7:S7)</f>
        <v>5600000</v>
      </c>
    </row>
    <row r="8" spans="1:20" ht="27.75" customHeight="1" x14ac:dyDescent="0.3">
      <c r="A8" s="521"/>
      <c r="B8" s="439"/>
      <c r="C8" s="4"/>
      <c r="D8" s="4"/>
      <c r="E8" s="4"/>
      <c r="F8" s="207"/>
      <c r="G8" s="17"/>
      <c r="H8" s="441"/>
      <c r="I8" s="4"/>
      <c r="J8" s="4"/>
      <c r="K8" s="4"/>
      <c r="L8" s="103"/>
      <c r="M8" s="6"/>
      <c r="P8" s="456" t="s">
        <v>53</v>
      </c>
      <c r="Q8" s="457">
        <f>SUM(Q6:Q7)</f>
        <v>3750000</v>
      </c>
      <c r="R8" s="457">
        <f t="shared" ref="R8:S8" si="0">SUM(R6:R7)</f>
        <v>2550000</v>
      </c>
      <c r="S8" s="457">
        <f t="shared" si="0"/>
        <v>300000</v>
      </c>
      <c r="T8" s="457">
        <f>SUM(T6:T7)</f>
        <v>6600000</v>
      </c>
    </row>
    <row r="9" spans="1:20" ht="26.25" customHeight="1" x14ac:dyDescent="0.3">
      <c r="A9" s="521"/>
      <c r="B9" s="521" t="s">
        <v>1139</v>
      </c>
      <c r="C9" s="521"/>
      <c r="D9" s="521"/>
      <c r="E9" s="521"/>
      <c r="F9" s="521"/>
      <c r="G9" s="521"/>
      <c r="H9" s="521"/>
      <c r="I9" s="521"/>
      <c r="J9" s="521"/>
      <c r="K9" s="521"/>
      <c r="L9" s="103">
        <f>SUM(L4:L8)</f>
        <v>500000</v>
      </c>
      <c r="M9" s="49"/>
    </row>
    <row r="10" spans="1:20" ht="25.5" customHeight="1" x14ac:dyDescent="0.3">
      <c r="A10" s="531" t="s">
        <v>21</v>
      </c>
      <c r="B10" s="439"/>
      <c r="C10" s="4"/>
      <c r="D10" s="4"/>
      <c r="E10" s="334"/>
      <c r="F10" s="207"/>
      <c r="G10" s="17"/>
      <c r="H10" s="207"/>
      <c r="I10" s="34"/>
      <c r="J10" s="34"/>
      <c r="K10" s="133"/>
      <c r="L10" s="100"/>
      <c r="M10" s="6"/>
    </row>
    <row r="11" spans="1:20" ht="25.5" customHeight="1" x14ac:dyDescent="0.3">
      <c r="A11" s="532"/>
      <c r="B11" s="439"/>
      <c r="C11" s="4"/>
      <c r="D11" s="4"/>
      <c r="E11" s="34"/>
      <c r="F11" s="34"/>
      <c r="G11" s="17"/>
      <c r="H11" s="207"/>
      <c r="I11" s="34"/>
      <c r="J11" s="34"/>
      <c r="K11" s="133"/>
      <c r="L11" s="100"/>
      <c r="M11" s="6"/>
    </row>
    <row r="12" spans="1:20" ht="25.5" customHeight="1" x14ac:dyDescent="0.3">
      <c r="A12" s="532"/>
      <c r="B12" s="439"/>
      <c r="C12" s="4"/>
      <c r="D12" s="4"/>
      <c r="E12" s="34"/>
      <c r="F12" s="34"/>
      <c r="G12" s="17"/>
      <c r="H12" s="334"/>
      <c r="I12" s="34"/>
      <c r="J12" s="34"/>
      <c r="K12" s="133"/>
      <c r="L12" s="100"/>
      <c r="M12" s="6"/>
    </row>
    <row r="13" spans="1:20" ht="25.5" customHeight="1" x14ac:dyDescent="0.3">
      <c r="A13" s="532"/>
      <c r="B13" s="439"/>
      <c r="C13" s="4"/>
      <c r="D13" s="4"/>
      <c r="E13" s="207"/>
      <c r="F13" s="34"/>
      <c r="G13" s="17"/>
      <c r="H13" s="334"/>
      <c r="I13" s="34"/>
      <c r="J13" s="207"/>
      <c r="K13" s="133"/>
      <c r="L13" s="100"/>
      <c r="M13" s="6"/>
    </row>
    <row r="14" spans="1:20" ht="25.5" customHeight="1" x14ac:dyDescent="0.3">
      <c r="A14" s="532"/>
      <c r="B14" s="439"/>
      <c r="C14" s="4"/>
      <c r="D14" s="4"/>
      <c r="E14" s="207"/>
      <c r="F14" s="310"/>
      <c r="G14" s="505"/>
      <c r="H14" s="207"/>
      <c r="I14" s="34"/>
      <c r="J14" s="207"/>
      <c r="K14" s="133"/>
      <c r="L14" s="100"/>
      <c r="M14" s="6"/>
    </row>
    <row r="15" spans="1:20" ht="25.5" customHeight="1" x14ac:dyDescent="0.3">
      <c r="A15" s="532"/>
      <c r="B15" s="439"/>
      <c r="C15" s="4"/>
      <c r="D15" s="4"/>
      <c r="E15" s="334"/>
      <c r="F15" s="34"/>
      <c r="G15" s="17"/>
      <c r="H15" s="334"/>
      <c r="I15" s="34"/>
      <c r="J15" s="34"/>
      <c r="K15" s="133"/>
      <c r="L15" s="100"/>
      <c r="M15" s="6"/>
    </row>
    <row r="16" spans="1:20" ht="25.5" customHeight="1" x14ac:dyDescent="0.3">
      <c r="A16" s="532"/>
      <c r="B16" s="439"/>
      <c r="C16" s="4"/>
      <c r="D16" s="4"/>
      <c r="E16" s="310"/>
      <c r="F16" s="34"/>
      <c r="G16" s="17"/>
      <c r="H16" s="207"/>
      <c r="I16" s="34"/>
      <c r="J16" s="34"/>
      <c r="K16" s="133"/>
      <c r="L16" s="100"/>
      <c r="M16" s="6"/>
    </row>
    <row r="17" spans="1:27" ht="25.5" customHeight="1" x14ac:dyDescent="0.3">
      <c r="A17" s="533"/>
      <c r="B17" s="715" t="s">
        <v>1138</v>
      </c>
      <c r="C17" s="716"/>
      <c r="D17" s="716"/>
      <c r="E17" s="716"/>
      <c r="F17" s="716"/>
      <c r="G17" s="716"/>
      <c r="H17" s="716"/>
      <c r="I17" s="716"/>
      <c r="J17" s="716"/>
      <c r="K17" s="717"/>
      <c r="L17" s="103">
        <f>SUM(L10:L16)</f>
        <v>0</v>
      </c>
      <c r="M17" s="49"/>
      <c r="P17" s="18"/>
      <c r="Q17" s="18"/>
      <c r="R17" s="18"/>
      <c r="S17" s="18"/>
      <c r="T17" s="18"/>
    </row>
    <row r="18" spans="1:27" ht="25.5" customHeight="1" x14ac:dyDescent="0.3">
      <c r="A18" s="718" t="s">
        <v>62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403">
        <f>L9+L17</f>
        <v>500000</v>
      </c>
      <c r="M18" s="42"/>
      <c r="P18" s="18"/>
      <c r="Q18" s="18"/>
      <c r="R18" s="18"/>
      <c r="S18" s="18"/>
      <c r="T18" s="18"/>
    </row>
    <row r="19" spans="1:27" ht="26.25" customHeight="1" x14ac:dyDescent="0.3">
      <c r="P19" s="18"/>
      <c r="Q19" s="18"/>
      <c r="R19" s="18"/>
      <c r="S19" s="18"/>
      <c r="T19" s="18"/>
      <c r="U19" s="18"/>
    </row>
    <row r="20" spans="1:27" ht="26.25" customHeight="1" x14ac:dyDescent="0.3">
      <c r="O20" s="18"/>
      <c r="P20" s="18"/>
      <c r="Q20" s="18"/>
      <c r="R20" s="18"/>
      <c r="S20" s="18"/>
      <c r="T20" s="18"/>
      <c r="U20" s="18"/>
    </row>
    <row r="21" spans="1:27" ht="26.25" customHeight="1" x14ac:dyDescent="0.3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7"/>
      <c r="L21" s="418"/>
      <c r="M21" s="419"/>
      <c r="O21" s="18"/>
      <c r="P21" s="18"/>
      <c r="Q21" s="18"/>
      <c r="R21" s="18"/>
      <c r="S21" s="18"/>
      <c r="T21" s="18"/>
      <c r="U21" s="18"/>
    </row>
    <row r="22" spans="1:27" ht="26.25" hidden="1" customHeight="1" x14ac:dyDescent="0.3"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7" ht="25.5" hidden="1" customHeight="1" x14ac:dyDescent="0.3">
      <c r="B23" s="158" t="s">
        <v>1147</v>
      </c>
      <c r="C23" s="159"/>
      <c r="D23" s="159"/>
      <c r="E23" s="159"/>
      <c r="F23" s="159"/>
      <c r="G23" s="159"/>
      <c r="H23" s="159"/>
      <c r="I23" s="159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 x14ac:dyDescent="0.3">
      <c r="B24" s="160" t="s">
        <v>1143</v>
      </c>
      <c r="C24" s="161">
        <v>45282</v>
      </c>
      <c r="D24" s="159" t="s">
        <v>1154</v>
      </c>
      <c r="E24" s="159"/>
      <c r="F24" s="159"/>
      <c r="G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25.5" hidden="1" customHeight="1" x14ac:dyDescent="0.3">
      <c r="B25" s="160" t="s">
        <v>1144</v>
      </c>
      <c r="C25" s="161">
        <v>45282</v>
      </c>
      <c r="D25" s="159" t="s">
        <v>1146</v>
      </c>
      <c r="E25" s="159"/>
      <c r="F25" s="159"/>
      <c r="G25" s="159"/>
      <c r="H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 x14ac:dyDescent="0.3">
      <c r="B26" s="160" t="s">
        <v>1148</v>
      </c>
      <c r="C26" s="162" t="s">
        <v>1145</v>
      </c>
      <c r="D26" s="159" t="s">
        <v>1155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0.100000000000001" hidden="1" customHeight="1" x14ac:dyDescent="0.3">
      <c r="B27" s="159"/>
      <c r="C27" s="159" t="s">
        <v>1149</v>
      </c>
      <c r="D27" s="159"/>
      <c r="E27" s="159"/>
      <c r="F27" s="159"/>
      <c r="G27" s="159"/>
      <c r="H27" s="159"/>
      <c r="I27" s="159"/>
      <c r="N27" t="s">
        <v>3557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6.5" hidden="1" customHeight="1" x14ac:dyDescent="0.3">
      <c r="O28" s="18"/>
      <c r="P28" s="18"/>
      <c r="Q28" s="18"/>
      <c r="R28" s="18"/>
      <c r="S28" s="18"/>
      <c r="T28" s="18"/>
      <c r="V28" s="18"/>
      <c r="W28" s="18"/>
      <c r="X28" s="18"/>
      <c r="Y28" s="18"/>
      <c r="Z28" s="18"/>
      <c r="AA28" s="18"/>
    </row>
    <row r="29" spans="1:27" ht="20.100000000000001" hidden="1" customHeight="1" x14ac:dyDescent="0.3">
      <c r="J29" s="159"/>
      <c r="O29" s="18"/>
      <c r="V29" s="18"/>
      <c r="W29" s="18"/>
      <c r="X29" s="18"/>
      <c r="Y29" s="18"/>
      <c r="Z29" s="18"/>
      <c r="AA29" s="18"/>
    </row>
    <row r="30" spans="1:27" x14ac:dyDescent="0.3">
      <c r="V30" s="18"/>
      <c r="W30" s="18"/>
      <c r="X30" s="18"/>
      <c r="Y30" s="18"/>
      <c r="Z30" s="18"/>
      <c r="AA30" s="18"/>
    </row>
    <row r="31" spans="1:27" x14ac:dyDescent="0.3">
      <c r="N31" s="18"/>
    </row>
    <row r="32" spans="1:27" ht="28.5" customHeight="1" x14ac:dyDescent="0.3">
      <c r="A32" s="345" t="s">
        <v>0</v>
      </c>
      <c r="B32" s="346" t="s">
        <v>1</v>
      </c>
      <c r="C32" s="345" t="s">
        <v>2</v>
      </c>
      <c r="D32" s="345" t="s">
        <v>3</v>
      </c>
      <c r="E32" s="345" t="s">
        <v>4</v>
      </c>
      <c r="F32" s="345" t="s">
        <v>5</v>
      </c>
      <c r="G32" s="345" t="s">
        <v>6</v>
      </c>
      <c r="H32" s="347" t="s">
        <v>7</v>
      </c>
      <c r="I32" s="345" t="s">
        <v>8</v>
      </c>
      <c r="J32" s="345" t="s">
        <v>9</v>
      </c>
      <c r="K32" s="348" t="s">
        <v>10</v>
      </c>
      <c r="L32" s="345" t="s">
        <v>12</v>
      </c>
      <c r="M32" s="345" t="s">
        <v>63</v>
      </c>
      <c r="N32" s="18"/>
    </row>
    <row r="33" spans="1:21" ht="33" customHeight="1" x14ac:dyDescent="0.3">
      <c r="A33" s="517"/>
      <c r="B33" s="439"/>
      <c r="C33" s="4"/>
      <c r="D33" s="4"/>
      <c r="E33" s="310"/>
      <c r="F33" s="34"/>
      <c r="G33" s="17"/>
      <c r="H33" s="207"/>
      <c r="I33" s="34"/>
      <c r="J33" s="207"/>
      <c r="K33" s="133"/>
      <c r="L33" s="17"/>
      <c r="M33" s="504"/>
    </row>
    <row r="34" spans="1:21" ht="33" customHeight="1" x14ac:dyDescent="0.3">
      <c r="A34" s="518"/>
      <c r="B34" s="445"/>
      <c r="C34" s="4"/>
      <c r="D34" s="4"/>
      <c r="E34" s="207"/>
      <c r="F34" s="34"/>
      <c r="G34" s="17"/>
      <c r="H34" s="334"/>
      <c r="I34" s="34"/>
      <c r="J34" s="207"/>
      <c r="K34" s="133"/>
      <c r="L34" s="17"/>
      <c r="M34" s="504"/>
    </row>
    <row r="35" spans="1:21" ht="33" customHeight="1" x14ac:dyDescent="0.3">
      <c r="A35" s="518"/>
      <c r="B35" s="439"/>
      <c r="C35" s="4"/>
      <c r="D35" s="4"/>
      <c r="E35" s="310"/>
      <c r="F35" s="34"/>
      <c r="G35" s="17"/>
      <c r="H35" s="207"/>
      <c r="I35" s="34"/>
      <c r="J35" s="207"/>
      <c r="K35" s="133"/>
      <c r="L35" s="17"/>
      <c r="M35" s="8"/>
    </row>
    <row r="36" spans="1:21" ht="33" customHeight="1" x14ac:dyDescent="0.3">
      <c r="A36" s="518"/>
      <c r="B36" s="445"/>
      <c r="C36" s="4"/>
      <c r="D36" s="4"/>
      <c r="E36" s="334"/>
      <c r="F36" s="207"/>
      <c r="G36" s="17"/>
      <c r="H36" s="207"/>
      <c r="I36" s="34"/>
      <c r="J36" s="34"/>
      <c r="K36" s="133"/>
      <c r="L36" s="17"/>
      <c r="M36" s="8"/>
    </row>
    <row r="37" spans="1:21" ht="33" customHeight="1" x14ac:dyDescent="0.3">
      <c r="A37" s="518"/>
      <c r="B37" s="439"/>
      <c r="C37" s="4"/>
      <c r="D37" s="4"/>
      <c r="E37" s="310"/>
      <c r="F37" s="34"/>
      <c r="G37" s="17"/>
      <c r="H37" s="207"/>
      <c r="I37" s="34"/>
      <c r="J37" s="207"/>
      <c r="K37" s="133"/>
      <c r="L37" s="17"/>
      <c r="M37" s="8"/>
    </row>
    <row r="38" spans="1:21" ht="33" customHeight="1" x14ac:dyDescent="0.3">
      <c r="A38" s="518"/>
      <c r="B38" s="445"/>
      <c r="C38" s="4"/>
      <c r="D38" s="4"/>
      <c r="E38" s="207"/>
      <c r="F38" s="34"/>
      <c r="G38" s="17"/>
      <c r="H38" s="334"/>
      <c r="I38" s="34"/>
      <c r="J38" s="207"/>
      <c r="K38" s="133"/>
      <c r="L38" s="17"/>
      <c r="M38" s="321"/>
    </row>
    <row r="39" spans="1:21" ht="33" customHeight="1" x14ac:dyDescent="0.3">
      <c r="A39" s="518"/>
      <c r="B39" s="439"/>
      <c r="C39" s="4"/>
      <c r="D39" s="4"/>
      <c r="E39" s="310"/>
      <c r="F39" s="34"/>
      <c r="G39" s="17"/>
      <c r="H39" s="207"/>
      <c r="I39" s="34"/>
      <c r="J39" s="207"/>
      <c r="K39" s="133"/>
      <c r="L39" s="17"/>
      <c r="M39" s="321"/>
    </row>
    <row r="40" spans="1:21" ht="33" customHeight="1" x14ac:dyDescent="0.3">
      <c r="A40" s="518"/>
      <c r="B40" s="445"/>
      <c r="C40" s="4"/>
      <c r="D40" s="4"/>
      <c r="E40" s="310"/>
      <c r="F40" s="34"/>
      <c r="G40" s="17"/>
      <c r="H40" s="207"/>
      <c r="I40" s="34"/>
      <c r="J40" s="34"/>
      <c r="K40" s="133"/>
      <c r="L40" s="17"/>
      <c r="M40" s="8"/>
    </row>
    <row r="41" spans="1:21" ht="33" customHeight="1" x14ac:dyDescent="0.3">
      <c r="A41" s="518"/>
      <c r="B41" s="439"/>
      <c r="C41" s="4"/>
      <c r="D41" s="4"/>
      <c r="E41" s="207"/>
      <c r="F41" s="310"/>
      <c r="G41" s="478"/>
      <c r="H41" s="207"/>
      <c r="I41" s="34"/>
      <c r="J41" s="207"/>
      <c r="K41" s="133"/>
      <c r="L41" s="17"/>
      <c r="M41" s="8"/>
    </row>
    <row r="42" spans="1:21" ht="33" customHeight="1" x14ac:dyDescent="0.3">
      <c r="A42" s="518"/>
      <c r="B42" s="445"/>
      <c r="C42" s="4"/>
      <c r="D42" s="4"/>
      <c r="E42" s="310"/>
      <c r="F42" s="34"/>
      <c r="G42" s="17"/>
      <c r="H42" s="207"/>
      <c r="I42" s="34"/>
      <c r="J42" s="34"/>
      <c r="K42" s="133"/>
      <c r="L42" s="17"/>
      <c r="M42" s="8"/>
    </row>
    <row r="43" spans="1:21" ht="33" customHeight="1" x14ac:dyDescent="0.3">
      <c r="A43" s="518"/>
      <c r="B43" s="445"/>
      <c r="C43" s="4"/>
      <c r="D43" s="4"/>
      <c r="E43" s="334"/>
      <c r="F43" s="34"/>
      <c r="G43" s="17"/>
      <c r="H43" s="334"/>
      <c r="I43" s="34"/>
      <c r="J43" s="34"/>
      <c r="K43" s="133"/>
      <c r="L43" s="17"/>
      <c r="M43" s="8"/>
    </row>
    <row r="44" spans="1:21" ht="33" customHeight="1" x14ac:dyDescent="0.3">
      <c r="A44" s="518"/>
      <c r="B44" s="439"/>
      <c r="C44" s="4"/>
      <c r="D44" s="4"/>
      <c r="E44" s="34"/>
      <c r="F44" s="34"/>
      <c r="G44" s="17"/>
      <c r="H44" s="207"/>
      <c r="I44" s="34"/>
      <c r="J44" s="34"/>
      <c r="K44" s="133"/>
      <c r="L44" s="17"/>
      <c r="M44" s="8"/>
      <c r="O44" s="18"/>
      <c r="P44" s="18"/>
      <c r="Q44" s="18"/>
      <c r="R44" s="18"/>
      <c r="S44" s="18"/>
      <c r="T44" s="18"/>
    </row>
    <row r="45" spans="1:21" ht="33" customHeight="1" x14ac:dyDescent="0.3">
      <c r="A45" s="519"/>
      <c r="B45" s="440"/>
      <c r="C45" s="4"/>
      <c r="D45" s="4"/>
      <c r="E45" s="34"/>
      <c r="F45" s="34"/>
      <c r="G45" s="17"/>
      <c r="H45" s="207"/>
      <c r="I45" s="207"/>
      <c r="J45" s="207"/>
      <c r="K45" s="133"/>
      <c r="L45" s="17"/>
      <c r="M45" s="8"/>
      <c r="O45" s="18"/>
      <c r="P45" s="18"/>
      <c r="Q45" s="18"/>
      <c r="R45" s="18"/>
      <c r="S45" s="18"/>
      <c r="T45" s="18"/>
    </row>
    <row r="46" spans="1:21" s="18" customFormat="1" ht="28.5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O46"/>
    </row>
    <row r="47" spans="1:21" s="18" customFormat="1" ht="28.5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 s="8" t="s">
        <v>2832</v>
      </c>
      <c r="N47"/>
      <c r="O47"/>
      <c r="P47"/>
    </row>
    <row r="48" spans="1:21" s="18" customFormat="1" ht="28.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 s="8" t="s">
        <v>2836</v>
      </c>
      <c r="N48"/>
      <c r="O48"/>
      <c r="P48"/>
      <c r="U48"/>
    </row>
    <row r="49" spans="1:28" s="18" customFormat="1" ht="28.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 s="8" t="s">
        <v>2833</v>
      </c>
      <c r="N49"/>
      <c r="O49"/>
      <c r="P49"/>
      <c r="Q49"/>
      <c r="R49"/>
      <c r="S49"/>
      <c r="T49"/>
      <c r="U49"/>
    </row>
    <row r="50" spans="1:28" s="18" customFormat="1" ht="28.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 s="8" t="s">
        <v>2837</v>
      </c>
      <c r="N50"/>
      <c r="O50"/>
      <c r="P50"/>
      <c r="Q50"/>
      <c r="R50"/>
      <c r="S50"/>
      <c r="T50"/>
      <c r="U50"/>
    </row>
    <row r="51" spans="1:28" s="18" customFormat="1" ht="28.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 s="8" t="s">
        <v>2831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18" customFormat="1" ht="28.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 s="8" t="s">
        <v>2834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x14ac:dyDescent="0.3">
      <c r="M53" s="8" t="s">
        <v>2837</v>
      </c>
    </row>
    <row r="54" spans="1:28" x14ac:dyDescent="0.3">
      <c r="M54" s="8" t="s">
        <v>2834</v>
      </c>
    </row>
    <row r="55" spans="1:28" x14ac:dyDescent="0.3">
      <c r="M55" s="8" t="s">
        <v>2837</v>
      </c>
    </row>
    <row r="56" spans="1:28" x14ac:dyDescent="0.3">
      <c r="M56" s="8" t="s">
        <v>2838</v>
      </c>
    </row>
  </sheetData>
  <mergeCells count="18">
    <mergeCell ref="A33:A45"/>
    <mergeCell ref="H2:H3"/>
    <mergeCell ref="I2:I3"/>
    <mergeCell ref="J2:J3"/>
    <mergeCell ref="K2:K3"/>
    <mergeCell ref="A4:A9"/>
    <mergeCell ref="B9:K9"/>
    <mergeCell ref="A10:A17"/>
    <mergeCell ref="B17:K17"/>
    <mergeCell ref="A18:K18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1" max="12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56"/>
  <sheetViews>
    <sheetView topLeftCell="A2" zoomScale="85" zoomScaleNormal="85" zoomScaleSheetLayoutView="55" workbookViewId="0">
      <selection activeCell="E7" sqref="E7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5110</v>
      </c>
      <c r="B2" s="713" t="s">
        <v>1</v>
      </c>
      <c r="C2" s="713" t="s">
        <v>2</v>
      </c>
      <c r="D2" s="713" t="s">
        <v>3</v>
      </c>
      <c r="E2" s="462" t="s">
        <v>2636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1733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20</v>
      </c>
      <c r="B4" s="439" t="s">
        <v>5140</v>
      </c>
      <c r="C4" s="4" t="s">
        <v>125</v>
      </c>
      <c r="D4" s="4" t="s">
        <v>152</v>
      </c>
      <c r="E4" s="4" t="s">
        <v>308</v>
      </c>
      <c r="F4" s="207">
        <v>7062</v>
      </c>
      <c r="G4" s="17" t="s">
        <v>5151</v>
      </c>
      <c r="H4" s="441" t="s">
        <v>5153</v>
      </c>
      <c r="I4" s="4" t="s">
        <v>169</v>
      </c>
      <c r="J4" s="4" t="s">
        <v>2860</v>
      </c>
      <c r="K4" s="4"/>
      <c r="L4" s="103">
        <v>500000</v>
      </c>
      <c r="M4" s="6"/>
    </row>
    <row r="5" spans="1:20" ht="27.75" customHeight="1" x14ac:dyDescent="0.3">
      <c r="A5" s="521"/>
      <c r="B5" s="439" t="s">
        <v>5141</v>
      </c>
      <c r="C5" s="4" t="s">
        <v>125</v>
      </c>
      <c r="D5" s="4" t="s">
        <v>152</v>
      </c>
      <c r="E5" s="4" t="s">
        <v>308</v>
      </c>
      <c r="F5" s="207">
        <v>1570</v>
      </c>
      <c r="G5" s="17" t="s">
        <v>5152</v>
      </c>
      <c r="H5" s="441" t="s">
        <v>5154</v>
      </c>
      <c r="I5" s="4" t="s">
        <v>169</v>
      </c>
      <c r="J5" s="4" t="s">
        <v>3073</v>
      </c>
      <c r="K5" s="4"/>
      <c r="L5" s="103">
        <v>750000</v>
      </c>
      <c r="M5" s="6"/>
      <c r="P5" s="462"/>
      <c r="Q5" s="462" t="s">
        <v>20</v>
      </c>
      <c r="R5" s="462" t="s">
        <v>21</v>
      </c>
      <c r="S5" s="462" t="s">
        <v>3504</v>
      </c>
      <c r="T5" s="462" t="s">
        <v>3505</v>
      </c>
    </row>
    <row r="6" spans="1:20" ht="27.75" customHeight="1" x14ac:dyDescent="0.3">
      <c r="A6" s="521"/>
      <c r="B6" s="439" t="s">
        <v>5140</v>
      </c>
      <c r="C6" s="4" t="s">
        <v>125</v>
      </c>
      <c r="D6" s="4" t="s">
        <v>152</v>
      </c>
      <c r="E6" s="4" t="s">
        <v>308</v>
      </c>
      <c r="F6" s="155" t="s">
        <v>5144</v>
      </c>
      <c r="G6" s="17" t="s">
        <v>5145</v>
      </c>
      <c r="H6" s="441" t="s">
        <v>5146</v>
      </c>
      <c r="I6" s="4" t="s">
        <v>169</v>
      </c>
      <c r="J6" s="4" t="s">
        <v>2860</v>
      </c>
      <c r="K6" s="4"/>
      <c r="L6" s="103">
        <v>500000</v>
      </c>
      <c r="M6" s="6"/>
      <c r="P6" s="34" t="s">
        <v>5142</v>
      </c>
      <c r="Q6" s="442"/>
      <c r="R6" s="438">
        <v>1000000</v>
      </c>
      <c r="S6" s="438"/>
      <c r="T6" s="438">
        <f>SUM(Q6:S6)</f>
        <v>1000000</v>
      </c>
    </row>
    <row r="7" spans="1:20" ht="27.75" customHeight="1" x14ac:dyDescent="0.3">
      <c r="A7" s="521"/>
      <c r="B7" s="439" t="s">
        <v>5141</v>
      </c>
      <c r="C7" s="4" t="s">
        <v>125</v>
      </c>
      <c r="D7" s="4" t="s">
        <v>152</v>
      </c>
      <c r="E7" s="4" t="s">
        <v>308</v>
      </c>
      <c r="F7" s="207" t="s">
        <v>5043</v>
      </c>
      <c r="G7" s="17" t="s">
        <v>265</v>
      </c>
      <c r="H7" s="441" t="s">
        <v>5146</v>
      </c>
      <c r="I7" s="4" t="s">
        <v>169</v>
      </c>
      <c r="J7" s="4" t="s">
        <v>3073</v>
      </c>
      <c r="K7" s="4"/>
      <c r="L7" s="103">
        <v>750000</v>
      </c>
      <c r="M7" s="6"/>
      <c r="P7" s="34" t="s">
        <v>5143</v>
      </c>
      <c r="Q7" s="442">
        <v>3750000</v>
      </c>
      <c r="R7" s="438">
        <v>1550000</v>
      </c>
      <c r="S7" s="438">
        <v>300000</v>
      </c>
      <c r="T7" s="438">
        <f>SUM(Q7:S7)</f>
        <v>5600000</v>
      </c>
    </row>
    <row r="8" spans="1:20" ht="27.75" customHeight="1" x14ac:dyDescent="0.3">
      <c r="A8" s="521"/>
      <c r="B8" s="439" t="s">
        <v>5139</v>
      </c>
      <c r="C8" s="4" t="s">
        <v>125</v>
      </c>
      <c r="D8" s="4" t="s">
        <v>152</v>
      </c>
      <c r="E8" s="4" t="s">
        <v>308</v>
      </c>
      <c r="F8" s="207" t="s">
        <v>5147</v>
      </c>
      <c r="G8" s="17" t="s">
        <v>5148</v>
      </c>
      <c r="H8" s="441" t="s">
        <v>5149</v>
      </c>
      <c r="I8" s="4" t="s">
        <v>169</v>
      </c>
      <c r="J8" s="4" t="s">
        <v>5150</v>
      </c>
      <c r="K8" s="4"/>
      <c r="L8" s="103">
        <v>1250000</v>
      </c>
      <c r="M8" s="6"/>
      <c r="P8" s="456" t="s">
        <v>53</v>
      </c>
      <c r="Q8" s="457">
        <f>SUM(Q6:Q7)</f>
        <v>3750000</v>
      </c>
      <c r="R8" s="457">
        <f t="shared" ref="R8:S8" si="0">SUM(R6:R7)</f>
        <v>2550000</v>
      </c>
      <c r="S8" s="457">
        <f t="shared" si="0"/>
        <v>300000</v>
      </c>
      <c r="T8" s="457">
        <f>SUM(T6:T7)</f>
        <v>6600000</v>
      </c>
    </row>
    <row r="9" spans="1:20" ht="26.25" customHeight="1" x14ac:dyDescent="0.3">
      <c r="A9" s="521"/>
      <c r="B9" s="521" t="s">
        <v>1139</v>
      </c>
      <c r="C9" s="521"/>
      <c r="D9" s="521"/>
      <c r="E9" s="521"/>
      <c r="F9" s="521"/>
      <c r="G9" s="521"/>
      <c r="H9" s="521"/>
      <c r="I9" s="521"/>
      <c r="J9" s="521"/>
      <c r="K9" s="521"/>
      <c r="L9" s="103">
        <f>SUM(L4:L8)</f>
        <v>3750000</v>
      </c>
      <c r="M9" s="49"/>
    </row>
    <row r="10" spans="1:20" ht="25.5" customHeight="1" x14ac:dyDescent="0.3">
      <c r="A10" s="531" t="s">
        <v>21</v>
      </c>
      <c r="B10" s="439">
        <v>46057</v>
      </c>
      <c r="C10" s="4" t="s">
        <v>21</v>
      </c>
      <c r="D10" s="4" t="s">
        <v>17</v>
      </c>
      <c r="E10" s="34" t="s">
        <v>5106</v>
      </c>
      <c r="F10" s="207">
        <v>222003</v>
      </c>
      <c r="G10" s="17" t="s">
        <v>5107</v>
      </c>
      <c r="H10" s="334" t="s">
        <v>5111</v>
      </c>
      <c r="I10" s="34"/>
      <c r="J10" s="34" t="s">
        <v>5108</v>
      </c>
      <c r="K10" s="133" t="s">
        <v>15</v>
      </c>
      <c r="L10" s="100">
        <v>250000</v>
      </c>
      <c r="M10" s="6" t="s">
        <v>5112</v>
      </c>
    </row>
    <row r="11" spans="1:20" ht="25.5" customHeight="1" x14ac:dyDescent="0.3">
      <c r="A11" s="532"/>
      <c r="B11" s="439">
        <v>46058</v>
      </c>
      <c r="C11" s="4" t="s">
        <v>21</v>
      </c>
      <c r="D11" s="4" t="s">
        <v>14</v>
      </c>
      <c r="E11" s="34" t="s">
        <v>4978</v>
      </c>
      <c r="F11" s="34" t="s">
        <v>2839</v>
      </c>
      <c r="G11" s="17" t="s">
        <v>5089</v>
      </c>
      <c r="H11" s="207" t="s">
        <v>5114</v>
      </c>
      <c r="I11" s="34"/>
      <c r="J11" s="34" t="s">
        <v>5115</v>
      </c>
      <c r="K11" s="133" t="s">
        <v>32</v>
      </c>
      <c r="L11" s="100">
        <v>500000</v>
      </c>
      <c r="M11" s="6" t="s">
        <v>5112</v>
      </c>
    </row>
    <row r="12" spans="1:20" ht="25.5" customHeight="1" x14ac:dyDescent="0.3">
      <c r="A12" s="532"/>
      <c r="B12" s="439">
        <v>46059</v>
      </c>
      <c r="C12" s="4" t="s">
        <v>21</v>
      </c>
      <c r="D12" s="4" t="s">
        <v>14</v>
      </c>
      <c r="E12" s="34" t="s">
        <v>4978</v>
      </c>
      <c r="F12" s="34" t="s">
        <v>2839</v>
      </c>
      <c r="G12" s="17" t="s">
        <v>1395</v>
      </c>
      <c r="H12" s="334" t="s">
        <v>5120</v>
      </c>
      <c r="I12" s="34"/>
      <c r="J12" s="34" t="s">
        <v>5123</v>
      </c>
      <c r="K12" s="133" t="s">
        <v>32</v>
      </c>
      <c r="L12" s="100">
        <v>250000</v>
      </c>
      <c r="M12" s="6" t="s">
        <v>5124</v>
      </c>
    </row>
    <row r="13" spans="1:20" ht="25.5" customHeight="1" x14ac:dyDescent="0.3">
      <c r="A13" s="532"/>
      <c r="B13" s="439">
        <v>46064</v>
      </c>
      <c r="C13" s="4" t="s">
        <v>21</v>
      </c>
      <c r="D13" s="4" t="s">
        <v>17</v>
      </c>
      <c r="E13" s="207" t="s">
        <v>78</v>
      </c>
      <c r="F13" s="34">
        <v>7060</v>
      </c>
      <c r="G13" s="17" t="s">
        <v>2876</v>
      </c>
      <c r="H13" s="334" t="s">
        <v>5130</v>
      </c>
      <c r="I13" s="34" t="s">
        <v>90</v>
      </c>
      <c r="J13" s="207" t="s">
        <v>3161</v>
      </c>
      <c r="K13" s="133" t="s">
        <v>32</v>
      </c>
      <c r="L13" s="100">
        <v>300000</v>
      </c>
      <c r="M13" s="6" t="s">
        <v>5155</v>
      </c>
      <c r="N13" s="451"/>
    </row>
    <row r="14" spans="1:20" ht="25.5" customHeight="1" x14ac:dyDescent="0.3">
      <c r="A14" s="532"/>
      <c r="B14" s="439">
        <v>46066</v>
      </c>
      <c r="C14" s="4" t="s">
        <v>21</v>
      </c>
      <c r="D14" s="4" t="s">
        <v>17</v>
      </c>
      <c r="E14" s="207" t="s">
        <v>3401</v>
      </c>
      <c r="F14" s="310" t="s">
        <v>5002</v>
      </c>
      <c r="G14" s="505" t="s">
        <v>5001</v>
      </c>
      <c r="H14" s="207" t="s">
        <v>5129</v>
      </c>
      <c r="I14" s="34" t="s">
        <v>90</v>
      </c>
      <c r="J14" s="207" t="s">
        <v>643</v>
      </c>
      <c r="K14" s="133" t="s">
        <v>15</v>
      </c>
      <c r="L14" s="100">
        <v>500000</v>
      </c>
      <c r="M14" s="6" t="s">
        <v>5156</v>
      </c>
    </row>
    <row r="15" spans="1:20" ht="25.5" customHeight="1" x14ac:dyDescent="0.3">
      <c r="A15" s="532"/>
      <c r="B15" s="439">
        <v>46066</v>
      </c>
      <c r="C15" s="4" t="s">
        <v>21</v>
      </c>
      <c r="D15" s="4" t="s">
        <v>14</v>
      </c>
      <c r="E15" s="334" t="s">
        <v>5159</v>
      </c>
      <c r="F15" s="34" t="s">
        <v>5160</v>
      </c>
      <c r="G15" s="17" t="s">
        <v>5161</v>
      </c>
      <c r="H15" s="334" t="s">
        <v>5162</v>
      </c>
      <c r="I15" s="34" t="s">
        <v>5158</v>
      </c>
      <c r="J15" s="34" t="s">
        <v>5163</v>
      </c>
      <c r="K15" s="133" t="s">
        <v>32</v>
      </c>
      <c r="L15" s="100">
        <v>550000</v>
      </c>
      <c r="M15" s="6" t="s">
        <v>5155</v>
      </c>
    </row>
    <row r="16" spans="1:20" ht="25.5" customHeight="1" x14ac:dyDescent="0.3">
      <c r="A16" s="532"/>
      <c r="B16" s="439">
        <v>46066</v>
      </c>
      <c r="C16" s="4" t="s">
        <v>21</v>
      </c>
      <c r="D16" s="4" t="s">
        <v>14</v>
      </c>
      <c r="E16" s="310" t="s">
        <v>108</v>
      </c>
      <c r="F16" s="34" t="s">
        <v>3362</v>
      </c>
      <c r="G16" s="17" t="s">
        <v>23</v>
      </c>
      <c r="H16" s="207" t="s">
        <v>4974</v>
      </c>
      <c r="I16" s="34"/>
      <c r="J16" s="34" t="s">
        <v>489</v>
      </c>
      <c r="K16" s="133" t="s">
        <v>32</v>
      </c>
      <c r="L16" s="100">
        <v>500000</v>
      </c>
      <c r="M16" s="6" t="s">
        <v>5157</v>
      </c>
    </row>
    <row r="17" spans="1:27" ht="25.5" customHeight="1" x14ac:dyDescent="0.3">
      <c r="A17" s="533"/>
      <c r="B17" s="715" t="s">
        <v>1138</v>
      </c>
      <c r="C17" s="716"/>
      <c r="D17" s="716"/>
      <c r="E17" s="716"/>
      <c r="F17" s="716"/>
      <c r="G17" s="716"/>
      <c r="H17" s="716"/>
      <c r="I17" s="716"/>
      <c r="J17" s="716"/>
      <c r="K17" s="717"/>
      <c r="L17" s="103">
        <f>SUM(L10:L16)</f>
        <v>2850000</v>
      </c>
      <c r="M17" s="49"/>
      <c r="P17" s="18"/>
      <c r="Q17" s="18"/>
      <c r="R17" s="18"/>
      <c r="S17" s="18"/>
      <c r="T17" s="18"/>
    </row>
    <row r="18" spans="1:27" ht="25.5" customHeight="1" x14ac:dyDescent="0.3">
      <c r="A18" s="718" t="s">
        <v>62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403">
        <f>L9+L17</f>
        <v>6600000</v>
      </c>
      <c r="M18" s="42"/>
      <c r="P18" s="18"/>
      <c r="Q18" s="18"/>
      <c r="R18" s="18"/>
      <c r="S18" s="18"/>
      <c r="T18" s="18"/>
    </row>
    <row r="19" spans="1:27" ht="26.25" customHeight="1" x14ac:dyDescent="0.3">
      <c r="P19" s="18"/>
      <c r="Q19" s="18"/>
      <c r="R19" s="18"/>
      <c r="S19" s="18"/>
      <c r="T19" s="18"/>
      <c r="U19" s="18"/>
    </row>
    <row r="20" spans="1:27" ht="26.25" customHeight="1" x14ac:dyDescent="0.3">
      <c r="O20" s="18"/>
      <c r="P20" s="18"/>
      <c r="Q20" s="18"/>
      <c r="R20" s="18"/>
      <c r="S20" s="18"/>
      <c r="T20" s="18"/>
      <c r="U20" s="18"/>
    </row>
    <row r="21" spans="1:27" ht="26.25" customHeight="1" x14ac:dyDescent="0.3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7"/>
      <c r="L21" s="418"/>
      <c r="M21" s="419"/>
      <c r="O21" s="18"/>
      <c r="P21" s="18"/>
      <c r="Q21" s="18"/>
      <c r="R21" s="18"/>
      <c r="S21" s="18"/>
      <c r="T21" s="18"/>
      <c r="U21" s="18"/>
    </row>
    <row r="22" spans="1:27" ht="26.25" hidden="1" customHeight="1" x14ac:dyDescent="0.3"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7" ht="25.5" hidden="1" customHeight="1" x14ac:dyDescent="0.3">
      <c r="B23" s="158" t="s">
        <v>1147</v>
      </c>
      <c r="C23" s="159"/>
      <c r="D23" s="159"/>
      <c r="E23" s="159"/>
      <c r="F23" s="159"/>
      <c r="G23" s="159"/>
      <c r="H23" s="159"/>
      <c r="I23" s="159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 x14ac:dyDescent="0.3">
      <c r="B24" s="160" t="s">
        <v>1143</v>
      </c>
      <c r="C24" s="161">
        <v>45282</v>
      </c>
      <c r="D24" s="159" t="s">
        <v>1154</v>
      </c>
      <c r="E24" s="159"/>
      <c r="F24" s="159"/>
      <c r="G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25.5" hidden="1" customHeight="1" x14ac:dyDescent="0.3">
      <c r="B25" s="160" t="s">
        <v>1144</v>
      </c>
      <c r="C25" s="161">
        <v>45282</v>
      </c>
      <c r="D25" s="159" t="s">
        <v>1146</v>
      </c>
      <c r="E25" s="159"/>
      <c r="F25" s="159"/>
      <c r="G25" s="159"/>
      <c r="H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 x14ac:dyDescent="0.3">
      <c r="B26" s="160" t="s">
        <v>1148</v>
      </c>
      <c r="C26" s="162" t="s">
        <v>1145</v>
      </c>
      <c r="D26" s="159" t="s">
        <v>1155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0.100000000000001" hidden="1" customHeight="1" x14ac:dyDescent="0.3">
      <c r="B27" s="159"/>
      <c r="C27" s="159" t="s">
        <v>1149</v>
      </c>
      <c r="D27" s="159"/>
      <c r="E27" s="159"/>
      <c r="F27" s="159"/>
      <c r="G27" s="159"/>
      <c r="H27" s="159"/>
      <c r="I27" s="159"/>
      <c r="N27" t="s">
        <v>3557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6.5" hidden="1" customHeight="1" x14ac:dyDescent="0.3">
      <c r="O28" s="18"/>
      <c r="P28" s="18"/>
      <c r="Q28" s="18"/>
      <c r="R28" s="18"/>
      <c r="S28" s="18"/>
      <c r="T28" s="18"/>
      <c r="V28" s="18"/>
      <c r="W28" s="18"/>
      <c r="X28" s="18"/>
      <c r="Y28" s="18"/>
      <c r="Z28" s="18"/>
      <c r="AA28" s="18"/>
    </row>
    <row r="29" spans="1:27" ht="20.100000000000001" hidden="1" customHeight="1" x14ac:dyDescent="0.3">
      <c r="J29" s="159"/>
      <c r="O29" s="18"/>
      <c r="V29" s="18"/>
      <c r="W29" s="18"/>
      <c r="X29" s="18"/>
      <c r="Y29" s="18"/>
      <c r="Z29" s="18"/>
      <c r="AA29" s="18"/>
    </row>
    <row r="30" spans="1:27" x14ac:dyDescent="0.3">
      <c r="V30" s="18"/>
      <c r="W30" s="18"/>
      <c r="X30" s="18"/>
      <c r="Y30" s="18"/>
      <c r="Z30" s="18"/>
      <c r="AA30" s="18"/>
    </row>
    <row r="31" spans="1:27" x14ac:dyDescent="0.3">
      <c r="N31" s="18"/>
    </row>
    <row r="32" spans="1:27" ht="28.5" customHeight="1" x14ac:dyDescent="0.3">
      <c r="A32" s="345" t="s">
        <v>0</v>
      </c>
      <c r="B32" s="346" t="s">
        <v>1</v>
      </c>
      <c r="C32" s="345" t="s">
        <v>2</v>
      </c>
      <c r="D32" s="345" t="s">
        <v>3</v>
      </c>
      <c r="E32" s="345" t="s">
        <v>4</v>
      </c>
      <c r="F32" s="345" t="s">
        <v>5</v>
      </c>
      <c r="G32" s="345" t="s">
        <v>6</v>
      </c>
      <c r="H32" s="347" t="s">
        <v>7</v>
      </c>
      <c r="I32" s="345" t="s">
        <v>8</v>
      </c>
      <c r="J32" s="345" t="s">
        <v>9</v>
      </c>
      <c r="K32" s="348" t="s">
        <v>10</v>
      </c>
      <c r="L32" s="345" t="s">
        <v>12</v>
      </c>
      <c r="M32" s="345" t="s">
        <v>63</v>
      </c>
      <c r="N32" s="18"/>
    </row>
    <row r="33" spans="1:21" ht="33" customHeight="1" x14ac:dyDescent="0.3">
      <c r="A33" s="517" t="s">
        <v>5128</v>
      </c>
      <c r="B33" s="439">
        <v>46062</v>
      </c>
      <c r="C33" s="4" t="s">
        <v>21</v>
      </c>
      <c r="D33" s="4" t="s">
        <v>14</v>
      </c>
      <c r="E33" s="310" t="s">
        <v>108</v>
      </c>
      <c r="F33" s="34" t="s">
        <v>4735</v>
      </c>
      <c r="G33" s="17" t="s">
        <v>4718</v>
      </c>
      <c r="H33" s="207" t="s">
        <v>5040</v>
      </c>
      <c r="I33" s="34" t="s">
        <v>203</v>
      </c>
      <c r="J33" s="207" t="s">
        <v>5039</v>
      </c>
      <c r="K33" s="133" t="s">
        <v>15</v>
      </c>
      <c r="L33" s="17"/>
      <c r="M33" s="504" t="s">
        <v>5132</v>
      </c>
    </row>
    <row r="34" spans="1:21" ht="33" customHeight="1" x14ac:dyDescent="0.3">
      <c r="A34" s="518"/>
      <c r="B34" s="445"/>
      <c r="C34" s="4"/>
      <c r="D34" s="4"/>
      <c r="E34" s="207"/>
      <c r="F34" s="34"/>
      <c r="G34" s="17"/>
      <c r="H34" s="334"/>
      <c r="I34" s="34"/>
      <c r="J34" s="207"/>
      <c r="K34" s="133"/>
      <c r="L34" s="17"/>
      <c r="M34" s="504" t="s">
        <v>5133</v>
      </c>
    </row>
    <row r="35" spans="1:21" ht="33" customHeight="1" x14ac:dyDescent="0.3">
      <c r="A35" s="518"/>
      <c r="B35" s="439">
        <v>46063</v>
      </c>
      <c r="C35" s="4" t="s">
        <v>21</v>
      </c>
      <c r="D35" s="4" t="s">
        <v>14</v>
      </c>
      <c r="E35" s="310" t="s">
        <v>108</v>
      </c>
      <c r="F35" s="34" t="s">
        <v>109</v>
      </c>
      <c r="G35" s="17" t="s">
        <v>143</v>
      </c>
      <c r="H35" s="207" t="s">
        <v>5038</v>
      </c>
      <c r="I35" s="34" t="s">
        <v>90</v>
      </c>
      <c r="J35" s="207" t="s">
        <v>5039</v>
      </c>
      <c r="K35" s="133" t="s">
        <v>15</v>
      </c>
      <c r="L35" s="17"/>
      <c r="M35" s="8" t="s">
        <v>5134</v>
      </c>
    </row>
    <row r="36" spans="1:21" ht="33" customHeight="1" x14ac:dyDescent="0.3">
      <c r="A36" s="518"/>
      <c r="B36" s="445"/>
      <c r="C36" s="4" t="s">
        <v>21</v>
      </c>
      <c r="D36" s="4" t="s">
        <v>14</v>
      </c>
      <c r="E36" s="334" t="s">
        <v>1796</v>
      </c>
      <c r="F36" s="207" t="s">
        <v>2145</v>
      </c>
      <c r="G36" s="17" t="s">
        <v>143</v>
      </c>
      <c r="H36" s="207" t="s">
        <v>5131</v>
      </c>
      <c r="I36" s="34" t="s">
        <v>5122</v>
      </c>
      <c r="J36" s="34" t="s">
        <v>3633</v>
      </c>
      <c r="K36" s="133" t="s">
        <v>15</v>
      </c>
      <c r="L36" s="17"/>
      <c r="M36" s="8" t="s">
        <v>5135</v>
      </c>
    </row>
    <row r="37" spans="1:21" ht="33" customHeight="1" x14ac:dyDescent="0.3">
      <c r="A37" s="518"/>
      <c r="B37" s="439">
        <v>46064</v>
      </c>
      <c r="C37" s="4" t="s">
        <v>21</v>
      </c>
      <c r="D37" s="4" t="s">
        <v>14</v>
      </c>
      <c r="E37" s="310" t="s">
        <v>108</v>
      </c>
      <c r="F37" s="34" t="s">
        <v>109</v>
      </c>
      <c r="G37" s="17" t="s">
        <v>143</v>
      </c>
      <c r="H37" s="207" t="s">
        <v>5038</v>
      </c>
      <c r="I37" s="34" t="s">
        <v>203</v>
      </c>
      <c r="J37" s="207" t="s">
        <v>5039</v>
      </c>
      <c r="K37" s="133" t="s">
        <v>15</v>
      </c>
      <c r="L37" s="17"/>
      <c r="M37" s="8" t="s">
        <v>5137</v>
      </c>
    </row>
    <row r="38" spans="1:21" ht="33" customHeight="1" x14ac:dyDescent="0.3">
      <c r="A38" s="518"/>
      <c r="B38" s="445"/>
      <c r="C38" s="4" t="s">
        <v>21</v>
      </c>
      <c r="D38" s="4" t="s">
        <v>17</v>
      </c>
      <c r="E38" s="207" t="s">
        <v>78</v>
      </c>
      <c r="F38" s="34">
        <v>7060</v>
      </c>
      <c r="G38" s="17" t="s">
        <v>2876</v>
      </c>
      <c r="H38" s="334" t="s">
        <v>5130</v>
      </c>
      <c r="I38" s="34" t="s">
        <v>90</v>
      </c>
      <c r="J38" s="207" t="s">
        <v>3161</v>
      </c>
      <c r="K38" s="133" t="s">
        <v>32</v>
      </c>
      <c r="L38" s="17"/>
      <c r="M38" s="321" t="s">
        <v>5136</v>
      </c>
    </row>
    <row r="39" spans="1:21" ht="33" customHeight="1" x14ac:dyDescent="0.3">
      <c r="A39" s="518"/>
      <c r="B39" s="439">
        <v>46065</v>
      </c>
      <c r="C39" s="4" t="s">
        <v>21</v>
      </c>
      <c r="D39" s="4" t="s">
        <v>14</v>
      </c>
      <c r="E39" s="310" t="s">
        <v>108</v>
      </c>
      <c r="F39" s="34" t="s">
        <v>4735</v>
      </c>
      <c r="G39" s="17" t="s">
        <v>4718</v>
      </c>
      <c r="H39" s="207" t="s">
        <v>5041</v>
      </c>
      <c r="I39" s="34" t="s">
        <v>203</v>
      </c>
      <c r="J39" s="207" t="s">
        <v>5039</v>
      </c>
      <c r="K39" s="133" t="s">
        <v>15</v>
      </c>
      <c r="L39" s="17"/>
      <c r="M39" s="321" t="s">
        <v>5138</v>
      </c>
    </row>
    <row r="40" spans="1:21" ht="33" customHeight="1" x14ac:dyDescent="0.3">
      <c r="A40" s="518"/>
      <c r="B40" s="445"/>
      <c r="C40" s="4"/>
      <c r="D40" s="4"/>
      <c r="E40" s="310"/>
      <c r="F40" s="34"/>
      <c r="G40" s="17"/>
      <c r="H40" s="207"/>
      <c r="I40" s="34"/>
      <c r="J40" s="34"/>
      <c r="K40" s="133"/>
      <c r="L40" s="17"/>
      <c r="M40" s="8"/>
    </row>
    <row r="41" spans="1:21" ht="33" customHeight="1" x14ac:dyDescent="0.3">
      <c r="A41" s="518"/>
      <c r="B41" s="439">
        <v>46066</v>
      </c>
      <c r="C41" s="4" t="s">
        <v>21</v>
      </c>
      <c r="D41" s="4" t="s">
        <v>17</v>
      </c>
      <c r="E41" s="207" t="s">
        <v>3401</v>
      </c>
      <c r="F41" s="310" t="s">
        <v>5002</v>
      </c>
      <c r="G41" s="478" t="s">
        <v>5001</v>
      </c>
      <c r="H41" s="207" t="s">
        <v>5129</v>
      </c>
      <c r="I41" s="34" t="s">
        <v>90</v>
      </c>
      <c r="J41" s="207" t="s">
        <v>643</v>
      </c>
      <c r="K41" s="133" t="s">
        <v>15</v>
      </c>
      <c r="L41" s="17"/>
      <c r="M41" s="8"/>
    </row>
    <row r="42" spans="1:21" ht="33" customHeight="1" x14ac:dyDescent="0.3">
      <c r="A42" s="518"/>
      <c r="B42" s="445"/>
      <c r="C42" s="4" t="s">
        <v>21</v>
      </c>
      <c r="D42" s="4" t="s">
        <v>14</v>
      </c>
      <c r="E42" s="310" t="s">
        <v>108</v>
      </c>
      <c r="F42" s="34" t="s">
        <v>3362</v>
      </c>
      <c r="G42" s="17" t="s">
        <v>23</v>
      </c>
      <c r="H42" s="207" t="s">
        <v>4974</v>
      </c>
      <c r="I42" s="34"/>
      <c r="J42" s="34" t="s">
        <v>489</v>
      </c>
      <c r="K42" s="133" t="s">
        <v>32</v>
      </c>
      <c r="L42" s="17"/>
      <c r="M42" s="8"/>
    </row>
    <row r="43" spans="1:21" ht="33" customHeight="1" x14ac:dyDescent="0.3">
      <c r="A43" s="518"/>
      <c r="B43" s="445"/>
      <c r="C43" s="4" t="s">
        <v>21</v>
      </c>
      <c r="D43" s="4" t="s">
        <v>14</v>
      </c>
      <c r="E43" s="334" t="s">
        <v>5159</v>
      </c>
      <c r="F43" s="34" t="s">
        <v>5160</v>
      </c>
      <c r="G43" s="17" t="s">
        <v>5161</v>
      </c>
      <c r="H43" s="334" t="s">
        <v>5162</v>
      </c>
      <c r="I43" s="34" t="s">
        <v>5158</v>
      </c>
      <c r="J43" s="34" t="s">
        <v>5163</v>
      </c>
      <c r="K43" s="133" t="s">
        <v>32</v>
      </c>
      <c r="L43" s="17"/>
      <c r="M43" s="8"/>
    </row>
    <row r="44" spans="1:21" ht="33" customHeight="1" x14ac:dyDescent="0.3">
      <c r="A44" s="518"/>
      <c r="B44" s="439">
        <v>46067</v>
      </c>
      <c r="C44" s="4"/>
      <c r="D44" s="4"/>
      <c r="E44" s="34"/>
      <c r="F44" s="34"/>
      <c r="G44" s="17"/>
      <c r="H44" s="207"/>
      <c r="I44" s="34"/>
      <c r="J44" s="34"/>
      <c r="K44" s="133"/>
      <c r="L44" s="17"/>
      <c r="M44" s="8"/>
      <c r="O44" s="18"/>
      <c r="P44" s="18"/>
      <c r="Q44" s="18"/>
      <c r="R44" s="18"/>
      <c r="S44" s="18"/>
      <c r="T44" s="18"/>
    </row>
    <row r="45" spans="1:21" ht="33" customHeight="1" x14ac:dyDescent="0.3">
      <c r="A45" s="519"/>
      <c r="B45" s="440"/>
      <c r="C45" s="4"/>
      <c r="D45" s="4"/>
      <c r="E45" s="34"/>
      <c r="F45" s="34"/>
      <c r="G45" s="17"/>
      <c r="H45" s="207"/>
      <c r="I45" s="207"/>
      <c r="J45" s="207"/>
      <c r="K45" s="133"/>
      <c r="L45" s="17"/>
      <c r="M45" s="8"/>
      <c r="O45" s="18"/>
      <c r="P45" s="18"/>
      <c r="Q45" s="18"/>
      <c r="R45" s="18"/>
      <c r="S45" s="18"/>
      <c r="T45" s="18"/>
    </row>
    <row r="46" spans="1:21" s="18" customFormat="1" ht="28.5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O46"/>
    </row>
    <row r="47" spans="1:21" s="18" customFormat="1" ht="28.5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 s="8" t="s">
        <v>2832</v>
      </c>
      <c r="N47"/>
      <c r="O47"/>
      <c r="P47"/>
    </row>
    <row r="48" spans="1:21" s="18" customFormat="1" ht="28.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 s="8" t="s">
        <v>2836</v>
      </c>
      <c r="N48"/>
      <c r="O48"/>
      <c r="P48"/>
      <c r="U48"/>
    </row>
    <row r="49" spans="1:28" s="18" customFormat="1" ht="28.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 s="8" t="s">
        <v>2833</v>
      </c>
      <c r="N49"/>
      <c r="O49"/>
      <c r="P49"/>
      <c r="Q49"/>
      <c r="R49"/>
      <c r="S49"/>
      <c r="T49"/>
      <c r="U49"/>
    </row>
    <row r="50" spans="1:28" s="18" customFormat="1" ht="28.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 s="8" t="s">
        <v>2837</v>
      </c>
      <c r="N50"/>
      <c r="O50"/>
      <c r="P50"/>
      <c r="Q50"/>
      <c r="R50"/>
      <c r="S50"/>
      <c r="T50"/>
      <c r="U50"/>
    </row>
    <row r="51" spans="1:28" s="18" customFormat="1" ht="28.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 s="8" t="s">
        <v>2831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18" customFormat="1" ht="28.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 s="8" t="s">
        <v>2834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x14ac:dyDescent="0.3">
      <c r="M53" s="8" t="s">
        <v>2837</v>
      </c>
    </row>
    <row r="54" spans="1:28" x14ac:dyDescent="0.3">
      <c r="M54" s="8" t="s">
        <v>2834</v>
      </c>
    </row>
    <row r="55" spans="1:28" x14ac:dyDescent="0.3">
      <c r="M55" s="8" t="s">
        <v>2837</v>
      </c>
    </row>
    <row r="56" spans="1:28" x14ac:dyDescent="0.3">
      <c r="M56" s="8" t="s">
        <v>2838</v>
      </c>
    </row>
  </sheetData>
  <mergeCells count="18">
    <mergeCell ref="A33:A45"/>
    <mergeCell ref="H2:H3"/>
    <mergeCell ref="I2:I3"/>
    <mergeCell ref="J2:J3"/>
    <mergeCell ref="K2:K3"/>
    <mergeCell ref="A4:A9"/>
    <mergeCell ref="B9:K9"/>
    <mergeCell ref="B17:K17"/>
    <mergeCell ref="A18:K18"/>
    <mergeCell ref="A10:A17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1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58"/>
  <sheetViews>
    <sheetView topLeftCell="A2" zoomScale="85" zoomScaleNormal="85" zoomScaleSheetLayoutView="55" workbookViewId="0">
      <selection activeCell="H21" sqref="H21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4908</v>
      </c>
      <c r="B2" s="713" t="s">
        <v>1</v>
      </c>
      <c r="C2" s="713" t="s">
        <v>2</v>
      </c>
      <c r="D2" s="713" t="s">
        <v>3</v>
      </c>
      <c r="E2" s="462" t="s">
        <v>2636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1733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20</v>
      </c>
      <c r="B4" s="439" t="s">
        <v>4968</v>
      </c>
      <c r="C4" s="4" t="s">
        <v>125</v>
      </c>
      <c r="D4" s="4" t="s">
        <v>152</v>
      </c>
      <c r="E4" s="4" t="s">
        <v>308</v>
      </c>
      <c r="F4" s="207" t="s">
        <v>3362</v>
      </c>
      <c r="G4" s="17" t="s">
        <v>23</v>
      </c>
      <c r="H4" s="441" t="s">
        <v>4969</v>
      </c>
      <c r="I4" s="4" t="s">
        <v>4971</v>
      </c>
      <c r="J4" s="4" t="s">
        <v>4970</v>
      </c>
      <c r="K4" s="4"/>
      <c r="L4" s="103">
        <v>1000000</v>
      </c>
      <c r="M4" s="6" t="s">
        <v>4973</v>
      </c>
    </row>
    <row r="5" spans="1:20" ht="27.75" customHeight="1" x14ac:dyDescent="0.3">
      <c r="A5" s="521"/>
      <c r="B5" s="439" t="s">
        <v>5035</v>
      </c>
      <c r="C5" s="4" t="s">
        <v>125</v>
      </c>
      <c r="D5" s="4" t="s">
        <v>152</v>
      </c>
      <c r="E5" s="4" t="s">
        <v>308</v>
      </c>
      <c r="F5" s="207" t="s">
        <v>5043</v>
      </c>
      <c r="G5" s="17" t="s">
        <v>5044</v>
      </c>
      <c r="H5" s="441" t="s">
        <v>5045</v>
      </c>
      <c r="I5" s="4" t="s">
        <v>169</v>
      </c>
      <c r="J5" s="4" t="s">
        <v>3337</v>
      </c>
      <c r="K5" s="4"/>
      <c r="L5" s="103">
        <v>1250000</v>
      </c>
      <c r="M5" s="6"/>
    </row>
    <row r="6" spans="1:20" ht="27.75" customHeight="1" x14ac:dyDescent="0.3">
      <c r="A6" s="521"/>
      <c r="B6" s="439" t="s">
        <v>5036</v>
      </c>
      <c r="C6" s="4" t="s">
        <v>125</v>
      </c>
      <c r="D6" s="4" t="s">
        <v>152</v>
      </c>
      <c r="E6" s="4" t="s">
        <v>308</v>
      </c>
      <c r="F6" s="155" t="s">
        <v>5048</v>
      </c>
      <c r="G6" s="17" t="s">
        <v>5047</v>
      </c>
      <c r="H6" s="441" t="s">
        <v>5046</v>
      </c>
      <c r="I6" s="4" t="s">
        <v>169</v>
      </c>
      <c r="J6" s="4" t="s">
        <v>5034</v>
      </c>
      <c r="K6" s="4"/>
      <c r="L6" s="103">
        <v>500000</v>
      </c>
      <c r="M6" s="6"/>
      <c r="P6" s="462"/>
      <c r="Q6" s="462" t="s">
        <v>20</v>
      </c>
      <c r="R6" s="462" t="s">
        <v>21</v>
      </c>
      <c r="S6" s="462" t="s">
        <v>3504</v>
      </c>
      <c r="T6" s="462" t="s">
        <v>3505</v>
      </c>
    </row>
    <row r="7" spans="1:20" ht="27.75" customHeight="1" x14ac:dyDescent="0.3">
      <c r="A7" s="521"/>
      <c r="B7" s="439" t="s">
        <v>5037</v>
      </c>
      <c r="C7" s="4" t="s">
        <v>125</v>
      </c>
      <c r="D7" s="4" t="s">
        <v>152</v>
      </c>
      <c r="E7" s="4" t="s">
        <v>308</v>
      </c>
      <c r="F7" s="207" t="s">
        <v>5049</v>
      </c>
      <c r="G7" s="17" t="s">
        <v>5050</v>
      </c>
      <c r="H7" s="441" t="s">
        <v>5051</v>
      </c>
      <c r="I7" s="4" t="s">
        <v>169</v>
      </c>
      <c r="J7" s="4" t="s">
        <v>3073</v>
      </c>
      <c r="K7" s="4"/>
      <c r="L7" s="103">
        <v>750000</v>
      </c>
      <c r="M7" s="6"/>
      <c r="P7" s="34" t="s">
        <v>5064</v>
      </c>
      <c r="Q7" s="442">
        <v>1000000</v>
      </c>
      <c r="R7" s="438"/>
      <c r="S7" s="438"/>
      <c r="T7" s="438">
        <f>SUM(Q7:S7)</f>
        <v>1000000</v>
      </c>
    </row>
    <row r="8" spans="1:20" ht="27.75" customHeight="1" x14ac:dyDescent="0.3">
      <c r="A8" s="521"/>
      <c r="B8" s="439" t="s">
        <v>5036</v>
      </c>
      <c r="C8" s="4" t="s">
        <v>125</v>
      </c>
      <c r="D8" s="4" t="s">
        <v>152</v>
      </c>
      <c r="E8" s="4" t="s">
        <v>308</v>
      </c>
      <c r="F8" s="207">
        <v>7062</v>
      </c>
      <c r="G8" s="17" t="s">
        <v>5052</v>
      </c>
      <c r="H8" s="441" t="s">
        <v>5053</v>
      </c>
      <c r="I8" s="4" t="s">
        <v>169</v>
      </c>
      <c r="J8" s="4" t="s">
        <v>4723</v>
      </c>
      <c r="K8" s="4"/>
      <c r="L8" s="103">
        <v>500000</v>
      </c>
      <c r="M8" s="6"/>
      <c r="P8" s="34" t="s">
        <v>4779</v>
      </c>
      <c r="Q8" s="442">
        <v>3750000</v>
      </c>
      <c r="R8" s="438">
        <v>2250000</v>
      </c>
      <c r="S8" s="438">
        <v>900000</v>
      </c>
      <c r="T8" s="438">
        <f>SUM(Q8:S8)</f>
        <v>6900000</v>
      </c>
    </row>
    <row r="9" spans="1:20" ht="27.75" customHeight="1" x14ac:dyDescent="0.3">
      <c r="A9" s="521"/>
      <c r="B9" s="439" t="s">
        <v>5037</v>
      </c>
      <c r="C9" s="4" t="s">
        <v>125</v>
      </c>
      <c r="D9" s="4" t="s">
        <v>152</v>
      </c>
      <c r="E9" s="4" t="s">
        <v>308</v>
      </c>
      <c r="F9" s="207">
        <v>1570</v>
      </c>
      <c r="G9" s="133" t="s">
        <v>5054</v>
      </c>
      <c r="H9" s="441" t="s">
        <v>5046</v>
      </c>
      <c r="I9" s="4" t="s">
        <v>169</v>
      </c>
      <c r="J9" s="4" t="s">
        <v>4722</v>
      </c>
      <c r="K9" s="4"/>
      <c r="L9" s="103">
        <v>750000</v>
      </c>
      <c r="M9" s="6"/>
      <c r="P9" s="456" t="s">
        <v>53</v>
      </c>
      <c r="Q9" s="457">
        <f>SUM(Q7:Q8)</f>
        <v>4750000</v>
      </c>
      <c r="R9" s="457">
        <f t="shared" ref="R9:S9" si="0">SUM(R7:R8)</f>
        <v>2250000</v>
      </c>
      <c r="S9" s="457">
        <f t="shared" si="0"/>
        <v>900000</v>
      </c>
      <c r="T9" s="457">
        <f>SUM(T7:T8)</f>
        <v>7900000</v>
      </c>
    </row>
    <row r="10" spans="1:20" ht="26.25" customHeight="1" x14ac:dyDescent="0.3">
      <c r="A10" s="521"/>
      <c r="B10" s="521" t="s">
        <v>1139</v>
      </c>
      <c r="C10" s="521"/>
      <c r="D10" s="521"/>
      <c r="E10" s="521"/>
      <c r="F10" s="521"/>
      <c r="G10" s="521"/>
      <c r="H10" s="521"/>
      <c r="I10" s="521"/>
      <c r="J10" s="521"/>
      <c r="K10" s="521"/>
      <c r="L10" s="103">
        <f>SUM(L4:L9)</f>
        <v>4750000</v>
      </c>
      <c r="M10" s="49"/>
    </row>
    <row r="11" spans="1:20" ht="25.5" customHeight="1" x14ac:dyDescent="0.3">
      <c r="A11" s="531" t="s">
        <v>21</v>
      </c>
      <c r="B11" s="439">
        <v>46055</v>
      </c>
      <c r="C11" s="4" t="s">
        <v>21</v>
      </c>
      <c r="D11" s="4" t="s">
        <v>17</v>
      </c>
      <c r="E11" s="6" t="s">
        <v>4559</v>
      </c>
      <c r="F11" s="6">
        <v>1017</v>
      </c>
      <c r="G11" s="296" t="s">
        <v>23</v>
      </c>
      <c r="H11" s="207" t="s">
        <v>5031</v>
      </c>
      <c r="I11" s="207"/>
      <c r="J11" s="207" t="s">
        <v>5005</v>
      </c>
      <c r="K11" s="133" t="s">
        <v>15</v>
      </c>
      <c r="L11" s="100">
        <v>500000</v>
      </c>
      <c r="M11" s="6" t="s">
        <v>5065</v>
      </c>
    </row>
    <row r="12" spans="1:20" ht="25.5" customHeight="1" x14ac:dyDescent="0.3">
      <c r="A12" s="532"/>
      <c r="B12" s="439">
        <v>46056</v>
      </c>
      <c r="C12" s="4" t="s">
        <v>21</v>
      </c>
      <c r="D12" s="4" t="s">
        <v>17</v>
      </c>
      <c r="E12" s="6" t="s">
        <v>4559</v>
      </c>
      <c r="F12" s="6">
        <v>1017</v>
      </c>
      <c r="G12" s="296" t="s">
        <v>23</v>
      </c>
      <c r="H12" s="207" t="s">
        <v>5032</v>
      </c>
      <c r="I12" s="207"/>
      <c r="J12" s="207" t="s">
        <v>5005</v>
      </c>
      <c r="K12" s="133" t="s">
        <v>15</v>
      </c>
      <c r="L12" s="100">
        <v>500000</v>
      </c>
      <c r="M12" s="6" t="s">
        <v>5066</v>
      </c>
    </row>
    <row r="13" spans="1:20" ht="25.5" customHeight="1" x14ac:dyDescent="0.3">
      <c r="A13" s="532"/>
      <c r="B13" s="439">
        <v>46057</v>
      </c>
      <c r="C13" s="4" t="s">
        <v>21</v>
      </c>
      <c r="D13" s="4" t="s">
        <v>14</v>
      </c>
      <c r="E13" s="34" t="s">
        <v>4978</v>
      </c>
      <c r="F13" s="34" t="s">
        <v>2839</v>
      </c>
      <c r="G13" s="17" t="s">
        <v>4851</v>
      </c>
      <c r="H13" s="334" t="s">
        <v>5029</v>
      </c>
      <c r="I13" s="34" t="s">
        <v>90</v>
      </c>
      <c r="J13" s="34" t="s">
        <v>688</v>
      </c>
      <c r="K13" s="133" t="s">
        <v>32</v>
      </c>
      <c r="L13" s="100">
        <v>250000</v>
      </c>
      <c r="M13" s="6" t="s">
        <v>5067</v>
      </c>
    </row>
    <row r="14" spans="1:20" ht="25.5" customHeight="1" x14ac:dyDescent="0.3">
      <c r="A14" s="532"/>
      <c r="B14" s="439">
        <v>46057</v>
      </c>
      <c r="C14" s="4" t="s">
        <v>21</v>
      </c>
      <c r="D14" s="4" t="s">
        <v>14</v>
      </c>
      <c r="E14" s="34" t="s">
        <v>4978</v>
      </c>
      <c r="F14" s="34" t="s">
        <v>2839</v>
      </c>
      <c r="G14" s="17" t="s">
        <v>4851</v>
      </c>
      <c r="H14" s="334" t="s">
        <v>5030</v>
      </c>
      <c r="I14" s="34" t="s">
        <v>90</v>
      </c>
      <c r="J14" s="34" t="s">
        <v>5033</v>
      </c>
      <c r="K14" s="133" t="s">
        <v>32</v>
      </c>
      <c r="L14" s="100">
        <v>300000</v>
      </c>
      <c r="M14" s="6" t="s">
        <v>5067</v>
      </c>
      <c r="N14" s="451"/>
    </row>
    <row r="15" spans="1:20" ht="25.5" customHeight="1" x14ac:dyDescent="0.3">
      <c r="A15" s="532"/>
      <c r="B15" s="439" t="s">
        <v>5055</v>
      </c>
      <c r="C15" s="4" t="s">
        <v>21</v>
      </c>
      <c r="D15" s="4" t="s">
        <v>17</v>
      </c>
      <c r="E15" s="34" t="s">
        <v>3636</v>
      </c>
      <c r="F15" s="207">
        <v>3006</v>
      </c>
      <c r="G15" s="17" t="s">
        <v>23</v>
      </c>
      <c r="H15" s="334" t="s">
        <v>5081</v>
      </c>
      <c r="I15" s="34"/>
      <c r="J15" s="34" t="s">
        <v>489</v>
      </c>
      <c r="K15" s="133" t="s">
        <v>15</v>
      </c>
      <c r="L15" s="100">
        <v>500000</v>
      </c>
      <c r="M15" s="6" t="s">
        <v>5066</v>
      </c>
    </row>
    <row r="16" spans="1:20" ht="25.5" customHeight="1" x14ac:dyDescent="0.3">
      <c r="A16" s="532"/>
      <c r="B16" s="439" t="s">
        <v>5055</v>
      </c>
      <c r="C16" s="4" t="s">
        <v>21</v>
      </c>
      <c r="D16" s="4" t="s">
        <v>17</v>
      </c>
      <c r="E16" s="34" t="s">
        <v>3636</v>
      </c>
      <c r="F16" s="207">
        <v>3006</v>
      </c>
      <c r="G16" s="17" t="s">
        <v>23</v>
      </c>
      <c r="H16" s="334" t="s">
        <v>5070</v>
      </c>
      <c r="I16" s="34"/>
      <c r="J16" s="34" t="s">
        <v>5056</v>
      </c>
      <c r="K16" s="133" t="s">
        <v>15</v>
      </c>
      <c r="L16" s="100">
        <v>600000</v>
      </c>
      <c r="M16" s="6" t="s">
        <v>5068</v>
      </c>
      <c r="N16" s="451"/>
    </row>
    <row r="17" spans="1:27" ht="25.5" customHeight="1" x14ac:dyDescent="0.3">
      <c r="A17" s="532"/>
      <c r="B17" s="439" t="s">
        <v>5055</v>
      </c>
      <c r="C17" s="4" t="s">
        <v>312</v>
      </c>
      <c r="D17" s="4" t="s">
        <v>321</v>
      </c>
      <c r="E17" s="34" t="s">
        <v>692</v>
      </c>
      <c r="F17" s="34" t="s">
        <v>3148</v>
      </c>
      <c r="G17" s="17" t="s">
        <v>349</v>
      </c>
      <c r="H17" s="207" t="s">
        <v>5060</v>
      </c>
      <c r="I17" s="34" t="s">
        <v>640</v>
      </c>
      <c r="J17" s="34" t="s">
        <v>694</v>
      </c>
      <c r="K17" s="133" t="s">
        <v>310</v>
      </c>
      <c r="L17" s="100">
        <v>500000</v>
      </c>
      <c r="M17" s="6" t="s">
        <v>5066</v>
      </c>
    </row>
    <row r="18" spans="1:27" ht="25.5" customHeight="1" x14ac:dyDescent="0.3">
      <c r="A18" s="495"/>
      <c r="B18" s="715" t="s">
        <v>1138</v>
      </c>
      <c r="C18" s="716"/>
      <c r="D18" s="716"/>
      <c r="E18" s="716"/>
      <c r="F18" s="716"/>
      <c r="G18" s="716"/>
      <c r="H18" s="716"/>
      <c r="I18" s="716"/>
      <c r="J18" s="716"/>
      <c r="K18" s="717"/>
      <c r="L18" s="103">
        <f>SUM(L11:L17)</f>
        <v>3150000</v>
      </c>
      <c r="M18" s="49"/>
      <c r="P18" s="18"/>
      <c r="Q18" s="18"/>
      <c r="R18" s="18"/>
      <c r="S18" s="18"/>
      <c r="T18" s="18"/>
    </row>
    <row r="19" spans="1:27" ht="25.5" customHeight="1" x14ac:dyDescent="0.3">
      <c r="A19" s="718" t="s">
        <v>62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403">
        <f>L10+L18</f>
        <v>7900000</v>
      </c>
      <c r="M19" s="42"/>
      <c r="P19" s="18"/>
      <c r="Q19" s="18"/>
      <c r="R19" s="18"/>
      <c r="S19" s="18"/>
      <c r="T19" s="18"/>
    </row>
    <row r="20" spans="1:27" ht="26.25" customHeight="1" x14ac:dyDescent="0.3">
      <c r="P20" s="18"/>
      <c r="Q20" s="18"/>
      <c r="R20" s="18"/>
      <c r="S20" s="18"/>
      <c r="T20" s="18"/>
      <c r="U20" s="18"/>
    </row>
    <row r="21" spans="1:27" ht="26.25" customHeight="1" x14ac:dyDescent="0.3">
      <c r="O21" s="18"/>
      <c r="P21" s="18"/>
      <c r="Q21" s="18"/>
      <c r="R21" s="18"/>
      <c r="S21" s="18"/>
      <c r="T21" s="18"/>
      <c r="U21" s="18"/>
    </row>
    <row r="22" spans="1:27" ht="26.25" customHeight="1" x14ac:dyDescent="0.3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18"/>
      <c r="M22" s="419"/>
      <c r="O22" s="18"/>
      <c r="P22" s="18"/>
      <c r="Q22" s="18"/>
      <c r="R22" s="18"/>
      <c r="S22" s="18"/>
      <c r="T22" s="18"/>
      <c r="U22" s="18"/>
    </row>
    <row r="23" spans="1:27" ht="26.25" hidden="1" customHeight="1" x14ac:dyDescent="0.3"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 x14ac:dyDescent="0.3">
      <c r="B24" s="158" t="s">
        <v>1147</v>
      </c>
      <c r="C24" s="159"/>
      <c r="D24" s="159"/>
      <c r="E24" s="159"/>
      <c r="F24" s="159"/>
      <c r="G24" s="159"/>
      <c r="H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7" ht="25.5" hidden="1" customHeight="1" x14ac:dyDescent="0.3">
      <c r="B25" s="160" t="s">
        <v>1143</v>
      </c>
      <c r="C25" s="161">
        <v>45282</v>
      </c>
      <c r="D25" s="159" t="s">
        <v>1154</v>
      </c>
      <c r="E25" s="159"/>
      <c r="F25" s="159"/>
      <c r="G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 x14ac:dyDescent="0.3">
      <c r="B26" s="160" t="s">
        <v>1144</v>
      </c>
      <c r="C26" s="161">
        <v>45282</v>
      </c>
      <c r="D26" s="159" t="s">
        <v>1146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5.5" hidden="1" customHeight="1" x14ac:dyDescent="0.3">
      <c r="B27" s="160" t="s">
        <v>1148</v>
      </c>
      <c r="C27" s="162" t="s">
        <v>1145</v>
      </c>
      <c r="D27" s="159" t="s">
        <v>1155</v>
      </c>
      <c r="E27" s="159"/>
      <c r="F27" s="159"/>
      <c r="G27" s="159"/>
      <c r="H27" s="159"/>
      <c r="I27" s="15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0.100000000000001" hidden="1" customHeight="1" x14ac:dyDescent="0.3">
      <c r="B28" s="159"/>
      <c r="C28" s="159" t="s">
        <v>1149</v>
      </c>
      <c r="D28" s="159"/>
      <c r="E28" s="159"/>
      <c r="F28" s="159"/>
      <c r="G28" s="159"/>
      <c r="H28" s="159"/>
      <c r="I28" s="159"/>
      <c r="N28" t="s">
        <v>3557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6.5" hidden="1" customHeight="1" x14ac:dyDescent="0.3">
      <c r="O29" s="18"/>
      <c r="P29" s="18"/>
      <c r="Q29" s="18"/>
      <c r="R29" s="18"/>
      <c r="S29" s="18"/>
      <c r="T29" s="18"/>
      <c r="V29" s="18"/>
      <c r="W29" s="18"/>
      <c r="X29" s="18"/>
      <c r="Y29" s="18"/>
      <c r="Z29" s="18"/>
      <c r="AA29" s="18"/>
    </row>
    <row r="30" spans="1:27" ht="20.100000000000001" hidden="1" customHeight="1" x14ac:dyDescent="0.3">
      <c r="J30" s="159"/>
      <c r="O30" s="18"/>
      <c r="V30" s="18"/>
      <c r="W30" s="18"/>
      <c r="X30" s="18"/>
      <c r="Y30" s="18"/>
      <c r="Z30" s="18"/>
      <c r="AA30" s="18"/>
    </row>
    <row r="31" spans="1:27" x14ac:dyDescent="0.3">
      <c r="V31" s="18"/>
      <c r="W31" s="18"/>
      <c r="X31" s="18"/>
      <c r="Y31" s="18"/>
      <c r="Z31" s="18"/>
      <c r="AA31" s="18"/>
    </row>
    <row r="32" spans="1:27" x14ac:dyDescent="0.3">
      <c r="N32" s="18"/>
    </row>
    <row r="33" spans="1:20" ht="28.5" customHeight="1" x14ac:dyDescent="0.3">
      <c r="A33" s="345" t="s">
        <v>0</v>
      </c>
      <c r="B33" s="346" t="s">
        <v>1</v>
      </c>
      <c r="C33" s="345" t="s">
        <v>2</v>
      </c>
      <c r="D33" s="345" t="s">
        <v>3</v>
      </c>
      <c r="E33" s="345" t="s">
        <v>4</v>
      </c>
      <c r="F33" s="345" t="s">
        <v>5</v>
      </c>
      <c r="G33" s="345" t="s">
        <v>6</v>
      </c>
      <c r="H33" s="347" t="s">
        <v>7</v>
      </c>
      <c r="I33" s="345" t="s">
        <v>8</v>
      </c>
      <c r="J33" s="345" t="s">
        <v>9</v>
      </c>
      <c r="K33" s="348" t="s">
        <v>10</v>
      </c>
      <c r="L33" s="345" t="s">
        <v>12</v>
      </c>
      <c r="M33" s="345" t="s">
        <v>63</v>
      </c>
      <c r="N33" s="18"/>
    </row>
    <row r="34" spans="1:20" ht="35.25" customHeight="1" x14ac:dyDescent="0.3">
      <c r="A34" s="517" t="s">
        <v>5018</v>
      </c>
      <c r="B34" s="439">
        <v>46055</v>
      </c>
      <c r="C34" s="4" t="s">
        <v>312</v>
      </c>
      <c r="D34" s="4" t="s">
        <v>677</v>
      </c>
      <c r="E34" s="6" t="s">
        <v>5007</v>
      </c>
      <c r="F34" s="6">
        <v>1017</v>
      </c>
      <c r="G34" s="296" t="s">
        <v>349</v>
      </c>
      <c r="H34" s="207" t="s">
        <v>5063</v>
      </c>
      <c r="I34" s="207"/>
      <c r="J34" s="207" t="s">
        <v>694</v>
      </c>
      <c r="K34" s="133" t="s">
        <v>310</v>
      </c>
      <c r="L34" s="17">
        <v>2</v>
      </c>
      <c r="M34" s="8" t="s">
        <v>5006</v>
      </c>
    </row>
    <row r="35" spans="1:20" ht="35.25" customHeight="1" x14ac:dyDescent="0.3">
      <c r="A35" s="518"/>
      <c r="B35" s="445"/>
      <c r="C35" s="4" t="s">
        <v>312</v>
      </c>
      <c r="D35" s="4" t="s">
        <v>321</v>
      </c>
      <c r="E35" s="334" t="s">
        <v>2613</v>
      </c>
      <c r="F35" s="207" t="s">
        <v>5008</v>
      </c>
      <c r="G35" s="17" t="s">
        <v>3199</v>
      </c>
      <c r="H35" s="207" t="s">
        <v>5009</v>
      </c>
      <c r="I35" s="34" t="s">
        <v>640</v>
      </c>
      <c r="J35" s="34"/>
      <c r="K35" s="133" t="s">
        <v>310</v>
      </c>
      <c r="L35" s="17">
        <v>1</v>
      </c>
      <c r="M35" s="321" t="s">
        <v>5017</v>
      </c>
    </row>
    <row r="36" spans="1:20" ht="35.25" customHeight="1" x14ac:dyDescent="0.3">
      <c r="A36" s="518"/>
      <c r="B36" s="439">
        <v>46056</v>
      </c>
      <c r="C36" s="4" t="s">
        <v>312</v>
      </c>
      <c r="D36" s="4" t="s">
        <v>677</v>
      </c>
      <c r="E36" s="6" t="s">
        <v>5007</v>
      </c>
      <c r="F36" s="6">
        <v>1017</v>
      </c>
      <c r="G36" s="296" t="s">
        <v>349</v>
      </c>
      <c r="H36" s="207" t="s">
        <v>5069</v>
      </c>
      <c r="I36" s="207"/>
      <c r="J36" s="207" t="s">
        <v>694</v>
      </c>
      <c r="K36" s="133" t="s">
        <v>310</v>
      </c>
      <c r="L36" s="17">
        <v>2</v>
      </c>
      <c r="M36" s="8" t="s">
        <v>5019</v>
      </c>
    </row>
    <row r="37" spans="1:20" ht="35.25" customHeight="1" x14ac:dyDescent="0.3">
      <c r="A37" s="518"/>
      <c r="B37" s="445"/>
      <c r="C37" s="4" t="s">
        <v>312</v>
      </c>
      <c r="D37" s="4" t="s">
        <v>321</v>
      </c>
      <c r="E37" s="34" t="s">
        <v>2613</v>
      </c>
      <c r="F37" s="34" t="s">
        <v>5010</v>
      </c>
      <c r="G37" s="17"/>
      <c r="H37" s="207" t="s">
        <v>5011</v>
      </c>
      <c r="I37" s="207" t="s">
        <v>5012</v>
      </c>
      <c r="J37" s="207"/>
      <c r="K37" s="133" t="s">
        <v>310</v>
      </c>
      <c r="L37" s="17">
        <v>3</v>
      </c>
      <c r="M37" s="8"/>
    </row>
    <row r="38" spans="1:20" ht="35.25" customHeight="1" x14ac:dyDescent="0.3">
      <c r="A38" s="518"/>
      <c r="B38" s="445"/>
      <c r="C38" s="4" t="s">
        <v>312</v>
      </c>
      <c r="D38" s="4" t="s">
        <v>321</v>
      </c>
      <c r="E38" s="207" t="s">
        <v>692</v>
      </c>
      <c r="F38" s="207" t="s">
        <v>3148</v>
      </c>
      <c r="G38" s="17" t="s">
        <v>356</v>
      </c>
      <c r="H38" s="207" t="s">
        <v>5062</v>
      </c>
      <c r="I38" s="207" t="s">
        <v>640</v>
      </c>
      <c r="J38" s="207"/>
      <c r="K38" s="133" t="s">
        <v>310</v>
      </c>
      <c r="L38" s="17">
        <v>1</v>
      </c>
      <c r="M38" s="8"/>
    </row>
    <row r="39" spans="1:20" ht="35.25" customHeight="1" x14ac:dyDescent="0.3">
      <c r="A39" s="518"/>
      <c r="B39" s="445"/>
      <c r="C39" s="4" t="s">
        <v>312</v>
      </c>
      <c r="D39" s="4" t="s">
        <v>677</v>
      </c>
      <c r="E39" s="34" t="s">
        <v>5057</v>
      </c>
      <c r="F39" s="34">
        <v>3006</v>
      </c>
      <c r="G39" s="17" t="s">
        <v>349</v>
      </c>
      <c r="H39" s="207" t="s">
        <v>5071</v>
      </c>
      <c r="I39" s="34"/>
      <c r="J39" s="34" t="s">
        <v>5058</v>
      </c>
      <c r="K39" s="133" t="s">
        <v>310</v>
      </c>
      <c r="L39" s="17">
        <v>2</v>
      </c>
      <c r="M39" s="8"/>
    </row>
    <row r="40" spans="1:20" ht="35.25" customHeight="1" x14ac:dyDescent="0.3">
      <c r="A40" s="518"/>
      <c r="B40" s="439">
        <v>46057</v>
      </c>
      <c r="C40" s="4" t="s">
        <v>312</v>
      </c>
      <c r="D40" s="4" t="s">
        <v>321</v>
      </c>
      <c r="E40" s="34" t="s">
        <v>5013</v>
      </c>
      <c r="F40" s="207" t="s">
        <v>5014</v>
      </c>
      <c r="G40" s="17" t="s">
        <v>5015</v>
      </c>
      <c r="H40" s="334" t="s">
        <v>5061</v>
      </c>
      <c r="I40" s="34" t="s">
        <v>640</v>
      </c>
      <c r="J40" s="34" t="s">
        <v>5016</v>
      </c>
      <c r="K40" s="133" t="s">
        <v>310</v>
      </c>
      <c r="L40" s="17">
        <v>3</v>
      </c>
      <c r="M40" s="321" t="s">
        <v>5020</v>
      </c>
    </row>
    <row r="41" spans="1:20" ht="35.25" customHeight="1" x14ac:dyDescent="0.3">
      <c r="A41" s="518"/>
      <c r="B41" s="445"/>
      <c r="C41" s="4" t="s">
        <v>312</v>
      </c>
      <c r="D41" s="4" t="s">
        <v>677</v>
      </c>
      <c r="E41" s="34" t="s">
        <v>5057</v>
      </c>
      <c r="F41" s="310">
        <v>3006</v>
      </c>
      <c r="G41" s="17" t="s">
        <v>349</v>
      </c>
      <c r="H41" s="207" t="s">
        <v>5071</v>
      </c>
      <c r="I41" s="34"/>
      <c r="J41" s="207" t="s">
        <v>5027</v>
      </c>
      <c r="K41" s="133" t="s">
        <v>310</v>
      </c>
      <c r="L41" s="17">
        <v>2</v>
      </c>
      <c r="M41" s="321" t="s">
        <v>5021</v>
      </c>
    </row>
    <row r="42" spans="1:20" ht="35.25" customHeight="1" x14ac:dyDescent="0.3">
      <c r="A42" s="518"/>
      <c r="B42" s="439">
        <v>46058</v>
      </c>
      <c r="C42" s="4"/>
      <c r="D42" s="4"/>
      <c r="E42" s="310"/>
      <c r="F42" s="34"/>
      <c r="G42" s="17"/>
      <c r="H42" s="207"/>
      <c r="I42" s="34"/>
      <c r="J42" s="34"/>
      <c r="K42" s="133"/>
      <c r="L42" s="17"/>
      <c r="M42" s="8" t="s">
        <v>5022</v>
      </c>
    </row>
    <row r="43" spans="1:20" ht="35.25" customHeight="1" x14ac:dyDescent="0.3">
      <c r="A43" s="518"/>
      <c r="B43" s="445"/>
      <c r="C43" s="4"/>
      <c r="D43" s="4"/>
      <c r="E43" s="207"/>
      <c r="F43" s="310"/>
      <c r="G43" s="478"/>
      <c r="H43" s="207"/>
      <c r="I43" s="34"/>
      <c r="J43" s="207"/>
      <c r="K43" s="133"/>
      <c r="L43" s="17"/>
      <c r="M43" s="8" t="s">
        <v>5023</v>
      </c>
    </row>
    <row r="44" spans="1:20" ht="35.25" customHeight="1" x14ac:dyDescent="0.3">
      <c r="A44" s="518"/>
      <c r="B44" s="439">
        <v>46059</v>
      </c>
      <c r="C44" s="4" t="s">
        <v>312</v>
      </c>
      <c r="D44" s="4" t="s">
        <v>321</v>
      </c>
      <c r="E44" s="34" t="s">
        <v>692</v>
      </c>
      <c r="F44" s="34" t="s">
        <v>3148</v>
      </c>
      <c r="G44" s="17" t="s">
        <v>349</v>
      </c>
      <c r="H44" s="207" t="s">
        <v>5060</v>
      </c>
      <c r="I44" s="34" t="s">
        <v>640</v>
      </c>
      <c r="J44" s="34" t="s">
        <v>694</v>
      </c>
      <c r="K44" s="133" t="s">
        <v>310</v>
      </c>
      <c r="L44" s="17">
        <v>3</v>
      </c>
      <c r="M44" s="8" t="s">
        <v>5024</v>
      </c>
    </row>
    <row r="45" spans="1:20" ht="35.25" customHeight="1" x14ac:dyDescent="0.3">
      <c r="A45" s="518"/>
      <c r="B45" s="445"/>
      <c r="C45" s="4"/>
      <c r="D45" s="4"/>
      <c r="E45" s="34"/>
      <c r="F45" s="34"/>
      <c r="G45" s="17"/>
      <c r="H45" s="207"/>
      <c r="I45" s="34"/>
      <c r="J45" s="34"/>
      <c r="K45" s="133"/>
      <c r="L45" s="17"/>
      <c r="M45" s="8" t="s">
        <v>5025</v>
      </c>
      <c r="O45" s="18"/>
    </row>
    <row r="46" spans="1:20" ht="35.25" customHeight="1" x14ac:dyDescent="0.3">
      <c r="A46" s="518"/>
      <c r="B46" s="439">
        <v>46060</v>
      </c>
      <c r="C46" s="4"/>
      <c r="D46" s="4"/>
      <c r="E46" s="34"/>
      <c r="F46" s="34"/>
      <c r="G46" s="17"/>
      <c r="H46" s="207"/>
      <c r="I46" s="34"/>
      <c r="J46" s="34"/>
      <c r="K46" s="133"/>
      <c r="L46" s="17"/>
      <c r="M46" s="8"/>
      <c r="O46" s="18"/>
      <c r="P46" s="18"/>
      <c r="Q46" s="18"/>
      <c r="R46" s="18"/>
      <c r="S46" s="18"/>
      <c r="T46" s="18"/>
    </row>
    <row r="47" spans="1:20" ht="35.25" customHeight="1" x14ac:dyDescent="0.3">
      <c r="A47" s="519"/>
      <c r="B47" s="440"/>
      <c r="C47" s="4"/>
      <c r="D47" s="4"/>
      <c r="E47" s="34"/>
      <c r="F47" s="34"/>
      <c r="G47" s="17"/>
      <c r="H47" s="207"/>
      <c r="I47" s="207"/>
      <c r="J47" s="207"/>
      <c r="K47" s="133"/>
      <c r="L47" s="17"/>
      <c r="M47" s="8"/>
      <c r="O47" s="18"/>
      <c r="P47" s="18"/>
      <c r="Q47" s="18"/>
      <c r="R47" s="18"/>
      <c r="S47" s="18"/>
      <c r="T47" s="18"/>
    </row>
    <row r="48" spans="1:20" s="18" customFormat="1" ht="28.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O48"/>
    </row>
    <row r="49" spans="1:28" s="18" customFormat="1" ht="28.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 s="8" t="s">
        <v>2832</v>
      </c>
      <c r="N49"/>
      <c r="O49"/>
      <c r="P49"/>
    </row>
    <row r="50" spans="1:28" s="18" customFormat="1" ht="28.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 s="8" t="s">
        <v>2836</v>
      </c>
      <c r="N50"/>
      <c r="O50"/>
      <c r="P50"/>
      <c r="U50"/>
    </row>
    <row r="51" spans="1:28" s="18" customFormat="1" ht="28.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 s="8" t="s">
        <v>2833</v>
      </c>
      <c r="N51"/>
      <c r="O51"/>
      <c r="P51"/>
      <c r="Q51"/>
      <c r="R51"/>
      <c r="S51"/>
      <c r="T51"/>
      <c r="U51"/>
    </row>
    <row r="52" spans="1:28" s="18" customFormat="1" ht="28.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 s="8" t="s">
        <v>2837</v>
      </c>
      <c r="N52"/>
      <c r="O52"/>
      <c r="P52"/>
      <c r="Q52"/>
      <c r="R52"/>
      <c r="S52"/>
      <c r="T52"/>
      <c r="U52"/>
    </row>
    <row r="53" spans="1:28" s="18" customFormat="1" ht="28.5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 s="8" t="s">
        <v>2831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18" customFormat="1" ht="28.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 s="8" t="s">
        <v>2834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x14ac:dyDescent="0.3">
      <c r="M55" s="8" t="s">
        <v>2837</v>
      </c>
    </row>
    <row r="56" spans="1:28" x14ac:dyDescent="0.3">
      <c r="M56" s="8" t="s">
        <v>2834</v>
      </c>
    </row>
    <row r="57" spans="1:28" x14ac:dyDescent="0.3">
      <c r="M57" s="8" t="s">
        <v>2837</v>
      </c>
    </row>
    <row r="58" spans="1:28" x14ac:dyDescent="0.3">
      <c r="M58" s="8" t="s">
        <v>2838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34:A47"/>
    <mergeCell ref="H2:H3"/>
    <mergeCell ref="I2:I3"/>
    <mergeCell ref="J2:J3"/>
    <mergeCell ref="K2:K3"/>
    <mergeCell ref="A4:A10"/>
    <mergeCell ref="B10:K10"/>
    <mergeCell ref="A11:A17"/>
    <mergeCell ref="B18:K18"/>
    <mergeCell ref="A19:K19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2" max="12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58"/>
  <sheetViews>
    <sheetView topLeftCell="A2" zoomScale="85" zoomScaleNormal="85" zoomScaleSheetLayoutView="55" workbookViewId="0">
      <selection activeCell="I34" sqref="H34:I34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4907</v>
      </c>
      <c r="B2" s="713" t="s">
        <v>1</v>
      </c>
      <c r="C2" s="713" t="s">
        <v>2</v>
      </c>
      <c r="D2" s="713" t="s">
        <v>3</v>
      </c>
      <c r="E2" s="462" t="s">
        <v>2636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1733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20</v>
      </c>
      <c r="B4" s="439" t="s">
        <v>4909</v>
      </c>
      <c r="C4" s="4" t="s">
        <v>4902</v>
      </c>
      <c r="D4" s="4" t="s">
        <v>4903</v>
      </c>
      <c r="E4" s="4" t="s">
        <v>308</v>
      </c>
      <c r="F4" s="207" t="s">
        <v>3362</v>
      </c>
      <c r="G4" s="17" t="s">
        <v>23</v>
      </c>
      <c r="H4" s="441" t="s">
        <v>4916</v>
      </c>
      <c r="I4" s="4" t="s">
        <v>4904</v>
      </c>
      <c r="J4" s="4" t="s">
        <v>4953</v>
      </c>
      <c r="K4" s="4"/>
      <c r="L4" s="103">
        <v>1250000</v>
      </c>
      <c r="M4" s="6" t="s">
        <v>4972</v>
      </c>
    </row>
    <row r="5" spans="1:20" ht="27.75" customHeight="1" x14ac:dyDescent="0.3">
      <c r="A5" s="521"/>
      <c r="B5" s="439" t="s">
        <v>4897</v>
      </c>
      <c r="C5" s="4" t="s">
        <v>19</v>
      </c>
      <c r="D5" s="4" t="s">
        <v>4903</v>
      </c>
      <c r="E5" s="4" t="s">
        <v>308</v>
      </c>
      <c r="F5" s="155" t="s">
        <v>4921</v>
      </c>
      <c r="G5" s="17" t="s">
        <v>3498</v>
      </c>
      <c r="H5" s="441" t="s">
        <v>4920</v>
      </c>
      <c r="I5" s="4" t="s">
        <v>3655</v>
      </c>
      <c r="J5" s="4" t="s">
        <v>3337</v>
      </c>
      <c r="K5" s="4"/>
      <c r="L5" s="103">
        <v>1250000</v>
      </c>
      <c r="M5" s="6"/>
    </row>
    <row r="6" spans="1:20" ht="27.75" customHeight="1" x14ac:dyDescent="0.3">
      <c r="A6" s="521"/>
      <c r="B6" s="439">
        <v>46049</v>
      </c>
      <c r="C6" s="4" t="s">
        <v>307</v>
      </c>
      <c r="D6" s="4" t="s">
        <v>323</v>
      </c>
      <c r="E6" s="4" t="s">
        <v>308</v>
      </c>
      <c r="F6" s="207" t="s">
        <v>3362</v>
      </c>
      <c r="G6" s="17" t="s">
        <v>23</v>
      </c>
      <c r="H6" s="441" t="s">
        <v>4917</v>
      </c>
      <c r="I6" s="4" t="s">
        <v>3655</v>
      </c>
      <c r="J6" s="4" t="s">
        <v>4900</v>
      </c>
      <c r="K6" s="4"/>
      <c r="L6" s="103">
        <v>250000</v>
      </c>
      <c r="M6" s="6"/>
    </row>
    <row r="7" spans="1:20" ht="27.75" customHeight="1" x14ac:dyDescent="0.3">
      <c r="A7" s="521"/>
      <c r="B7" s="439" t="s">
        <v>4899</v>
      </c>
      <c r="C7" s="4" t="s">
        <v>307</v>
      </c>
      <c r="D7" s="4" t="s">
        <v>323</v>
      </c>
      <c r="E7" s="4" t="s">
        <v>308</v>
      </c>
      <c r="F7" s="207" t="s">
        <v>2986</v>
      </c>
      <c r="G7" s="17" t="s">
        <v>4918</v>
      </c>
      <c r="H7" s="441" t="s">
        <v>4919</v>
      </c>
      <c r="I7" s="4" t="s">
        <v>3655</v>
      </c>
      <c r="J7" s="4" t="s">
        <v>3073</v>
      </c>
      <c r="K7" s="4"/>
      <c r="L7" s="103">
        <v>750000</v>
      </c>
      <c r="M7" s="6"/>
    </row>
    <row r="8" spans="1:20" ht="27.75" customHeight="1" x14ac:dyDescent="0.3">
      <c r="A8" s="521"/>
      <c r="B8" s="439" t="s">
        <v>4898</v>
      </c>
      <c r="C8" s="4" t="s">
        <v>307</v>
      </c>
      <c r="D8" s="4" t="s">
        <v>323</v>
      </c>
      <c r="E8" s="4" t="s">
        <v>308</v>
      </c>
      <c r="F8" s="207" t="s">
        <v>4913</v>
      </c>
      <c r="G8" s="133" t="s">
        <v>4915</v>
      </c>
      <c r="H8" s="441" t="s">
        <v>3545</v>
      </c>
      <c r="I8" s="4" t="s">
        <v>3655</v>
      </c>
      <c r="J8" s="4" t="s">
        <v>4723</v>
      </c>
      <c r="K8" s="4"/>
      <c r="L8" s="103">
        <v>750000</v>
      </c>
      <c r="M8" s="6"/>
    </row>
    <row r="9" spans="1:20" ht="27.75" customHeight="1" x14ac:dyDescent="0.3">
      <c r="A9" s="521"/>
      <c r="B9" s="439" t="s">
        <v>4912</v>
      </c>
      <c r="C9" s="4" t="s">
        <v>307</v>
      </c>
      <c r="D9" s="4" t="s">
        <v>323</v>
      </c>
      <c r="E9" s="4" t="s">
        <v>308</v>
      </c>
      <c r="F9" s="207" t="s">
        <v>4914</v>
      </c>
      <c r="G9" s="133" t="s">
        <v>171</v>
      </c>
      <c r="H9" s="441" t="s">
        <v>2989</v>
      </c>
      <c r="I9" s="4" t="s">
        <v>3655</v>
      </c>
      <c r="J9" s="4" t="s">
        <v>4911</v>
      </c>
      <c r="K9" s="4"/>
      <c r="L9" s="103">
        <v>500000</v>
      </c>
      <c r="M9" s="6"/>
    </row>
    <row r="10" spans="1:20" ht="26.25" customHeight="1" x14ac:dyDescent="0.3">
      <c r="A10" s="521"/>
      <c r="B10" s="521" t="s">
        <v>1139</v>
      </c>
      <c r="C10" s="521"/>
      <c r="D10" s="521"/>
      <c r="E10" s="521"/>
      <c r="F10" s="521"/>
      <c r="G10" s="521"/>
      <c r="H10" s="521"/>
      <c r="I10" s="521"/>
      <c r="J10" s="521"/>
      <c r="K10" s="521"/>
      <c r="L10" s="103">
        <f>SUM(L4:L9)</f>
        <v>4750000</v>
      </c>
      <c r="M10" s="49"/>
      <c r="P10" s="462"/>
      <c r="Q10" s="462" t="s">
        <v>20</v>
      </c>
      <c r="R10" s="462" t="s">
        <v>21</v>
      </c>
      <c r="S10" s="462" t="s">
        <v>3504</v>
      </c>
      <c r="T10" s="462" t="s">
        <v>3505</v>
      </c>
    </row>
    <row r="11" spans="1:20" ht="25.5" customHeight="1" x14ac:dyDescent="0.3">
      <c r="A11" s="531" t="s">
        <v>21</v>
      </c>
      <c r="B11" s="439">
        <v>46044</v>
      </c>
      <c r="C11" s="4" t="s">
        <v>21</v>
      </c>
      <c r="D11" s="4" t="s">
        <v>17</v>
      </c>
      <c r="E11" s="207" t="s">
        <v>78</v>
      </c>
      <c r="F11" s="34">
        <v>7060</v>
      </c>
      <c r="G11" s="17" t="s">
        <v>4865</v>
      </c>
      <c r="H11" s="207" t="s">
        <v>4866</v>
      </c>
      <c r="I11" s="34"/>
      <c r="J11" s="34" t="s">
        <v>4868</v>
      </c>
      <c r="K11" s="133" t="s">
        <v>15</v>
      </c>
      <c r="L11" s="100">
        <v>500000</v>
      </c>
      <c r="M11" s="6" t="s">
        <v>4867</v>
      </c>
      <c r="P11" s="34" t="s">
        <v>4933</v>
      </c>
      <c r="Q11" s="442">
        <v>1250000</v>
      </c>
      <c r="R11" s="438">
        <v>1250000</v>
      </c>
      <c r="S11" s="438">
        <v>300000</v>
      </c>
      <c r="T11" s="438">
        <f>SUM(Q11:S11)</f>
        <v>2800000</v>
      </c>
    </row>
    <row r="12" spans="1:20" ht="25.5" customHeight="1" x14ac:dyDescent="0.3">
      <c r="A12" s="532"/>
      <c r="B12" s="439">
        <v>46044</v>
      </c>
      <c r="C12" s="4" t="s">
        <v>21</v>
      </c>
      <c r="D12" s="4" t="s">
        <v>17</v>
      </c>
      <c r="E12" s="207" t="s">
        <v>78</v>
      </c>
      <c r="F12" s="34">
        <v>7060</v>
      </c>
      <c r="G12" s="17" t="s">
        <v>4860</v>
      </c>
      <c r="H12" s="207" t="s">
        <v>4869</v>
      </c>
      <c r="I12" s="34"/>
      <c r="J12" s="34" t="s">
        <v>4862</v>
      </c>
      <c r="K12" s="133" t="s">
        <v>15</v>
      </c>
      <c r="L12" s="100">
        <v>300000</v>
      </c>
      <c r="M12" s="6" t="s">
        <v>4867</v>
      </c>
      <c r="N12" s="451"/>
      <c r="P12" s="34" t="s">
        <v>4934</v>
      </c>
      <c r="Q12" s="442">
        <v>3500000</v>
      </c>
      <c r="R12" s="438">
        <v>3250000</v>
      </c>
      <c r="S12" s="438">
        <v>300000</v>
      </c>
      <c r="T12" s="438">
        <f>SUM(Q12:S12)</f>
        <v>7050000</v>
      </c>
    </row>
    <row r="13" spans="1:20" ht="25.5" customHeight="1" x14ac:dyDescent="0.3">
      <c r="A13" s="532"/>
      <c r="B13" s="439">
        <v>46045</v>
      </c>
      <c r="C13" s="4" t="s">
        <v>21</v>
      </c>
      <c r="D13" s="4" t="s">
        <v>14</v>
      </c>
      <c r="E13" s="34" t="s">
        <v>108</v>
      </c>
      <c r="F13" s="34" t="s">
        <v>3362</v>
      </c>
      <c r="G13" s="17" t="s">
        <v>103</v>
      </c>
      <c r="H13" s="207" t="s">
        <v>4840</v>
      </c>
      <c r="I13" s="34"/>
      <c r="J13" s="34" t="s">
        <v>508</v>
      </c>
      <c r="K13" s="133" t="s">
        <v>15</v>
      </c>
      <c r="L13" s="100">
        <v>750000</v>
      </c>
      <c r="M13" s="6" t="s">
        <v>4841</v>
      </c>
      <c r="P13" s="456" t="s">
        <v>53</v>
      </c>
      <c r="Q13" s="457">
        <f>SUM(Q11:Q12)</f>
        <v>4750000</v>
      </c>
      <c r="R13" s="457">
        <f t="shared" ref="R13:S13" si="0">SUM(R11:R12)</f>
        <v>4500000</v>
      </c>
      <c r="S13" s="457">
        <f t="shared" si="0"/>
        <v>600000</v>
      </c>
      <c r="T13" s="457">
        <f>SUM(T11:T12)</f>
        <v>9850000</v>
      </c>
    </row>
    <row r="14" spans="1:20" ht="25.5" customHeight="1" x14ac:dyDescent="0.3">
      <c r="A14" s="532"/>
      <c r="B14" s="439" t="s">
        <v>4894</v>
      </c>
      <c r="C14" s="4" t="s">
        <v>21</v>
      </c>
      <c r="D14" s="4" t="s">
        <v>17</v>
      </c>
      <c r="E14" s="34" t="s">
        <v>3636</v>
      </c>
      <c r="F14" s="207">
        <v>3006</v>
      </c>
      <c r="G14" s="17" t="s">
        <v>23</v>
      </c>
      <c r="H14" s="334" t="s">
        <v>4977</v>
      </c>
      <c r="I14" s="34"/>
      <c r="J14" s="34" t="s">
        <v>4893</v>
      </c>
      <c r="K14" s="133" t="s">
        <v>15</v>
      </c>
      <c r="L14" s="100">
        <v>1000000</v>
      </c>
      <c r="M14" s="6" t="s">
        <v>4922</v>
      </c>
    </row>
    <row r="15" spans="1:20" ht="25.5" customHeight="1" x14ac:dyDescent="0.3">
      <c r="A15" s="532"/>
      <c r="B15" s="439">
        <v>46049</v>
      </c>
      <c r="C15" s="4" t="s">
        <v>21</v>
      </c>
      <c r="D15" s="4" t="s">
        <v>17</v>
      </c>
      <c r="E15" s="207" t="s">
        <v>3477</v>
      </c>
      <c r="F15" s="34">
        <v>222003</v>
      </c>
      <c r="G15" s="17" t="s">
        <v>3448</v>
      </c>
      <c r="H15" s="334" t="s">
        <v>4856</v>
      </c>
      <c r="I15" s="34" t="s">
        <v>4697</v>
      </c>
      <c r="J15" s="34" t="s">
        <v>3043</v>
      </c>
      <c r="K15" s="133" t="s">
        <v>15</v>
      </c>
      <c r="L15" s="100">
        <v>500000</v>
      </c>
      <c r="M15" s="6" t="s">
        <v>4041</v>
      </c>
    </row>
    <row r="16" spans="1:20" ht="25.5" customHeight="1" x14ac:dyDescent="0.3">
      <c r="A16" s="532"/>
      <c r="B16" s="439">
        <v>46050</v>
      </c>
      <c r="C16" s="4" t="s">
        <v>21</v>
      </c>
      <c r="D16" s="4" t="s">
        <v>14</v>
      </c>
      <c r="E16" s="34" t="s">
        <v>212</v>
      </c>
      <c r="F16" s="34" t="s">
        <v>2941</v>
      </c>
      <c r="G16" s="17" t="s">
        <v>2942</v>
      </c>
      <c r="H16" s="207" t="s">
        <v>4905</v>
      </c>
      <c r="I16" s="34" t="s">
        <v>4879</v>
      </c>
      <c r="J16" s="34" t="s">
        <v>3002</v>
      </c>
      <c r="K16" s="133" t="s">
        <v>15</v>
      </c>
      <c r="L16" s="100">
        <v>250000</v>
      </c>
      <c r="M16" s="6" t="s">
        <v>4924</v>
      </c>
    </row>
    <row r="17" spans="1:27" ht="25.5" customHeight="1" x14ac:dyDescent="0.3">
      <c r="A17" s="532"/>
      <c r="B17" s="439" t="s">
        <v>4895</v>
      </c>
      <c r="C17" s="4" t="s">
        <v>21</v>
      </c>
      <c r="D17" s="4" t="s">
        <v>14</v>
      </c>
      <c r="E17" s="34" t="s">
        <v>2726</v>
      </c>
      <c r="F17" s="34" t="s">
        <v>3826</v>
      </c>
      <c r="G17" s="17"/>
      <c r="H17" s="207" t="s">
        <v>4881</v>
      </c>
      <c r="I17" s="34"/>
      <c r="J17" s="34" t="s">
        <v>4896</v>
      </c>
      <c r="K17" s="133" t="s">
        <v>42</v>
      </c>
      <c r="L17" s="100">
        <v>1500000</v>
      </c>
      <c r="M17" s="6" t="s">
        <v>4923</v>
      </c>
    </row>
    <row r="18" spans="1:27" ht="25.5" customHeight="1" x14ac:dyDescent="0.3">
      <c r="A18" s="532"/>
      <c r="B18" s="439">
        <v>46052</v>
      </c>
      <c r="C18" s="4" t="s">
        <v>21</v>
      </c>
      <c r="D18" s="4" t="s">
        <v>14</v>
      </c>
      <c r="E18" s="34" t="s">
        <v>1796</v>
      </c>
      <c r="F18" s="34" t="s">
        <v>2839</v>
      </c>
      <c r="G18" s="17" t="s">
        <v>4851</v>
      </c>
      <c r="H18" s="310" t="s">
        <v>4891</v>
      </c>
      <c r="I18" s="34" t="s">
        <v>90</v>
      </c>
      <c r="J18" s="34" t="s">
        <v>3160</v>
      </c>
      <c r="K18" s="133" t="s">
        <v>15</v>
      </c>
      <c r="L18" s="100">
        <v>300000</v>
      </c>
      <c r="M18" s="6" t="s">
        <v>4923</v>
      </c>
      <c r="N18" s="451"/>
    </row>
    <row r="19" spans="1:27" ht="25.5" customHeight="1" x14ac:dyDescent="0.3">
      <c r="A19" s="495"/>
      <c r="B19" s="715" t="s">
        <v>1138</v>
      </c>
      <c r="C19" s="716"/>
      <c r="D19" s="716"/>
      <c r="E19" s="716"/>
      <c r="F19" s="716"/>
      <c r="G19" s="716"/>
      <c r="H19" s="716"/>
      <c r="I19" s="716"/>
      <c r="J19" s="716"/>
      <c r="K19" s="717"/>
      <c r="L19" s="103">
        <f>SUM(L11:L18)</f>
        <v>5100000</v>
      </c>
      <c r="M19" s="49"/>
      <c r="P19" s="18"/>
      <c r="Q19" s="18"/>
      <c r="R19" s="18"/>
      <c r="S19" s="18"/>
      <c r="T19" s="18"/>
    </row>
    <row r="20" spans="1:27" ht="25.5" customHeight="1" x14ac:dyDescent="0.3">
      <c r="A20" s="718" t="s">
        <v>62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403">
        <f>L10+L19</f>
        <v>9850000</v>
      </c>
      <c r="M20" s="42"/>
      <c r="P20" s="18"/>
      <c r="Q20" s="18"/>
      <c r="R20" s="18"/>
      <c r="S20" s="18"/>
      <c r="T20" s="18"/>
    </row>
    <row r="21" spans="1:27" ht="26.25" customHeight="1" x14ac:dyDescent="0.3">
      <c r="P21" s="18"/>
      <c r="Q21" s="18"/>
      <c r="R21" s="18"/>
      <c r="S21" s="18"/>
      <c r="T21" s="18"/>
      <c r="U21" s="18"/>
    </row>
    <row r="22" spans="1:27" ht="26.25" customHeight="1" x14ac:dyDescent="0.3">
      <c r="O22" s="18"/>
      <c r="P22" s="18"/>
      <c r="Q22" s="18"/>
      <c r="R22" s="18"/>
      <c r="S22" s="18"/>
      <c r="T22" s="18"/>
      <c r="U22" s="18"/>
    </row>
    <row r="23" spans="1:27" ht="26.25" customHeight="1" x14ac:dyDescent="0.3">
      <c r="A23" s="44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18"/>
      <c r="M23" s="419"/>
      <c r="O23" s="18"/>
      <c r="P23" s="18"/>
      <c r="Q23" s="18"/>
      <c r="R23" s="18"/>
      <c r="S23" s="18"/>
      <c r="T23" s="18"/>
      <c r="U23" s="18"/>
    </row>
    <row r="24" spans="1:27" ht="26.25" hidden="1" customHeight="1" x14ac:dyDescent="0.3"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7" ht="25.5" hidden="1" customHeight="1" x14ac:dyDescent="0.3">
      <c r="B25" s="158" t="s">
        <v>1147</v>
      </c>
      <c r="C25" s="159"/>
      <c r="D25" s="159"/>
      <c r="E25" s="159"/>
      <c r="F25" s="159"/>
      <c r="G25" s="159"/>
      <c r="H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7" ht="25.5" hidden="1" customHeight="1" x14ac:dyDescent="0.3">
      <c r="B26" s="160" t="s">
        <v>1143</v>
      </c>
      <c r="C26" s="161">
        <v>45282</v>
      </c>
      <c r="D26" s="159" t="s">
        <v>1154</v>
      </c>
      <c r="E26" s="159"/>
      <c r="F26" s="159"/>
      <c r="G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5.5" hidden="1" customHeight="1" x14ac:dyDescent="0.3">
      <c r="B27" s="160" t="s">
        <v>1144</v>
      </c>
      <c r="C27" s="161">
        <v>45282</v>
      </c>
      <c r="D27" s="159" t="s">
        <v>1146</v>
      </c>
      <c r="E27" s="159"/>
      <c r="F27" s="159"/>
      <c r="G27" s="159"/>
      <c r="H27" s="159"/>
      <c r="I27" s="15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5.5" hidden="1" customHeight="1" x14ac:dyDescent="0.3">
      <c r="B28" s="160" t="s">
        <v>1148</v>
      </c>
      <c r="C28" s="162" t="s">
        <v>1145</v>
      </c>
      <c r="D28" s="159" t="s">
        <v>1155</v>
      </c>
      <c r="E28" s="159"/>
      <c r="F28" s="159"/>
      <c r="G28" s="159"/>
      <c r="H28" s="159"/>
      <c r="I28" s="159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20.100000000000001" hidden="1" customHeight="1" x14ac:dyDescent="0.3">
      <c r="B29" s="159"/>
      <c r="C29" s="159" t="s">
        <v>1149</v>
      </c>
      <c r="D29" s="159"/>
      <c r="E29" s="159"/>
      <c r="F29" s="159"/>
      <c r="G29" s="159"/>
      <c r="H29" s="159"/>
      <c r="I29" s="159"/>
      <c r="N29" t="s">
        <v>3557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6.5" hidden="1" customHeight="1" x14ac:dyDescent="0.3">
      <c r="O30" s="18"/>
      <c r="P30" s="18"/>
      <c r="Q30" s="18"/>
      <c r="R30" s="18"/>
      <c r="S30" s="18"/>
      <c r="T30" s="18"/>
      <c r="V30" s="18"/>
      <c r="W30" s="18"/>
      <c r="X30" s="18"/>
      <c r="Y30" s="18"/>
      <c r="Z30" s="18"/>
      <c r="AA30" s="18"/>
    </row>
    <row r="31" spans="1:27" ht="20.100000000000001" hidden="1" customHeight="1" x14ac:dyDescent="0.3">
      <c r="J31" s="159"/>
      <c r="O31" s="18"/>
      <c r="V31" s="18"/>
      <c r="W31" s="18"/>
      <c r="X31" s="18"/>
      <c r="Y31" s="18"/>
      <c r="Z31" s="18"/>
      <c r="AA31" s="18"/>
    </row>
    <row r="32" spans="1:27" x14ac:dyDescent="0.3">
      <c r="V32" s="18"/>
      <c r="W32" s="18"/>
      <c r="X32" s="18"/>
      <c r="Y32" s="18"/>
      <c r="Z32" s="18"/>
      <c r="AA32" s="18"/>
    </row>
    <row r="33" spans="1:20" x14ac:dyDescent="0.3">
      <c r="N33" s="18"/>
    </row>
    <row r="34" spans="1:20" ht="28.5" customHeight="1" x14ac:dyDescent="0.3">
      <c r="A34" s="345" t="s">
        <v>0</v>
      </c>
      <c r="B34" s="346" t="s">
        <v>1</v>
      </c>
      <c r="C34" s="345" t="s">
        <v>2</v>
      </c>
      <c r="D34" s="345" t="s">
        <v>3</v>
      </c>
      <c r="E34" s="345" t="s">
        <v>4</v>
      </c>
      <c r="F34" s="345" t="s">
        <v>5</v>
      </c>
      <c r="G34" s="345" t="s">
        <v>6</v>
      </c>
      <c r="H34" s="347" t="s">
        <v>7</v>
      </c>
      <c r="I34" s="345" t="s">
        <v>8</v>
      </c>
      <c r="J34" s="345" t="s">
        <v>9</v>
      </c>
      <c r="K34" s="348" t="s">
        <v>10</v>
      </c>
      <c r="L34" s="345" t="s">
        <v>12</v>
      </c>
      <c r="M34" s="345" t="s">
        <v>63</v>
      </c>
      <c r="N34" s="18"/>
    </row>
    <row r="35" spans="1:20" ht="28.5" customHeight="1" x14ac:dyDescent="0.3">
      <c r="A35" s="719" t="s">
        <v>4887</v>
      </c>
      <c r="B35" s="439">
        <v>46048</v>
      </c>
      <c r="C35" s="4" t="s">
        <v>21</v>
      </c>
      <c r="D35" s="4" t="s">
        <v>17</v>
      </c>
      <c r="E35" s="34" t="s">
        <v>3636</v>
      </c>
      <c r="F35" s="207">
        <v>3006</v>
      </c>
      <c r="G35" s="17" t="s">
        <v>23</v>
      </c>
      <c r="H35" s="334" t="s">
        <v>4765</v>
      </c>
      <c r="I35" s="34"/>
      <c r="J35" s="34" t="s">
        <v>3061</v>
      </c>
      <c r="K35" s="133" t="s">
        <v>15</v>
      </c>
      <c r="L35" s="17"/>
      <c r="M35" s="8" t="s">
        <v>4925</v>
      </c>
    </row>
    <row r="36" spans="1:20" ht="28.5" customHeight="1" x14ac:dyDescent="0.3">
      <c r="A36" s="720"/>
      <c r="B36" s="445"/>
      <c r="C36" s="4" t="s">
        <v>21</v>
      </c>
      <c r="D36" s="4" t="s">
        <v>17</v>
      </c>
      <c r="E36" s="207" t="s">
        <v>78</v>
      </c>
      <c r="F36" s="34" t="s">
        <v>4175</v>
      </c>
      <c r="G36" s="17" t="s">
        <v>83</v>
      </c>
      <c r="H36" s="207" t="s">
        <v>4889</v>
      </c>
      <c r="I36" s="34" t="s">
        <v>4831</v>
      </c>
      <c r="J36" s="34"/>
      <c r="K36" s="133" t="s">
        <v>15</v>
      </c>
      <c r="L36" s="17"/>
      <c r="M36" s="8" t="s">
        <v>4926</v>
      </c>
    </row>
    <row r="37" spans="1:20" ht="28.5" customHeight="1" x14ac:dyDescent="0.3">
      <c r="A37" s="720"/>
      <c r="B37" s="439">
        <v>46049</v>
      </c>
      <c r="C37" s="4" t="s">
        <v>21</v>
      </c>
      <c r="D37" s="4" t="s">
        <v>17</v>
      </c>
      <c r="E37" s="34" t="s">
        <v>3636</v>
      </c>
      <c r="F37" s="207">
        <v>3006</v>
      </c>
      <c r="G37" s="17" t="s">
        <v>23</v>
      </c>
      <c r="H37" s="334" t="s">
        <v>4765</v>
      </c>
      <c r="I37" s="34"/>
      <c r="J37" s="34" t="s">
        <v>3061</v>
      </c>
      <c r="K37" s="133" t="s">
        <v>15</v>
      </c>
      <c r="L37" s="17"/>
      <c r="M37" s="8" t="s">
        <v>4927</v>
      </c>
    </row>
    <row r="38" spans="1:20" ht="28.5" customHeight="1" x14ac:dyDescent="0.3">
      <c r="A38" s="720"/>
      <c r="B38" s="445"/>
      <c r="C38" s="4" t="s">
        <v>21</v>
      </c>
      <c r="D38" s="4" t="s">
        <v>17</v>
      </c>
      <c r="E38" s="207" t="s">
        <v>3477</v>
      </c>
      <c r="F38" s="34">
        <v>222003</v>
      </c>
      <c r="G38" s="17" t="s">
        <v>3448</v>
      </c>
      <c r="H38" s="334" t="s">
        <v>4856</v>
      </c>
      <c r="I38" s="34" t="s">
        <v>4697</v>
      </c>
      <c r="J38" s="34" t="s">
        <v>3043</v>
      </c>
      <c r="K38" s="133" t="s">
        <v>15</v>
      </c>
      <c r="L38" s="17"/>
      <c r="M38" s="8"/>
    </row>
    <row r="39" spans="1:20" ht="28.5" customHeight="1" x14ac:dyDescent="0.3">
      <c r="A39" s="720"/>
      <c r="B39" s="439">
        <v>46050</v>
      </c>
      <c r="C39" s="4" t="s">
        <v>21</v>
      </c>
      <c r="D39" s="4" t="s">
        <v>14</v>
      </c>
      <c r="E39" s="34" t="s">
        <v>1796</v>
      </c>
      <c r="F39" s="34" t="s">
        <v>2145</v>
      </c>
      <c r="G39" s="17" t="s">
        <v>1310</v>
      </c>
      <c r="H39" s="207" t="s">
        <v>4892</v>
      </c>
      <c r="I39" s="34" t="s">
        <v>4888</v>
      </c>
      <c r="J39" s="207"/>
      <c r="K39" s="133" t="s">
        <v>15</v>
      </c>
      <c r="L39" s="17"/>
      <c r="M39" s="8" t="s">
        <v>4928</v>
      </c>
    </row>
    <row r="40" spans="1:20" ht="28.5" customHeight="1" x14ac:dyDescent="0.3">
      <c r="A40" s="720"/>
      <c r="B40" s="445"/>
      <c r="C40" s="4" t="s">
        <v>21</v>
      </c>
      <c r="D40" s="4" t="s">
        <v>14</v>
      </c>
      <c r="E40" s="34" t="s">
        <v>212</v>
      </c>
      <c r="F40" s="34" t="s">
        <v>2941</v>
      </c>
      <c r="G40" s="17" t="s">
        <v>2942</v>
      </c>
      <c r="H40" s="207" t="s">
        <v>4906</v>
      </c>
      <c r="I40" s="34" t="s">
        <v>4879</v>
      </c>
      <c r="J40" s="34" t="s">
        <v>3002</v>
      </c>
      <c r="K40" s="133" t="s">
        <v>15</v>
      </c>
      <c r="L40" s="17"/>
      <c r="M40" s="8" t="s">
        <v>4929</v>
      </c>
    </row>
    <row r="41" spans="1:20" ht="28.5" customHeight="1" x14ac:dyDescent="0.3">
      <c r="A41" s="720"/>
      <c r="B41" s="445"/>
      <c r="C41" s="4" t="s">
        <v>21</v>
      </c>
      <c r="D41" s="4" t="s">
        <v>14</v>
      </c>
      <c r="E41" s="34" t="s">
        <v>2726</v>
      </c>
      <c r="F41" s="34" t="s">
        <v>3826</v>
      </c>
      <c r="G41" s="17"/>
      <c r="H41" s="207" t="s">
        <v>4881</v>
      </c>
      <c r="I41" s="34"/>
      <c r="J41" s="34" t="s">
        <v>4373</v>
      </c>
      <c r="K41" s="133" t="s">
        <v>42</v>
      </c>
      <c r="L41" s="17"/>
      <c r="M41" s="8"/>
    </row>
    <row r="42" spans="1:20" ht="28.5" customHeight="1" x14ac:dyDescent="0.3">
      <c r="A42" s="720"/>
      <c r="B42" s="439">
        <v>46051</v>
      </c>
      <c r="C42" s="4" t="s">
        <v>21</v>
      </c>
      <c r="D42" s="4" t="s">
        <v>14</v>
      </c>
      <c r="E42" s="207" t="s">
        <v>3477</v>
      </c>
      <c r="F42" s="34">
        <v>222003</v>
      </c>
      <c r="G42" s="17" t="s">
        <v>23</v>
      </c>
      <c r="H42" s="207" t="s">
        <v>4890</v>
      </c>
      <c r="I42" s="34" t="s">
        <v>90</v>
      </c>
      <c r="J42" s="34"/>
      <c r="K42" s="133" t="s">
        <v>15</v>
      </c>
      <c r="L42" s="17"/>
      <c r="M42" s="8" t="s">
        <v>4930</v>
      </c>
    </row>
    <row r="43" spans="1:20" ht="28.5" customHeight="1" x14ac:dyDescent="0.3">
      <c r="A43" s="720"/>
      <c r="B43" s="445"/>
      <c r="C43" s="4" t="s">
        <v>21</v>
      </c>
      <c r="D43" s="4" t="s">
        <v>14</v>
      </c>
      <c r="E43" s="34" t="s">
        <v>2726</v>
      </c>
      <c r="F43" s="34" t="s">
        <v>3826</v>
      </c>
      <c r="G43" s="17"/>
      <c r="H43" s="207" t="s">
        <v>4881</v>
      </c>
      <c r="I43" s="34"/>
      <c r="J43" s="34" t="s">
        <v>4373</v>
      </c>
      <c r="K43" s="133" t="s">
        <v>42</v>
      </c>
      <c r="L43" s="17"/>
      <c r="M43" s="8"/>
    </row>
    <row r="44" spans="1:20" ht="28.5" customHeight="1" x14ac:dyDescent="0.3">
      <c r="A44" s="720"/>
      <c r="B44" s="439">
        <v>46052</v>
      </c>
      <c r="C44" s="4" t="s">
        <v>21</v>
      </c>
      <c r="D44" s="4" t="s">
        <v>14</v>
      </c>
      <c r="E44" s="34" t="s">
        <v>1796</v>
      </c>
      <c r="F44" s="34" t="s">
        <v>2839</v>
      </c>
      <c r="G44" s="17" t="s">
        <v>4851</v>
      </c>
      <c r="H44" s="310" t="s">
        <v>4891</v>
      </c>
      <c r="I44" s="34" t="s">
        <v>90</v>
      </c>
      <c r="J44" s="34" t="s">
        <v>3160</v>
      </c>
      <c r="K44" s="133" t="s">
        <v>15</v>
      </c>
      <c r="L44" s="17"/>
      <c r="M44" s="8" t="s">
        <v>4931</v>
      </c>
      <c r="O44" s="18"/>
    </row>
    <row r="45" spans="1:20" ht="28.5" customHeight="1" x14ac:dyDescent="0.3">
      <c r="A45" s="720"/>
      <c r="B45" s="445"/>
      <c r="C45" s="4" t="s">
        <v>21</v>
      </c>
      <c r="D45" s="4" t="s">
        <v>14</v>
      </c>
      <c r="E45" s="34" t="s">
        <v>2726</v>
      </c>
      <c r="F45" s="34" t="s">
        <v>3826</v>
      </c>
      <c r="G45" s="17"/>
      <c r="H45" s="207" t="s">
        <v>4881</v>
      </c>
      <c r="I45" s="34"/>
      <c r="J45" s="34" t="s">
        <v>4373</v>
      </c>
      <c r="K45" s="133" t="s">
        <v>42</v>
      </c>
      <c r="L45" s="17"/>
      <c r="M45" s="8" t="s">
        <v>4932</v>
      </c>
      <c r="O45" s="18"/>
      <c r="P45" s="18"/>
      <c r="Q45" s="18"/>
      <c r="R45" s="18"/>
      <c r="S45" s="18"/>
      <c r="T45" s="18"/>
    </row>
    <row r="46" spans="1:20" ht="28.5" customHeight="1" x14ac:dyDescent="0.3">
      <c r="A46" s="720"/>
      <c r="B46" s="439">
        <v>46053</v>
      </c>
      <c r="C46" s="4"/>
      <c r="D46" s="4"/>
      <c r="E46" s="34"/>
      <c r="F46" s="34"/>
      <c r="G46" s="17"/>
      <c r="H46" s="207"/>
      <c r="I46" s="207"/>
      <c r="J46" s="207"/>
      <c r="K46" s="133"/>
      <c r="L46" s="17"/>
      <c r="M46" s="8"/>
      <c r="O46" s="18"/>
      <c r="P46" s="18"/>
      <c r="Q46" s="18"/>
      <c r="R46" s="18"/>
      <c r="S46" s="18"/>
      <c r="T46" s="18"/>
    </row>
    <row r="47" spans="1:20" ht="28.5" customHeight="1" x14ac:dyDescent="0.3">
      <c r="A47" s="721"/>
      <c r="B47" s="440"/>
      <c r="C47" s="4"/>
      <c r="D47" s="4"/>
      <c r="E47" s="34"/>
      <c r="F47" s="34"/>
      <c r="G47" s="17"/>
      <c r="H47" s="207"/>
      <c r="I47" s="207"/>
      <c r="J47" s="207"/>
      <c r="K47" s="133"/>
      <c r="L47" s="17"/>
      <c r="M47" s="8"/>
      <c r="O47" s="18"/>
      <c r="P47" s="18"/>
      <c r="Q47" s="18"/>
      <c r="R47" s="18"/>
      <c r="S47" s="18"/>
      <c r="T47" s="18"/>
    </row>
    <row r="48" spans="1:20" s="18" customFormat="1" ht="28.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O48"/>
    </row>
    <row r="49" spans="1:28" s="18" customFormat="1" ht="28.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 s="8" t="s">
        <v>2832</v>
      </c>
      <c r="N49"/>
      <c r="O49"/>
      <c r="P49"/>
    </row>
    <row r="50" spans="1:28" s="18" customFormat="1" ht="28.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 s="8" t="s">
        <v>2836</v>
      </c>
      <c r="N50"/>
      <c r="O50"/>
      <c r="P50"/>
      <c r="U50"/>
    </row>
    <row r="51" spans="1:28" s="18" customFormat="1" ht="28.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 s="8" t="s">
        <v>2833</v>
      </c>
      <c r="N51"/>
      <c r="O51"/>
      <c r="P51"/>
      <c r="Q51"/>
      <c r="R51"/>
      <c r="S51"/>
      <c r="T51"/>
      <c r="U51"/>
    </row>
    <row r="52" spans="1:28" s="18" customFormat="1" ht="28.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 s="8" t="s">
        <v>2837</v>
      </c>
      <c r="N52"/>
      <c r="O52"/>
      <c r="P52"/>
      <c r="Q52"/>
      <c r="R52"/>
      <c r="S52"/>
      <c r="T52"/>
      <c r="U52"/>
    </row>
    <row r="53" spans="1:28" s="18" customFormat="1" ht="28.5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 s="8" t="s">
        <v>2831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18" customFormat="1" ht="28.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 s="8" t="s">
        <v>2834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x14ac:dyDescent="0.3">
      <c r="M55" s="8" t="s">
        <v>2837</v>
      </c>
    </row>
    <row r="56" spans="1:28" x14ac:dyDescent="0.3">
      <c r="M56" s="8" t="s">
        <v>2834</v>
      </c>
    </row>
    <row r="57" spans="1:28" x14ac:dyDescent="0.3">
      <c r="M57" s="8" t="s">
        <v>2837</v>
      </c>
    </row>
    <row r="58" spans="1:28" x14ac:dyDescent="0.3">
      <c r="M58" s="8" t="s">
        <v>2838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35:A47"/>
    <mergeCell ref="H2:H3"/>
    <mergeCell ref="I2:I3"/>
    <mergeCell ref="J2:J3"/>
    <mergeCell ref="K2:K3"/>
    <mergeCell ref="A4:A10"/>
    <mergeCell ref="B10:K10"/>
    <mergeCell ref="A11:A18"/>
    <mergeCell ref="B19:K19"/>
    <mergeCell ref="A20:K20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3" max="12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62"/>
  <sheetViews>
    <sheetView topLeftCell="A2" zoomScale="85" zoomScaleNormal="85" zoomScaleSheetLayoutView="55" workbookViewId="0">
      <selection activeCell="F6" sqref="F6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4688</v>
      </c>
      <c r="B2" s="713" t="s">
        <v>1</v>
      </c>
      <c r="C2" s="713" t="s">
        <v>2</v>
      </c>
      <c r="D2" s="713" t="s">
        <v>3</v>
      </c>
      <c r="E2" s="462" t="s">
        <v>2636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1733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20</v>
      </c>
      <c r="B4" s="439">
        <v>46036</v>
      </c>
      <c r="C4" s="4" t="s">
        <v>307</v>
      </c>
      <c r="D4" s="4" t="s">
        <v>323</v>
      </c>
      <c r="E4" s="4" t="s">
        <v>308</v>
      </c>
      <c r="F4" s="207" t="s">
        <v>4740</v>
      </c>
      <c r="G4" s="17" t="s">
        <v>4762</v>
      </c>
      <c r="H4" s="441" t="s">
        <v>4436</v>
      </c>
      <c r="I4" s="4" t="s">
        <v>4736</v>
      </c>
      <c r="J4" s="4" t="s">
        <v>4739</v>
      </c>
      <c r="K4" s="4"/>
      <c r="L4" s="103">
        <v>250000</v>
      </c>
      <c r="M4" s="6" t="s">
        <v>4737</v>
      </c>
    </row>
    <row r="5" spans="1:20" ht="27.75" customHeight="1" x14ac:dyDescent="0.3">
      <c r="A5" s="521"/>
      <c r="B5" s="439">
        <v>46038</v>
      </c>
      <c r="C5" s="4" t="s">
        <v>307</v>
      </c>
      <c r="D5" s="4" t="s">
        <v>323</v>
      </c>
      <c r="E5" s="4" t="s">
        <v>308</v>
      </c>
      <c r="F5" s="207" t="s">
        <v>4775</v>
      </c>
      <c r="G5" s="17" t="s">
        <v>4776</v>
      </c>
      <c r="H5" s="441" t="s">
        <v>4975</v>
      </c>
      <c r="I5" s="4" t="s">
        <v>4821</v>
      </c>
      <c r="J5" s="4" t="s">
        <v>4761</v>
      </c>
      <c r="K5" s="4"/>
      <c r="L5" s="103">
        <v>500000</v>
      </c>
      <c r="M5" s="6" t="s">
        <v>4910</v>
      </c>
      <c r="N5" s="494" t="s">
        <v>4763</v>
      </c>
    </row>
    <row r="6" spans="1:20" ht="27.75" customHeight="1" x14ac:dyDescent="0.3">
      <c r="A6" s="521"/>
      <c r="B6" s="439" t="s">
        <v>4791</v>
      </c>
      <c r="C6" s="4" t="s">
        <v>307</v>
      </c>
      <c r="D6" s="4" t="s">
        <v>323</v>
      </c>
      <c r="E6" s="4" t="s">
        <v>308</v>
      </c>
      <c r="F6" s="207" t="s">
        <v>4810</v>
      </c>
      <c r="G6" s="17" t="s">
        <v>4811</v>
      </c>
      <c r="H6" s="441" t="s">
        <v>4812</v>
      </c>
      <c r="I6" s="4" t="s">
        <v>4821</v>
      </c>
      <c r="J6" s="4" t="s">
        <v>4790</v>
      </c>
      <c r="K6" s="4"/>
      <c r="L6" s="103">
        <v>1250000</v>
      </c>
      <c r="M6" s="6"/>
    </row>
    <row r="7" spans="1:20" ht="27.75" customHeight="1" x14ac:dyDescent="0.3">
      <c r="A7" s="521"/>
      <c r="B7" s="439" t="s">
        <v>4792</v>
      </c>
      <c r="C7" s="4" t="s">
        <v>307</v>
      </c>
      <c r="D7" s="4" t="s">
        <v>323</v>
      </c>
      <c r="E7" s="4" t="s">
        <v>308</v>
      </c>
      <c r="F7" s="207">
        <v>1569</v>
      </c>
      <c r="G7" s="17" t="s">
        <v>4813</v>
      </c>
      <c r="H7" s="441" t="s">
        <v>4814</v>
      </c>
      <c r="I7" s="4" t="s">
        <v>4821</v>
      </c>
      <c r="J7" s="4" t="s">
        <v>2860</v>
      </c>
      <c r="K7" s="4"/>
      <c r="L7" s="103">
        <v>500000</v>
      </c>
      <c r="M7" s="6"/>
    </row>
    <row r="8" spans="1:20" ht="27.75" customHeight="1" x14ac:dyDescent="0.3">
      <c r="A8" s="521"/>
      <c r="B8" s="439" t="s">
        <v>4793</v>
      </c>
      <c r="C8" s="4" t="s">
        <v>307</v>
      </c>
      <c r="D8" s="4" t="s">
        <v>323</v>
      </c>
      <c r="E8" s="4" t="s">
        <v>308</v>
      </c>
      <c r="F8" s="207" t="s">
        <v>4815</v>
      </c>
      <c r="G8" s="17" t="s">
        <v>4816</v>
      </c>
      <c r="H8" s="441" t="s">
        <v>4814</v>
      </c>
      <c r="I8" s="4" t="s">
        <v>4821</v>
      </c>
      <c r="J8" s="4" t="s">
        <v>3073</v>
      </c>
      <c r="K8" s="4"/>
      <c r="L8" s="103">
        <v>750000</v>
      </c>
      <c r="M8" s="6"/>
    </row>
    <row r="9" spans="1:20" ht="27.75" customHeight="1" x14ac:dyDescent="0.3">
      <c r="A9" s="521"/>
      <c r="B9" s="439" t="s">
        <v>4794</v>
      </c>
      <c r="C9" s="4" t="s">
        <v>307</v>
      </c>
      <c r="D9" s="4" t="s">
        <v>323</v>
      </c>
      <c r="E9" s="4" t="s">
        <v>308</v>
      </c>
      <c r="F9" s="207" t="s">
        <v>4817</v>
      </c>
      <c r="G9" s="133" t="s">
        <v>4818</v>
      </c>
      <c r="H9" s="441" t="s">
        <v>4820</v>
      </c>
      <c r="I9" s="4" t="s">
        <v>4821</v>
      </c>
      <c r="J9" s="4" t="s">
        <v>4722</v>
      </c>
      <c r="K9" s="4"/>
      <c r="L9" s="103">
        <v>750000</v>
      </c>
      <c r="M9" s="6"/>
    </row>
    <row r="10" spans="1:20" ht="27.75" customHeight="1" x14ac:dyDescent="0.3">
      <c r="A10" s="521"/>
      <c r="B10" s="439" t="s">
        <v>4795</v>
      </c>
      <c r="C10" s="4" t="s">
        <v>307</v>
      </c>
      <c r="D10" s="4" t="s">
        <v>323</v>
      </c>
      <c r="E10" s="4" t="s">
        <v>308</v>
      </c>
      <c r="F10" s="207">
        <v>594</v>
      </c>
      <c r="G10" s="133" t="s">
        <v>143</v>
      </c>
      <c r="H10" s="441" t="s">
        <v>4819</v>
      </c>
      <c r="I10" s="4" t="s">
        <v>4821</v>
      </c>
      <c r="J10" s="4" t="s">
        <v>4723</v>
      </c>
      <c r="K10" s="4"/>
      <c r="L10" s="103">
        <v>500000</v>
      </c>
      <c r="M10" s="6"/>
    </row>
    <row r="11" spans="1:20" ht="26.25" customHeight="1" x14ac:dyDescent="0.3">
      <c r="A11" s="521"/>
      <c r="B11" s="521" t="s">
        <v>1139</v>
      </c>
      <c r="C11" s="521"/>
      <c r="D11" s="521"/>
      <c r="E11" s="521"/>
      <c r="F11" s="521"/>
      <c r="G11" s="521"/>
      <c r="H11" s="521"/>
      <c r="I11" s="521"/>
      <c r="J11" s="521"/>
      <c r="K11" s="521"/>
      <c r="L11" s="103">
        <f>SUM(L4:L10)</f>
        <v>4500000</v>
      </c>
      <c r="M11" s="49"/>
      <c r="P11" s="462"/>
      <c r="Q11" s="462" t="s">
        <v>20</v>
      </c>
      <c r="R11" s="462" t="s">
        <v>21</v>
      </c>
      <c r="S11" s="462" t="s">
        <v>3504</v>
      </c>
      <c r="T11" s="462" t="s">
        <v>3505</v>
      </c>
    </row>
    <row r="12" spans="1:20" ht="25.5" customHeight="1" x14ac:dyDescent="0.3">
      <c r="A12" s="531" t="s">
        <v>21</v>
      </c>
      <c r="B12" s="439">
        <v>46036</v>
      </c>
      <c r="C12" s="4" t="s">
        <v>21</v>
      </c>
      <c r="D12" s="4" t="s">
        <v>4751</v>
      </c>
      <c r="E12" s="334" t="s">
        <v>4746</v>
      </c>
      <c r="F12" s="34" t="s">
        <v>4745</v>
      </c>
      <c r="G12" s="17" t="s">
        <v>4750</v>
      </c>
      <c r="H12" s="207" t="s">
        <v>4747</v>
      </c>
      <c r="I12" s="34" t="s">
        <v>4748</v>
      </c>
      <c r="J12" s="34" t="s">
        <v>4749</v>
      </c>
      <c r="K12" s="133" t="s">
        <v>15</v>
      </c>
      <c r="L12" s="100">
        <v>250000</v>
      </c>
      <c r="M12" s="6" t="s">
        <v>4753</v>
      </c>
      <c r="P12" s="34" t="s">
        <v>4788</v>
      </c>
      <c r="Q12" s="442">
        <v>750000</v>
      </c>
      <c r="R12" s="438">
        <v>1250000</v>
      </c>
      <c r="S12" s="438"/>
      <c r="T12" s="438">
        <f>SUM(Q12:S12)</f>
        <v>2000000</v>
      </c>
    </row>
    <row r="13" spans="1:20" ht="25.5" customHeight="1" x14ac:dyDescent="0.3">
      <c r="A13" s="532"/>
      <c r="B13" s="439" t="s">
        <v>4755</v>
      </c>
      <c r="C13" s="4" t="s">
        <v>21</v>
      </c>
      <c r="D13" s="4" t="s">
        <v>14</v>
      </c>
      <c r="E13" s="6" t="s">
        <v>4559</v>
      </c>
      <c r="F13" s="6">
        <v>1017</v>
      </c>
      <c r="G13" s="296" t="s">
        <v>23</v>
      </c>
      <c r="H13" s="207" t="s">
        <v>4741</v>
      </c>
      <c r="I13" s="207"/>
      <c r="J13" s="207" t="s">
        <v>4756</v>
      </c>
      <c r="K13" s="133" t="s">
        <v>15</v>
      </c>
      <c r="L13" s="100">
        <v>1000000</v>
      </c>
      <c r="M13" s="6" t="s">
        <v>4753</v>
      </c>
      <c r="P13" s="34" t="s">
        <v>4789</v>
      </c>
      <c r="Q13" s="442">
        <v>3750000</v>
      </c>
      <c r="R13" s="438">
        <v>2250000</v>
      </c>
      <c r="S13" s="438">
        <v>1200000</v>
      </c>
      <c r="T13" s="438">
        <f>SUM(Q13:S13)</f>
        <v>7200000</v>
      </c>
    </row>
    <row r="14" spans="1:20" ht="25.5" customHeight="1" x14ac:dyDescent="0.3">
      <c r="A14" s="532"/>
      <c r="B14" s="439">
        <v>46041</v>
      </c>
      <c r="C14" s="4" t="s">
        <v>21</v>
      </c>
      <c r="D14" s="4" t="s">
        <v>17</v>
      </c>
      <c r="E14" s="34" t="s">
        <v>3419</v>
      </c>
      <c r="F14" s="34" t="s">
        <v>364</v>
      </c>
      <c r="G14" s="17" t="s">
        <v>3420</v>
      </c>
      <c r="H14" s="207" t="s">
        <v>4742</v>
      </c>
      <c r="I14" s="34"/>
      <c r="J14" s="207" t="s">
        <v>4211</v>
      </c>
      <c r="K14" s="133" t="s">
        <v>15</v>
      </c>
      <c r="L14" s="100">
        <v>600000</v>
      </c>
      <c r="M14" s="6" t="s">
        <v>4796</v>
      </c>
      <c r="N14" s="451"/>
      <c r="P14" s="456" t="s">
        <v>53</v>
      </c>
      <c r="Q14" s="457">
        <f>SUM(Q12:Q13)</f>
        <v>4500000</v>
      </c>
      <c r="R14" s="457">
        <f t="shared" ref="R14:S14" si="0">SUM(R12:R13)</f>
        <v>3500000</v>
      </c>
      <c r="S14" s="457">
        <f t="shared" si="0"/>
        <v>1200000</v>
      </c>
      <c r="T14" s="457">
        <f>SUM(T12:T13)</f>
        <v>9200000</v>
      </c>
    </row>
    <row r="15" spans="1:20" ht="25.5" customHeight="1" x14ac:dyDescent="0.3">
      <c r="A15" s="532"/>
      <c r="B15" s="439">
        <v>46041</v>
      </c>
      <c r="C15" s="4" t="s">
        <v>21</v>
      </c>
      <c r="D15" s="4" t="s">
        <v>14</v>
      </c>
      <c r="E15" s="334" t="s">
        <v>1902</v>
      </c>
      <c r="F15" s="34" t="s">
        <v>4070</v>
      </c>
      <c r="G15" s="17" t="s">
        <v>1387</v>
      </c>
      <c r="H15" s="207" t="s">
        <v>4773</v>
      </c>
      <c r="I15" s="34"/>
      <c r="J15" s="34" t="s">
        <v>643</v>
      </c>
      <c r="K15" s="133" t="s">
        <v>15</v>
      </c>
      <c r="L15" s="100">
        <v>500000</v>
      </c>
      <c r="M15" s="6" t="s">
        <v>4797</v>
      </c>
    </row>
    <row r="16" spans="1:20" ht="25.5" customHeight="1" x14ac:dyDescent="0.3">
      <c r="A16" s="532"/>
      <c r="B16" s="439">
        <v>46042</v>
      </c>
      <c r="C16" s="4" t="s">
        <v>21</v>
      </c>
      <c r="D16" s="4" t="s">
        <v>17</v>
      </c>
      <c r="E16" s="207" t="s">
        <v>4760</v>
      </c>
      <c r="F16" s="207" t="s">
        <v>4759</v>
      </c>
      <c r="G16" s="17" t="s">
        <v>23</v>
      </c>
      <c r="H16" s="207" t="s">
        <v>4976</v>
      </c>
      <c r="I16" s="34"/>
      <c r="J16" s="34" t="s">
        <v>489</v>
      </c>
      <c r="K16" s="133" t="s">
        <v>15</v>
      </c>
      <c r="L16" s="100">
        <v>500000</v>
      </c>
      <c r="M16" s="6" t="s">
        <v>4798</v>
      </c>
    </row>
    <row r="17" spans="1:27" ht="25.5" customHeight="1" x14ac:dyDescent="0.3">
      <c r="A17" s="532"/>
      <c r="B17" s="439">
        <v>46042</v>
      </c>
      <c r="C17" s="4" t="s">
        <v>21</v>
      </c>
      <c r="D17" s="4" t="s">
        <v>14</v>
      </c>
      <c r="E17" s="34" t="s">
        <v>108</v>
      </c>
      <c r="F17" s="207" t="s">
        <v>3362</v>
      </c>
      <c r="G17" s="17" t="s">
        <v>1396</v>
      </c>
      <c r="H17" s="207" t="s">
        <v>4638</v>
      </c>
      <c r="I17" s="207"/>
      <c r="J17" s="207" t="s">
        <v>3353</v>
      </c>
      <c r="K17" s="133" t="s">
        <v>15</v>
      </c>
      <c r="L17" s="100">
        <v>300000</v>
      </c>
      <c r="M17" s="6" t="s">
        <v>4799</v>
      </c>
      <c r="N17" s="451"/>
    </row>
    <row r="18" spans="1:27" ht="25.5" customHeight="1" x14ac:dyDescent="0.3">
      <c r="A18" s="532"/>
      <c r="B18" s="439">
        <v>46042</v>
      </c>
      <c r="C18" s="4" t="s">
        <v>21</v>
      </c>
      <c r="D18" s="4" t="s">
        <v>17</v>
      </c>
      <c r="E18" s="34" t="s">
        <v>108</v>
      </c>
      <c r="F18" s="34" t="s">
        <v>271</v>
      </c>
      <c r="G18" s="17" t="s">
        <v>4825</v>
      </c>
      <c r="H18" s="334" t="s">
        <v>4827</v>
      </c>
      <c r="I18" s="34" t="s">
        <v>90</v>
      </c>
      <c r="J18" s="133" t="s">
        <v>4824</v>
      </c>
      <c r="K18" s="133" t="s">
        <v>15</v>
      </c>
      <c r="L18" s="100">
        <v>250000</v>
      </c>
      <c r="M18" s="6" t="s">
        <v>4800</v>
      </c>
    </row>
    <row r="19" spans="1:27" ht="25.5" customHeight="1" x14ac:dyDescent="0.3">
      <c r="A19" s="532"/>
      <c r="B19" s="439">
        <v>46043</v>
      </c>
      <c r="C19" s="4" t="s">
        <v>21</v>
      </c>
      <c r="D19" s="4" t="s">
        <v>17</v>
      </c>
      <c r="E19" s="207" t="s">
        <v>78</v>
      </c>
      <c r="F19" s="34">
        <v>7060</v>
      </c>
      <c r="G19" s="17" t="s">
        <v>4711</v>
      </c>
      <c r="H19" s="334" t="s">
        <v>4784</v>
      </c>
      <c r="I19" s="34" t="s">
        <v>90</v>
      </c>
      <c r="J19" s="34" t="s">
        <v>4785</v>
      </c>
      <c r="K19" s="133" t="s">
        <v>15</v>
      </c>
      <c r="L19" s="100">
        <v>500000</v>
      </c>
      <c r="M19" s="6" t="s">
        <v>4800</v>
      </c>
    </row>
    <row r="20" spans="1:27" ht="25.5" customHeight="1" x14ac:dyDescent="0.3">
      <c r="A20" s="532"/>
      <c r="B20" s="439">
        <v>46043</v>
      </c>
      <c r="C20" s="4" t="s">
        <v>21</v>
      </c>
      <c r="D20" s="4" t="s">
        <v>17</v>
      </c>
      <c r="E20" s="207" t="s">
        <v>78</v>
      </c>
      <c r="F20" s="34">
        <v>7060</v>
      </c>
      <c r="G20" s="17" t="s">
        <v>4787</v>
      </c>
      <c r="H20" s="334" t="s">
        <v>4783</v>
      </c>
      <c r="I20" s="34" t="s">
        <v>90</v>
      </c>
      <c r="J20" s="34" t="s">
        <v>4786</v>
      </c>
      <c r="K20" s="133" t="s">
        <v>15</v>
      </c>
      <c r="L20" s="100">
        <v>300000</v>
      </c>
      <c r="M20" s="6" t="s">
        <v>4800</v>
      </c>
      <c r="N20" s="451"/>
    </row>
    <row r="21" spans="1:27" ht="25.5" customHeight="1" x14ac:dyDescent="0.3">
      <c r="A21" s="532"/>
      <c r="B21" s="439">
        <v>46045</v>
      </c>
      <c r="C21" s="4" t="s">
        <v>21</v>
      </c>
      <c r="D21" s="4" t="s">
        <v>14</v>
      </c>
      <c r="E21" s="34" t="s">
        <v>1796</v>
      </c>
      <c r="F21" s="34" t="s">
        <v>2145</v>
      </c>
      <c r="G21" s="17" t="s">
        <v>23</v>
      </c>
      <c r="H21" s="207" t="s">
        <v>4770</v>
      </c>
      <c r="I21" s="133" t="s">
        <v>90</v>
      </c>
      <c r="J21" s="207" t="s">
        <v>4769</v>
      </c>
      <c r="K21" s="133" t="s">
        <v>15</v>
      </c>
      <c r="L21" s="100">
        <v>500000</v>
      </c>
      <c r="M21" s="49" t="s">
        <v>4799</v>
      </c>
      <c r="P21" s="18"/>
      <c r="Q21" s="18"/>
      <c r="R21" s="18"/>
      <c r="S21" s="18"/>
      <c r="T21" s="18"/>
    </row>
    <row r="22" spans="1:27" ht="25.5" customHeight="1" x14ac:dyDescent="0.3">
      <c r="A22" s="495"/>
      <c r="B22" s="715" t="s">
        <v>1138</v>
      </c>
      <c r="C22" s="716"/>
      <c r="D22" s="716"/>
      <c r="E22" s="716"/>
      <c r="F22" s="716"/>
      <c r="G22" s="716"/>
      <c r="H22" s="716"/>
      <c r="I22" s="716"/>
      <c r="J22" s="716"/>
      <c r="K22" s="717"/>
      <c r="L22" s="103">
        <f>SUM(L12:L21)</f>
        <v>4700000</v>
      </c>
      <c r="M22" s="49"/>
      <c r="P22" s="18"/>
      <c r="Q22" s="18"/>
      <c r="R22" s="18"/>
      <c r="S22" s="18"/>
      <c r="T22" s="18"/>
    </row>
    <row r="23" spans="1:27" ht="25.5" customHeight="1" x14ac:dyDescent="0.3">
      <c r="A23" s="718" t="s">
        <v>62</v>
      </c>
      <c r="B23" s="718"/>
      <c r="C23" s="718"/>
      <c r="D23" s="718"/>
      <c r="E23" s="718"/>
      <c r="F23" s="718"/>
      <c r="G23" s="718"/>
      <c r="H23" s="718"/>
      <c r="I23" s="718"/>
      <c r="J23" s="718"/>
      <c r="K23" s="718"/>
      <c r="L23" s="403">
        <f>L11+L22</f>
        <v>9200000</v>
      </c>
      <c r="M23" s="42"/>
      <c r="P23" s="18"/>
      <c r="Q23" s="18"/>
      <c r="R23" s="18"/>
      <c r="S23" s="18"/>
      <c r="T23" s="18"/>
    </row>
    <row r="24" spans="1:27" ht="26.25" customHeight="1" x14ac:dyDescent="0.3">
      <c r="P24" s="18"/>
      <c r="Q24" s="18"/>
      <c r="R24" s="18"/>
      <c r="S24" s="18"/>
      <c r="T24" s="18"/>
      <c r="U24" s="18"/>
    </row>
    <row r="25" spans="1:27" ht="26.25" customHeight="1" x14ac:dyDescent="0.3">
      <c r="O25" s="18"/>
      <c r="P25" s="18"/>
      <c r="Q25" s="18"/>
      <c r="R25" s="18"/>
      <c r="S25" s="18"/>
      <c r="T25" s="18"/>
      <c r="U25" s="18"/>
    </row>
    <row r="26" spans="1:27" ht="26.25" customHeight="1" x14ac:dyDescent="0.3">
      <c r="A26" s="447"/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18"/>
      <c r="M26" s="419"/>
      <c r="O26" s="18"/>
      <c r="P26" s="18"/>
      <c r="Q26" s="18"/>
      <c r="R26" s="18"/>
      <c r="S26" s="18"/>
      <c r="T26" s="18"/>
      <c r="U26" s="18"/>
    </row>
    <row r="27" spans="1:27" ht="26.25" hidden="1" customHeight="1" x14ac:dyDescent="0.3"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7" ht="25.5" hidden="1" customHeight="1" x14ac:dyDescent="0.3">
      <c r="B28" s="158" t="s">
        <v>1147</v>
      </c>
      <c r="C28" s="159"/>
      <c r="D28" s="159"/>
      <c r="E28" s="159"/>
      <c r="F28" s="159"/>
      <c r="G28" s="159"/>
      <c r="H28" s="159"/>
      <c r="I28" s="159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7" ht="25.5" hidden="1" customHeight="1" x14ac:dyDescent="0.3">
      <c r="B29" s="160" t="s">
        <v>3549</v>
      </c>
      <c r="C29" s="161">
        <v>45282</v>
      </c>
      <c r="D29" s="159" t="s">
        <v>1154</v>
      </c>
      <c r="E29" s="159"/>
      <c r="F29" s="159"/>
      <c r="G29" s="159"/>
      <c r="I29" s="159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25.5" hidden="1" customHeight="1" x14ac:dyDescent="0.3">
      <c r="B30" s="160" t="s">
        <v>1144</v>
      </c>
      <c r="C30" s="161">
        <v>45282</v>
      </c>
      <c r="D30" s="159" t="s">
        <v>1146</v>
      </c>
      <c r="E30" s="159"/>
      <c r="F30" s="159"/>
      <c r="G30" s="159"/>
      <c r="H30" s="159"/>
      <c r="I30" s="159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25.5" hidden="1" customHeight="1" x14ac:dyDescent="0.3">
      <c r="B31" s="160" t="s">
        <v>1148</v>
      </c>
      <c r="C31" s="162" t="s">
        <v>1145</v>
      </c>
      <c r="D31" s="159" t="s">
        <v>1155</v>
      </c>
      <c r="E31" s="159"/>
      <c r="F31" s="159"/>
      <c r="G31" s="159"/>
      <c r="H31" s="159"/>
      <c r="I31" s="159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20.100000000000001" hidden="1" customHeight="1" x14ac:dyDescent="0.3">
      <c r="B32" s="159"/>
      <c r="C32" s="159" t="s">
        <v>1149</v>
      </c>
      <c r="D32" s="159"/>
      <c r="E32" s="159"/>
      <c r="F32" s="159"/>
      <c r="G32" s="159"/>
      <c r="H32" s="159"/>
      <c r="I32" s="159"/>
      <c r="N32" t="s">
        <v>3557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6.5" hidden="1" customHeight="1" x14ac:dyDescent="0.3">
      <c r="O33" s="18"/>
      <c r="P33" s="18"/>
      <c r="Q33" s="18"/>
      <c r="R33" s="18"/>
      <c r="S33" s="18"/>
      <c r="T33" s="18"/>
      <c r="V33" s="18"/>
      <c r="W33" s="18"/>
      <c r="X33" s="18"/>
      <c r="Y33" s="18"/>
      <c r="Z33" s="18"/>
      <c r="AA33" s="18"/>
    </row>
    <row r="34" spans="1:27" ht="20.100000000000001" hidden="1" customHeight="1" x14ac:dyDescent="0.3">
      <c r="J34" s="159"/>
      <c r="O34" s="18"/>
      <c r="V34" s="18"/>
      <c r="W34" s="18"/>
      <c r="X34" s="18"/>
      <c r="Y34" s="18"/>
      <c r="Z34" s="18"/>
      <c r="AA34" s="18"/>
    </row>
    <row r="35" spans="1:27" x14ac:dyDescent="0.3">
      <c r="V35" s="18"/>
      <c r="W35" s="18"/>
      <c r="X35" s="18"/>
      <c r="Y35" s="18"/>
      <c r="Z35" s="18"/>
      <c r="AA35" s="18"/>
    </row>
    <row r="36" spans="1:27" x14ac:dyDescent="0.3">
      <c r="N36" s="18"/>
    </row>
    <row r="37" spans="1:27" ht="28.5" customHeight="1" x14ac:dyDescent="0.3">
      <c r="A37" s="345" t="s">
        <v>0</v>
      </c>
      <c r="B37" s="346" t="s">
        <v>1</v>
      </c>
      <c r="C37" s="345" t="s">
        <v>2</v>
      </c>
      <c r="D37" s="345" t="s">
        <v>3</v>
      </c>
      <c r="E37" s="345" t="s">
        <v>4</v>
      </c>
      <c r="F37" s="345" t="s">
        <v>5</v>
      </c>
      <c r="G37" s="345" t="s">
        <v>6</v>
      </c>
      <c r="H37" s="347" t="s">
        <v>7</v>
      </c>
      <c r="I37" s="345" t="s">
        <v>8</v>
      </c>
      <c r="J37" s="345" t="s">
        <v>9</v>
      </c>
      <c r="K37" s="348" t="s">
        <v>10</v>
      </c>
      <c r="L37" s="345" t="s">
        <v>12</v>
      </c>
      <c r="M37" s="345" t="s">
        <v>63</v>
      </c>
      <c r="N37" s="18"/>
    </row>
    <row r="38" spans="1:27" ht="28.5" customHeight="1" x14ac:dyDescent="0.3">
      <c r="A38" s="719" t="s">
        <v>4777</v>
      </c>
      <c r="B38" s="439">
        <v>46041</v>
      </c>
      <c r="C38" s="4" t="s">
        <v>21</v>
      </c>
      <c r="D38" s="4" t="s">
        <v>17</v>
      </c>
      <c r="E38" s="34" t="s">
        <v>3419</v>
      </c>
      <c r="F38" s="34" t="s">
        <v>364</v>
      </c>
      <c r="G38" s="17" t="s">
        <v>3420</v>
      </c>
      <c r="H38" s="207" t="s">
        <v>4742</v>
      </c>
      <c r="I38" s="34"/>
      <c r="J38" s="207" t="s">
        <v>4211</v>
      </c>
      <c r="K38" s="133" t="s">
        <v>15</v>
      </c>
      <c r="L38" s="17">
        <v>2</v>
      </c>
      <c r="M38" s="8" t="s">
        <v>4801</v>
      </c>
    </row>
    <row r="39" spans="1:27" ht="28.5" customHeight="1" x14ac:dyDescent="0.3">
      <c r="A39" s="720"/>
      <c r="B39" s="445"/>
      <c r="C39" s="4" t="s">
        <v>21</v>
      </c>
      <c r="D39" s="4" t="s">
        <v>17</v>
      </c>
      <c r="E39" s="207" t="s">
        <v>78</v>
      </c>
      <c r="F39" s="34" t="s">
        <v>4070</v>
      </c>
      <c r="G39" s="17" t="s">
        <v>1387</v>
      </c>
      <c r="H39" s="207" t="s">
        <v>4780</v>
      </c>
      <c r="I39" s="34" t="s">
        <v>4768</v>
      </c>
      <c r="J39" s="34"/>
      <c r="K39" s="133" t="s">
        <v>15</v>
      </c>
      <c r="L39" s="17">
        <v>2</v>
      </c>
      <c r="M39" s="8" t="s">
        <v>4802</v>
      </c>
    </row>
    <row r="40" spans="1:27" ht="28.5" customHeight="1" x14ac:dyDescent="0.3">
      <c r="A40" s="720"/>
      <c r="B40" s="445"/>
      <c r="C40" s="4" t="s">
        <v>21</v>
      </c>
      <c r="D40" s="4" t="s">
        <v>14</v>
      </c>
      <c r="E40" s="334" t="s">
        <v>1902</v>
      </c>
      <c r="F40" s="34" t="s">
        <v>4070</v>
      </c>
      <c r="G40" s="17" t="s">
        <v>1387</v>
      </c>
      <c r="H40" s="207" t="s">
        <v>4773</v>
      </c>
      <c r="I40" s="34"/>
      <c r="J40" s="34" t="s">
        <v>643</v>
      </c>
      <c r="K40" s="133" t="s">
        <v>15</v>
      </c>
      <c r="L40" s="17">
        <v>2</v>
      </c>
      <c r="M40" s="8" t="s">
        <v>4803</v>
      </c>
    </row>
    <row r="41" spans="1:27" ht="28.5" customHeight="1" x14ac:dyDescent="0.3">
      <c r="A41" s="720"/>
      <c r="B41" s="439">
        <v>46042</v>
      </c>
      <c r="C41" s="4" t="s">
        <v>21</v>
      </c>
      <c r="D41" s="4" t="s">
        <v>17</v>
      </c>
      <c r="E41" s="207" t="s">
        <v>4760</v>
      </c>
      <c r="F41" s="207" t="s">
        <v>4759</v>
      </c>
      <c r="G41" s="17" t="s">
        <v>23</v>
      </c>
      <c r="H41" s="207" t="s">
        <v>4822</v>
      </c>
      <c r="I41" s="34"/>
      <c r="J41" s="34" t="s">
        <v>489</v>
      </c>
      <c r="K41" s="133" t="s">
        <v>15</v>
      </c>
      <c r="L41" s="17">
        <v>2</v>
      </c>
      <c r="M41" s="8" t="s">
        <v>4804</v>
      </c>
    </row>
    <row r="42" spans="1:27" ht="28.5" customHeight="1" x14ac:dyDescent="0.3">
      <c r="A42" s="720"/>
      <c r="B42" s="445"/>
      <c r="C42" s="4" t="s">
        <v>21</v>
      </c>
      <c r="D42" s="4" t="s">
        <v>14</v>
      </c>
      <c r="E42" s="34" t="s">
        <v>108</v>
      </c>
      <c r="F42" s="207" t="s">
        <v>3362</v>
      </c>
      <c r="G42" s="17" t="s">
        <v>1396</v>
      </c>
      <c r="H42" s="207" t="s">
        <v>4638</v>
      </c>
      <c r="I42" s="207"/>
      <c r="J42" s="207" t="s">
        <v>3353</v>
      </c>
      <c r="K42" s="133" t="s">
        <v>15</v>
      </c>
      <c r="L42" s="17">
        <v>1</v>
      </c>
      <c r="M42" s="8" t="s">
        <v>4805</v>
      </c>
    </row>
    <row r="43" spans="1:27" ht="28.5" customHeight="1" x14ac:dyDescent="0.3">
      <c r="A43" s="720"/>
      <c r="B43" s="445"/>
      <c r="C43" s="4" t="s">
        <v>21</v>
      </c>
      <c r="D43" s="4" t="s">
        <v>17</v>
      </c>
      <c r="E43" s="34" t="s">
        <v>108</v>
      </c>
      <c r="F43" s="34" t="s">
        <v>271</v>
      </c>
      <c r="G43" s="17" t="s">
        <v>349</v>
      </c>
      <c r="H43" s="334" t="s">
        <v>4828</v>
      </c>
      <c r="I43" s="34" t="s">
        <v>640</v>
      </c>
      <c r="J43" s="133" t="s">
        <v>4826</v>
      </c>
      <c r="K43" s="133" t="s">
        <v>15</v>
      </c>
      <c r="L43" s="17">
        <v>2</v>
      </c>
      <c r="M43" s="8"/>
    </row>
    <row r="44" spans="1:27" ht="28.5" customHeight="1" x14ac:dyDescent="0.3">
      <c r="A44" s="720"/>
      <c r="B44" s="439">
        <v>46043</v>
      </c>
      <c r="C44" s="4" t="s">
        <v>21</v>
      </c>
      <c r="D44" s="4" t="s">
        <v>17</v>
      </c>
      <c r="E44" s="207" t="s">
        <v>78</v>
      </c>
      <c r="F44" s="34">
        <v>7060</v>
      </c>
      <c r="G44" s="17" t="s">
        <v>4711</v>
      </c>
      <c r="H44" s="334" t="s">
        <v>4781</v>
      </c>
      <c r="I44" s="34" t="s">
        <v>90</v>
      </c>
      <c r="J44" s="34" t="s">
        <v>4594</v>
      </c>
      <c r="K44" s="133" t="s">
        <v>15</v>
      </c>
      <c r="L44" s="17">
        <v>3</v>
      </c>
      <c r="M44" s="8" t="s">
        <v>4806</v>
      </c>
    </row>
    <row r="45" spans="1:27" ht="28.5" customHeight="1" x14ac:dyDescent="0.3">
      <c r="A45" s="720"/>
      <c r="B45" s="445"/>
      <c r="C45" s="4"/>
      <c r="D45" s="4"/>
      <c r="E45" s="310"/>
      <c r="F45" s="34"/>
      <c r="G45" s="17"/>
      <c r="H45" s="207"/>
      <c r="I45" s="34"/>
      <c r="J45" s="34"/>
      <c r="K45" s="133"/>
      <c r="L45" s="17"/>
      <c r="M45" s="8"/>
    </row>
    <row r="46" spans="1:27" ht="28.5" customHeight="1" x14ac:dyDescent="0.3">
      <c r="A46" s="720"/>
      <c r="B46" s="439">
        <v>46044</v>
      </c>
      <c r="C46" s="4" t="s">
        <v>21</v>
      </c>
      <c r="D46" s="4" t="s">
        <v>14</v>
      </c>
      <c r="E46" s="207" t="s">
        <v>624</v>
      </c>
      <c r="F46" s="34" t="s">
        <v>2856</v>
      </c>
      <c r="G46" s="17" t="s">
        <v>23</v>
      </c>
      <c r="H46" s="207" t="s">
        <v>4782</v>
      </c>
      <c r="I46" s="34" t="s">
        <v>4697</v>
      </c>
      <c r="J46" s="34"/>
      <c r="K46" s="133" t="s">
        <v>15</v>
      </c>
      <c r="L46" s="17">
        <v>2</v>
      </c>
      <c r="M46" s="8" t="s">
        <v>4807</v>
      </c>
    </row>
    <row r="47" spans="1:27" ht="28.5" customHeight="1" x14ac:dyDescent="0.3">
      <c r="A47" s="720"/>
      <c r="B47" s="445"/>
      <c r="C47" s="4"/>
      <c r="D47" s="4"/>
      <c r="E47" s="34"/>
      <c r="F47" s="34"/>
      <c r="G47" s="17"/>
      <c r="H47" s="207"/>
      <c r="I47" s="34"/>
      <c r="J47" s="34"/>
      <c r="K47" s="133"/>
      <c r="L47" s="17"/>
      <c r="M47" s="8"/>
    </row>
    <row r="48" spans="1:27" ht="28.5" customHeight="1" x14ac:dyDescent="0.3">
      <c r="A48" s="720"/>
      <c r="B48" s="439">
        <v>46045</v>
      </c>
      <c r="C48" s="4" t="s">
        <v>21</v>
      </c>
      <c r="D48" s="4" t="s">
        <v>14</v>
      </c>
      <c r="E48" s="34" t="s">
        <v>1796</v>
      </c>
      <c r="F48" s="34" t="s">
        <v>2145</v>
      </c>
      <c r="G48" s="17" t="s">
        <v>23</v>
      </c>
      <c r="H48" s="207" t="s">
        <v>4770</v>
      </c>
      <c r="I48" s="133" t="s">
        <v>90</v>
      </c>
      <c r="J48" s="207" t="s">
        <v>4769</v>
      </c>
      <c r="K48" s="133" t="s">
        <v>15</v>
      </c>
      <c r="L48" s="17">
        <v>3</v>
      </c>
      <c r="M48" s="8" t="s">
        <v>4808</v>
      </c>
      <c r="O48" s="18"/>
    </row>
    <row r="49" spans="1:28" ht="28.5" customHeight="1" x14ac:dyDescent="0.3">
      <c r="A49" s="720"/>
      <c r="B49" s="445"/>
      <c r="C49" s="4"/>
      <c r="D49" s="4"/>
      <c r="E49" s="34"/>
      <c r="F49" s="34"/>
      <c r="G49" s="17"/>
      <c r="H49" s="207"/>
      <c r="I49" s="34"/>
      <c r="J49" s="34"/>
      <c r="K49" s="133"/>
      <c r="L49" s="17"/>
      <c r="M49" s="8" t="s">
        <v>4809</v>
      </c>
      <c r="O49" s="18"/>
      <c r="P49" s="18"/>
      <c r="Q49" s="18"/>
      <c r="R49" s="18"/>
      <c r="S49" s="18"/>
      <c r="T49" s="18"/>
    </row>
    <row r="50" spans="1:28" ht="28.5" customHeight="1" x14ac:dyDescent="0.3">
      <c r="A50" s="720"/>
      <c r="B50" s="439">
        <v>46046</v>
      </c>
      <c r="C50" s="4"/>
      <c r="D50" s="4"/>
      <c r="E50" s="34"/>
      <c r="F50" s="34"/>
      <c r="G50" s="17"/>
      <c r="H50" s="207"/>
      <c r="I50" s="207"/>
      <c r="J50" s="207"/>
      <c r="K50" s="133"/>
      <c r="L50" s="17"/>
      <c r="M50" s="8"/>
      <c r="O50" s="18"/>
      <c r="P50" s="18"/>
      <c r="Q50" s="18"/>
      <c r="R50" s="18"/>
      <c r="S50" s="18"/>
      <c r="T50" s="18"/>
    </row>
    <row r="51" spans="1:28" ht="28.5" customHeight="1" x14ac:dyDescent="0.3">
      <c r="A51" s="721"/>
      <c r="B51" s="440"/>
      <c r="C51" s="4"/>
      <c r="D51" s="4"/>
      <c r="E51" s="34"/>
      <c r="F51" s="34"/>
      <c r="G51" s="17"/>
      <c r="H51" s="207"/>
      <c r="I51" s="207"/>
      <c r="J51" s="207"/>
      <c r="K51" s="133"/>
      <c r="L51" s="17"/>
      <c r="M51" s="8"/>
      <c r="O51" s="18"/>
      <c r="P51" s="18"/>
      <c r="Q51" s="18"/>
      <c r="R51" s="18"/>
      <c r="S51" s="18"/>
      <c r="T51" s="18"/>
    </row>
    <row r="52" spans="1:28" s="18" customFormat="1" ht="28.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O52"/>
    </row>
    <row r="53" spans="1:28" s="18" customFormat="1" ht="28.5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 s="8" t="s">
        <v>2832</v>
      </c>
      <c r="N53"/>
      <c r="O53"/>
      <c r="P53"/>
    </row>
    <row r="54" spans="1:28" s="18" customFormat="1" ht="28.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 s="8" t="s">
        <v>2836</v>
      </c>
      <c r="N54"/>
      <c r="O54"/>
      <c r="P54"/>
      <c r="U54"/>
    </row>
    <row r="55" spans="1:28" s="18" customFormat="1" ht="28.5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 s="8" t="s">
        <v>2833</v>
      </c>
      <c r="N55"/>
      <c r="O55"/>
      <c r="P55"/>
      <c r="Q55"/>
      <c r="R55"/>
      <c r="S55"/>
      <c r="T55"/>
      <c r="U55"/>
    </row>
    <row r="56" spans="1:28" s="18" customFormat="1" ht="28.5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 s="8" t="s">
        <v>2837</v>
      </c>
      <c r="N56"/>
      <c r="O56"/>
      <c r="P56"/>
      <c r="Q56"/>
      <c r="R56"/>
      <c r="S56"/>
      <c r="T56"/>
      <c r="U56"/>
    </row>
    <row r="57" spans="1:28" s="18" customFormat="1" ht="28.5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 s="8" t="s">
        <v>2831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s="18" customFormat="1" ht="28.5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 s="8" t="s">
        <v>2834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x14ac:dyDescent="0.3">
      <c r="M59" s="8" t="s">
        <v>2837</v>
      </c>
    </row>
    <row r="60" spans="1:28" x14ac:dyDescent="0.3">
      <c r="M60" s="8" t="s">
        <v>2834</v>
      </c>
    </row>
    <row r="61" spans="1:28" x14ac:dyDescent="0.3">
      <c r="M61" s="8" t="s">
        <v>2837</v>
      </c>
    </row>
    <row r="62" spans="1:28" x14ac:dyDescent="0.3">
      <c r="M62" s="8" t="s">
        <v>2838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38:A51"/>
    <mergeCell ref="H2:H3"/>
    <mergeCell ref="I2:I3"/>
    <mergeCell ref="J2:J3"/>
    <mergeCell ref="K2:K3"/>
    <mergeCell ref="A4:A11"/>
    <mergeCell ref="B11:K11"/>
    <mergeCell ref="A12:A21"/>
    <mergeCell ref="A23:K23"/>
    <mergeCell ref="B22:K22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6" max="12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65"/>
  <sheetViews>
    <sheetView topLeftCell="A2" zoomScale="85" zoomScaleNormal="85" zoomScaleSheetLayoutView="55" workbookViewId="0">
      <selection activeCell="K16" sqref="K16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3348</v>
      </c>
      <c r="B2" s="713" t="s">
        <v>1</v>
      </c>
      <c r="C2" s="713" t="s">
        <v>2</v>
      </c>
      <c r="D2" s="713" t="s">
        <v>3</v>
      </c>
      <c r="E2" s="462" t="s">
        <v>2636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1733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124</v>
      </c>
      <c r="B4" s="439">
        <v>46029</v>
      </c>
      <c r="C4" s="4" t="s">
        <v>307</v>
      </c>
      <c r="D4" s="4" t="s">
        <v>323</v>
      </c>
      <c r="E4" s="4" t="s">
        <v>308</v>
      </c>
      <c r="F4" s="207" t="s">
        <v>4603</v>
      </c>
      <c r="G4" s="133" t="s">
        <v>4602</v>
      </c>
      <c r="H4" s="441" t="s">
        <v>4608</v>
      </c>
      <c r="I4" s="4" t="s">
        <v>4605</v>
      </c>
      <c r="J4" s="4" t="s">
        <v>4604</v>
      </c>
      <c r="K4" s="4"/>
      <c r="L4" s="103">
        <v>750000</v>
      </c>
      <c r="M4" s="6" t="s">
        <v>4606</v>
      </c>
    </row>
    <row r="5" spans="1:20" ht="27.75" customHeight="1" x14ac:dyDescent="0.3">
      <c r="A5" s="521"/>
      <c r="B5" s="439">
        <v>46032</v>
      </c>
      <c r="C5" s="4" t="s">
        <v>307</v>
      </c>
      <c r="D5" s="4" t="s">
        <v>323</v>
      </c>
      <c r="E5" s="4" t="s">
        <v>308</v>
      </c>
      <c r="F5" s="207" t="s">
        <v>4603</v>
      </c>
      <c r="G5" s="133" t="s">
        <v>378</v>
      </c>
      <c r="H5" s="441" t="s">
        <v>286</v>
      </c>
      <c r="I5" s="4" t="s">
        <v>169</v>
      </c>
      <c r="J5" s="4" t="s">
        <v>4689</v>
      </c>
      <c r="K5" s="4"/>
      <c r="L5" s="103">
        <v>250000</v>
      </c>
      <c r="M5" s="6" t="s">
        <v>4606</v>
      </c>
    </row>
    <row r="6" spans="1:20" ht="27.75" customHeight="1" x14ac:dyDescent="0.3">
      <c r="A6" s="521"/>
      <c r="B6" s="439" t="s">
        <v>4650</v>
      </c>
      <c r="C6" s="4" t="s">
        <v>307</v>
      </c>
      <c r="D6" s="4" t="s">
        <v>323</v>
      </c>
      <c r="E6" s="4" t="s">
        <v>308</v>
      </c>
      <c r="F6" s="207" t="s">
        <v>4726</v>
      </c>
      <c r="G6" s="133" t="s">
        <v>4727</v>
      </c>
      <c r="H6" s="441" t="s">
        <v>4728</v>
      </c>
      <c r="I6" s="4" t="s">
        <v>169</v>
      </c>
      <c r="J6" s="4" t="s">
        <v>4666</v>
      </c>
      <c r="K6" s="4"/>
      <c r="L6" s="103">
        <v>1000000</v>
      </c>
      <c r="M6" s="6"/>
    </row>
    <row r="7" spans="1:20" ht="27.75" customHeight="1" x14ac:dyDescent="0.3">
      <c r="A7" s="521"/>
      <c r="B7" s="439" t="s">
        <v>4651</v>
      </c>
      <c r="C7" s="4" t="s">
        <v>307</v>
      </c>
      <c r="D7" s="4" t="s">
        <v>323</v>
      </c>
      <c r="E7" s="4" t="s">
        <v>308</v>
      </c>
      <c r="F7" s="207">
        <v>1569</v>
      </c>
      <c r="G7" s="133" t="s">
        <v>4663</v>
      </c>
      <c r="H7" s="441" t="s">
        <v>4664</v>
      </c>
      <c r="I7" s="4" t="s">
        <v>169</v>
      </c>
      <c r="J7" s="4" t="s">
        <v>4653</v>
      </c>
      <c r="K7" s="4"/>
      <c r="L7" s="103">
        <v>500000</v>
      </c>
      <c r="M7" s="6"/>
    </row>
    <row r="8" spans="1:20" ht="27.75" customHeight="1" x14ac:dyDescent="0.3">
      <c r="A8" s="521"/>
      <c r="B8" s="439" t="s">
        <v>4652</v>
      </c>
      <c r="C8" s="4" t="s">
        <v>307</v>
      </c>
      <c r="D8" s="4" t="s">
        <v>323</v>
      </c>
      <c r="E8" s="4" t="s">
        <v>308</v>
      </c>
      <c r="F8" s="207" t="s">
        <v>4733</v>
      </c>
      <c r="G8" s="133" t="s">
        <v>4665</v>
      </c>
      <c r="H8" s="441" t="s">
        <v>4734</v>
      </c>
      <c r="I8" s="4" t="s">
        <v>169</v>
      </c>
      <c r="J8" s="4" t="s">
        <v>4654</v>
      </c>
      <c r="K8" s="4"/>
      <c r="L8" s="103">
        <v>750000</v>
      </c>
      <c r="M8" s="6"/>
    </row>
    <row r="9" spans="1:20" ht="27.75" customHeight="1" x14ac:dyDescent="0.3">
      <c r="A9" s="521"/>
      <c r="B9" s="439" t="s">
        <v>4724</v>
      </c>
      <c r="C9" s="4" t="s">
        <v>307</v>
      </c>
      <c r="D9" s="4" t="s">
        <v>323</v>
      </c>
      <c r="E9" s="4" t="s">
        <v>308</v>
      </c>
      <c r="F9" s="207" t="s">
        <v>4729</v>
      </c>
      <c r="G9" s="133" t="s">
        <v>4730</v>
      </c>
      <c r="H9" s="441" t="s">
        <v>4731</v>
      </c>
      <c r="I9" s="4" t="s">
        <v>169</v>
      </c>
      <c r="J9" s="4" t="s">
        <v>4722</v>
      </c>
      <c r="K9" s="4"/>
      <c r="L9" s="103">
        <v>750000</v>
      </c>
      <c r="M9" s="6"/>
    </row>
    <row r="10" spans="1:20" ht="27.75" customHeight="1" x14ac:dyDescent="0.3">
      <c r="A10" s="521"/>
      <c r="B10" s="439" t="s">
        <v>4725</v>
      </c>
      <c r="C10" s="4" t="s">
        <v>307</v>
      </c>
      <c r="D10" s="4" t="s">
        <v>323</v>
      </c>
      <c r="E10" s="4" t="s">
        <v>308</v>
      </c>
      <c r="F10" s="207" t="s">
        <v>4662</v>
      </c>
      <c r="G10" s="133" t="s">
        <v>3958</v>
      </c>
      <c r="H10" s="441" t="s">
        <v>4732</v>
      </c>
      <c r="I10" s="4" t="s">
        <v>169</v>
      </c>
      <c r="J10" s="4" t="s">
        <v>4723</v>
      </c>
      <c r="K10" s="4"/>
      <c r="L10" s="103">
        <v>500000</v>
      </c>
      <c r="M10" s="6"/>
    </row>
    <row r="11" spans="1:20" ht="27.75" customHeight="1" x14ac:dyDescent="0.3">
      <c r="A11" s="521"/>
      <c r="B11" s="439" t="s">
        <v>4708</v>
      </c>
      <c r="C11" s="4" t="s">
        <v>307</v>
      </c>
      <c r="D11" s="4" t="s">
        <v>323</v>
      </c>
      <c r="E11" s="4" t="s">
        <v>308</v>
      </c>
      <c r="F11" s="207" t="s">
        <v>4662</v>
      </c>
      <c r="G11" s="133" t="s">
        <v>4383</v>
      </c>
      <c r="H11" s="441" t="s">
        <v>4709</v>
      </c>
      <c r="I11" s="4" t="s">
        <v>169</v>
      </c>
      <c r="J11" s="4" t="s">
        <v>4710</v>
      </c>
      <c r="K11" s="4"/>
      <c r="L11" s="103">
        <v>1000000</v>
      </c>
      <c r="M11" s="6"/>
    </row>
    <row r="12" spans="1:20" ht="26.25" customHeight="1" x14ac:dyDescent="0.3">
      <c r="A12" s="521"/>
      <c r="B12" s="521" t="s">
        <v>1139</v>
      </c>
      <c r="C12" s="521"/>
      <c r="D12" s="521"/>
      <c r="E12" s="521"/>
      <c r="F12" s="521"/>
      <c r="G12" s="521"/>
      <c r="H12" s="521"/>
      <c r="I12" s="521"/>
      <c r="J12" s="521"/>
      <c r="K12" s="521"/>
      <c r="L12" s="103">
        <f>SUM(L4:L11)</f>
        <v>5500000</v>
      </c>
      <c r="M12" s="49"/>
      <c r="P12" s="462"/>
      <c r="Q12" s="462" t="s">
        <v>124</v>
      </c>
      <c r="R12" s="462" t="s">
        <v>21</v>
      </c>
      <c r="S12" s="462" t="s">
        <v>3504</v>
      </c>
      <c r="T12" s="462" t="s">
        <v>3505</v>
      </c>
    </row>
    <row r="13" spans="1:20" ht="25.5" customHeight="1" x14ac:dyDescent="0.3">
      <c r="A13" s="531" t="s">
        <v>21</v>
      </c>
      <c r="B13" s="439">
        <v>46028</v>
      </c>
      <c r="C13" s="4" t="s">
        <v>64</v>
      </c>
      <c r="D13" s="4" t="s">
        <v>70</v>
      </c>
      <c r="E13" s="34" t="s">
        <v>4547</v>
      </c>
      <c r="F13" s="34" t="s">
        <v>2941</v>
      </c>
      <c r="G13" s="17" t="s">
        <v>2942</v>
      </c>
      <c r="H13" s="207" t="s">
        <v>4677</v>
      </c>
      <c r="I13" s="34"/>
      <c r="J13" s="207" t="s">
        <v>3612</v>
      </c>
      <c r="K13" s="133" t="s">
        <v>66</v>
      </c>
      <c r="L13" s="100">
        <v>900000</v>
      </c>
      <c r="M13" s="6" t="s">
        <v>4607</v>
      </c>
      <c r="N13" s="451"/>
      <c r="P13" s="34" t="s">
        <v>4649</v>
      </c>
      <c r="Q13" s="442">
        <v>1000000</v>
      </c>
      <c r="R13" s="438">
        <v>500000</v>
      </c>
      <c r="S13" s="438">
        <v>2050000</v>
      </c>
      <c r="T13" s="438">
        <f>SUM(Q13:S13)</f>
        <v>3550000</v>
      </c>
    </row>
    <row r="14" spans="1:20" ht="25.5" customHeight="1" x14ac:dyDescent="0.3">
      <c r="A14" s="532"/>
      <c r="B14" s="439">
        <v>46028</v>
      </c>
      <c r="C14" s="4" t="s">
        <v>64</v>
      </c>
      <c r="D14" s="4" t="s">
        <v>70</v>
      </c>
      <c r="E14" s="34" t="s">
        <v>4547</v>
      </c>
      <c r="F14" s="34" t="s">
        <v>2941</v>
      </c>
      <c r="G14" s="17" t="s">
        <v>2942</v>
      </c>
      <c r="H14" s="207" t="s">
        <v>4678</v>
      </c>
      <c r="I14" s="34"/>
      <c r="J14" s="207" t="s">
        <v>4558</v>
      </c>
      <c r="K14" s="133" t="s">
        <v>66</v>
      </c>
      <c r="L14" s="100">
        <v>500000</v>
      </c>
      <c r="M14" s="6" t="s">
        <v>4607</v>
      </c>
      <c r="P14" s="34" t="s">
        <v>4648</v>
      </c>
      <c r="Q14" s="442">
        <v>4500000</v>
      </c>
      <c r="R14" s="438">
        <v>2750000</v>
      </c>
      <c r="S14" s="438">
        <v>850000</v>
      </c>
      <c r="T14" s="438">
        <f>SUM(Q14:S14)</f>
        <v>8100000</v>
      </c>
    </row>
    <row r="15" spans="1:20" ht="25.5" customHeight="1" x14ac:dyDescent="0.3">
      <c r="A15" s="532"/>
      <c r="B15" s="439">
        <v>46030</v>
      </c>
      <c r="C15" s="4" t="s">
        <v>64</v>
      </c>
      <c r="D15" s="4" t="s">
        <v>14</v>
      </c>
      <c r="E15" s="34" t="s">
        <v>3470</v>
      </c>
      <c r="F15" s="207">
        <v>7064</v>
      </c>
      <c r="G15" s="17" t="s">
        <v>208</v>
      </c>
      <c r="H15" s="207" t="s">
        <v>4681</v>
      </c>
      <c r="I15" s="34"/>
      <c r="J15" s="34" t="s">
        <v>4565</v>
      </c>
      <c r="K15" s="133" t="s">
        <v>3395</v>
      </c>
      <c r="L15" s="100">
        <v>250000</v>
      </c>
      <c r="M15" s="6" t="s">
        <v>4607</v>
      </c>
      <c r="N15" s="451"/>
      <c r="P15" s="456" t="s">
        <v>1463</v>
      </c>
      <c r="Q15" s="457">
        <f>SUM(Q13:Q14)</f>
        <v>5500000</v>
      </c>
      <c r="R15" s="457">
        <f t="shared" ref="R15:S15" si="0">SUM(R13:R14)</f>
        <v>3250000</v>
      </c>
      <c r="S15" s="457">
        <f t="shared" si="0"/>
        <v>2900000</v>
      </c>
      <c r="T15" s="457">
        <f>SUM(T13:T14)</f>
        <v>11650000</v>
      </c>
    </row>
    <row r="16" spans="1:20" ht="25.5" customHeight="1" x14ac:dyDescent="0.3">
      <c r="A16" s="532"/>
      <c r="B16" s="439">
        <v>46030</v>
      </c>
      <c r="C16" s="4" t="s">
        <v>64</v>
      </c>
      <c r="D16" s="4" t="s">
        <v>14</v>
      </c>
      <c r="E16" s="34" t="s">
        <v>3470</v>
      </c>
      <c r="F16" s="207">
        <v>7064</v>
      </c>
      <c r="G16" s="17" t="s">
        <v>208</v>
      </c>
      <c r="H16" s="207" t="s">
        <v>4682</v>
      </c>
      <c r="I16" s="34"/>
      <c r="J16" s="34" t="s">
        <v>4564</v>
      </c>
      <c r="K16" s="133" t="s">
        <v>3395</v>
      </c>
      <c r="L16" s="100">
        <v>300000</v>
      </c>
      <c r="M16" s="6" t="s">
        <v>4607</v>
      </c>
      <c r="N16" s="451"/>
    </row>
    <row r="17" spans="1:26" ht="25.5" customHeight="1" x14ac:dyDescent="0.3">
      <c r="A17" s="532"/>
      <c r="B17" s="439">
        <v>46031</v>
      </c>
      <c r="C17" s="4" t="s">
        <v>21</v>
      </c>
      <c r="D17" s="4" t="s">
        <v>70</v>
      </c>
      <c r="E17" s="34" t="s">
        <v>4559</v>
      </c>
      <c r="F17" s="34">
        <v>1017</v>
      </c>
      <c r="G17" s="17" t="s">
        <v>23</v>
      </c>
      <c r="H17" s="207" t="s">
        <v>4610</v>
      </c>
      <c r="I17" s="34"/>
      <c r="J17" s="34" t="s">
        <v>4609</v>
      </c>
      <c r="K17" s="133" t="s">
        <v>15</v>
      </c>
      <c r="L17" s="100">
        <v>600000</v>
      </c>
      <c r="M17" s="6" t="s">
        <v>4611</v>
      </c>
      <c r="N17" s="451"/>
    </row>
    <row r="18" spans="1:26" ht="25.5" customHeight="1" x14ac:dyDescent="0.3">
      <c r="A18" s="532"/>
      <c r="B18" s="439">
        <v>46034</v>
      </c>
      <c r="C18" s="4" t="s">
        <v>21</v>
      </c>
      <c r="D18" s="4" t="s">
        <v>17</v>
      </c>
      <c r="E18" s="207" t="s">
        <v>4624</v>
      </c>
      <c r="F18" s="34" t="s">
        <v>4070</v>
      </c>
      <c r="G18" s="17" t="s">
        <v>1387</v>
      </c>
      <c r="H18" s="207" t="s">
        <v>4623</v>
      </c>
      <c r="I18" s="34" t="s">
        <v>4620</v>
      </c>
      <c r="J18" s="34" t="s">
        <v>4621</v>
      </c>
      <c r="K18" s="133" t="s">
        <v>15</v>
      </c>
      <c r="L18" s="100">
        <v>500000</v>
      </c>
      <c r="M18" s="6" t="s">
        <v>4643</v>
      </c>
    </row>
    <row r="19" spans="1:26" ht="25.5" customHeight="1" x14ac:dyDescent="0.3">
      <c r="A19" s="532"/>
      <c r="B19" s="439" t="s">
        <v>4660</v>
      </c>
      <c r="C19" s="4" t="s">
        <v>21</v>
      </c>
      <c r="D19" s="4" t="s">
        <v>17</v>
      </c>
      <c r="E19" s="310" t="s">
        <v>4573</v>
      </c>
      <c r="F19" s="34" t="s">
        <v>4567</v>
      </c>
      <c r="G19" s="17" t="s">
        <v>4568</v>
      </c>
      <c r="H19" s="207" t="s">
        <v>4569</v>
      </c>
      <c r="I19" s="34"/>
      <c r="J19" s="34" t="s">
        <v>4661</v>
      </c>
      <c r="K19" s="133" t="s">
        <v>15</v>
      </c>
      <c r="L19" s="100">
        <v>1000000</v>
      </c>
      <c r="M19" s="493" t="s">
        <v>4901</v>
      </c>
    </row>
    <row r="20" spans="1:26" ht="25.5" customHeight="1" x14ac:dyDescent="0.3">
      <c r="A20" s="532"/>
      <c r="B20" s="439">
        <v>46035</v>
      </c>
      <c r="C20" s="4" t="s">
        <v>21</v>
      </c>
      <c r="D20" s="4" t="s">
        <v>77</v>
      </c>
      <c r="E20" s="207" t="s">
        <v>78</v>
      </c>
      <c r="F20" s="34" t="s">
        <v>1328</v>
      </c>
      <c r="G20" s="17" t="s">
        <v>34</v>
      </c>
      <c r="H20" s="207" t="s">
        <v>4639</v>
      </c>
      <c r="I20" s="34"/>
      <c r="J20" s="34" t="s">
        <v>4627</v>
      </c>
      <c r="K20" s="133" t="s">
        <v>15</v>
      </c>
      <c r="L20" s="100">
        <v>500000</v>
      </c>
      <c r="M20" s="6" t="s">
        <v>4644</v>
      </c>
    </row>
    <row r="21" spans="1:26" ht="25.5" customHeight="1" x14ac:dyDescent="0.3">
      <c r="A21" s="532"/>
      <c r="B21" s="439">
        <v>46036</v>
      </c>
      <c r="C21" s="4" t="s">
        <v>21</v>
      </c>
      <c r="D21" s="4" t="s">
        <v>14</v>
      </c>
      <c r="E21" s="34" t="s">
        <v>1796</v>
      </c>
      <c r="F21" s="34" t="s">
        <v>2145</v>
      </c>
      <c r="G21" s="17" t="s">
        <v>206</v>
      </c>
      <c r="H21" s="207" t="s">
        <v>3424</v>
      </c>
      <c r="I21" s="34" t="s">
        <v>90</v>
      </c>
      <c r="J21" s="207" t="s">
        <v>3160</v>
      </c>
      <c r="K21" s="133" t="s">
        <v>15</v>
      </c>
      <c r="L21" s="100">
        <v>300000</v>
      </c>
      <c r="M21" s="6" t="s">
        <v>4645</v>
      </c>
      <c r="N21" s="451"/>
    </row>
    <row r="22" spans="1:26" ht="25.5" customHeight="1" x14ac:dyDescent="0.3">
      <c r="A22" s="532"/>
      <c r="B22" s="439">
        <v>46037</v>
      </c>
      <c r="C22" s="4" t="s">
        <v>21</v>
      </c>
      <c r="D22" s="4" t="s">
        <v>14</v>
      </c>
      <c r="E22" s="34" t="s">
        <v>1796</v>
      </c>
      <c r="F22" s="34" t="s">
        <v>2839</v>
      </c>
      <c r="G22" s="17" t="s">
        <v>143</v>
      </c>
      <c r="H22" s="207" t="s">
        <v>4683</v>
      </c>
      <c r="I22" s="34"/>
      <c r="J22" s="207" t="s">
        <v>3160</v>
      </c>
      <c r="K22" s="133" t="s">
        <v>15</v>
      </c>
      <c r="L22" s="100">
        <v>300000</v>
      </c>
      <c r="M22" s="6" t="s">
        <v>4645</v>
      </c>
      <c r="N22" s="451"/>
    </row>
    <row r="23" spans="1:26" ht="25.5" customHeight="1" x14ac:dyDescent="0.3">
      <c r="A23" s="532"/>
      <c r="B23" s="439">
        <v>46037</v>
      </c>
      <c r="C23" s="4" t="s">
        <v>21</v>
      </c>
      <c r="D23" s="4" t="s">
        <v>14</v>
      </c>
      <c r="E23" s="34" t="s">
        <v>1796</v>
      </c>
      <c r="F23" s="207" t="s">
        <v>2839</v>
      </c>
      <c r="G23" s="17" t="s">
        <v>206</v>
      </c>
      <c r="H23" s="207" t="s">
        <v>4656</v>
      </c>
      <c r="I23" s="207"/>
      <c r="J23" s="207" t="s">
        <v>4659</v>
      </c>
      <c r="K23" s="133" t="s">
        <v>15</v>
      </c>
      <c r="L23" s="100">
        <v>500000</v>
      </c>
      <c r="M23" s="6" t="s">
        <v>4645</v>
      </c>
    </row>
    <row r="24" spans="1:26" ht="25.5" customHeight="1" x14ac:dyDescent="0.3">
      <c r="A24" s="532"/>
      <c r="B24" s="439">
        <v>46038</v>
      </c>
      <c r="C24" s="4" t="s">
        <v>21</v>
      </c>
      <c r="D24" s="4" t="s">
        <v>77</v>
      </c>
      <c r="E24" s="34" t="s">
        <v>141</v>
      </c>
      <c r="F24" s="34" t="s">
        <v>271</v>
      </c>
      <c r="G24" s="17" t="s">
        <v>3352</v>
      </c>
      <c r="H24" s="334" t="s">
        <v>4637</v>
      </c>
      <c r="I24" s="34" t="s">
        <v>90</v>
      </c>
      <c r="J24" s="207" t="s">
        <v>688</v>
      </c>
      <c r="K24" s="133" t="s">
        <v>15</v>
      </c>
      <c r="L24" s="100">
        <v>250000</v>
      </c>
      <c r="M24" s="6" t="s">
        <v>4646</v>
      </c>
    </row>
    <row r="25" spans="1:26" ht="25.5" customHeight="1" x14ac:dyDescent="0.3">
      <c r="A25" s="532"/>
      <c r="B25" s="439">
        <v>46038</v>
      </c>
      <c r="C25" s="4" t="s">
        <v>21</v>
      </c>
      <c r="D25" s="4" t="s">
        <v>14</v>
      </c>
      <c r="E25" s="34" t="s">
        <v>108</v>
      </c>
      <c r="F25" s="207" t="s">
        <v>3362</v>
      </c>
      <c r="G25" s="17" t="s">
        <v>1396</v>
      </c>
      <c r="H25" s="207" t="s">
        <v>4638</v>
      </c>
      <c r="I25" s="207"/>
      <c r="J25" s="207" t="s">
        <v>3353</v>
      </c>
      <c r="K25" s="133" t="s">
        <v>15</v>
      </c>
      <c r="L25" s="103">
        <v>250000</v>
      </c>
      <c r="M25" s="49" t="s">
        <v>4647</v>
      </c>
      <c r="N25" s="451"/>
      <c r="P25" s="18"/>
      <c r="Q25" s="18"/>
      <c r="R25" s="18"/>
      <c r="S25" s="18"/>
      <c r="T25" s="18"/>
    </row>
    <row r="26" spans="1:26" ht="25.5" customHeight="1" x14ac:dyDescent="0.3">
      <c r="A26" s="533"/>
      <c r="B26" s="715" t="s">
        <v>1138</v>
      </c>
      <c r="C26" s="716"/>
      <c r="D26" s="716"/>
      <c r="E26" s="716"/>
      <c r="F26" s="716"/>
      <c r="G26" s="716"/>
      <c r="H26" s="716"/>
      <c r="I26" s="716"/>
      <c r="J26" s="716"/>
      <c r="K26" s="717"/>
      <c r="L26" s="103">
        <f>SUM(L13:L25)</f>
        <v>6150000</v>
      </c>
      <c r="M26" s="49"/>
      <c r="P26" s="18"/>
      <c r="Q26" s="18"/>
      <c r="R26" s="18"/>
      <c r="S26" s="18"/>
      <c r="T26" s="18"/>
    </row>
    <row r="27" spans="1:26" ht="25.5" customHeight="1" x14ac:dyDescent="0.3">
      <c r="A27" s="718" t="s">
        <v>62</v>
      </c>
      <c r="B27" s="718"/>
      <c r="C27" s="718"/>
      <c r="D27" s="718"/>
      <c r="E27" s="718"/>
      <c r="F27" s="718"/>
      <c r="G27" s="718"/>
      <c r="H27" s="718"/>
      <c r="I27" s="718"/>
      <c r="J27" s="718"/>
      <c r="K27" s="718"/>
      <c r="L27" s="403">
        <f>L12+L26</f>
        <v>11650000</v>
      </c>
      <c r="M27" s="42"/>
      <c r="P27" s="18"/>
      <c r="Q27" s="18"/>
      <c r="R27" s="18"/>
      <c r="S27" s="18"/>
      <c r="T27" s="18"/>
    </row>
    <row r="28" spans="1:26" ht="26.25" customHeight="1" x14ac:dyDescent="0.3">
      <c r="P28" s="18"/>
      <c r="Q28" s="18"/>
      <c r="R28" s="18"/>
      <c r="S28" s="18"/>
      <c r="T28" s="18"/>
      <c r="U28" s="18"/>
    </row>
    <row r="29" spans="1:26" ht="26.25" customHeight="1" x14ac:dyDescent="0.3">
      <c r="O29" s="18"/>
      <c r="P29" s="18"/>
      <c r="Q29" s="18"/>
      <c r="R29" s="18"/>
      <c r="S29" s="18"/>
      <c r="T29" s="18"/>
      <c r="U29" s="18"/>
    </row>
    <row r="30" spans="1:26" ht="26.25" customHeight="1" x14ac:dyDescent="0.3">
      <c r="A30" s="447"/>
      <c r="B30" s="447"/>
      <c r="C30" s="447"/>
      <c r="D30" s="447"/>
      <c r="E30" s="447"/>
      <c r="F30" s="447"/>
      <c r="G30" s="447"/>
      <c r="H30" s="447"/>
      <c r="I30" s="447"/>
      <c r="J30" s="447"/>
      <c r="K30" s="447"/>
      <c r="L30" s="418"/>
      <c r="M30" s="419"/>
      <c r="O30" s="18"/>
      <c r="P30" s="18"/>
      <c r="Q30" s="18"/>
      <c r="R30" s="18"/>
      <c r="S30" s="18"/>
      <c r="T30" s="18"/>
      <c r="U30" s="18"/>
    </row>
    <row r="31" spans="1:26" ht="26.25" hidden="1" customHeight="1" x14ac:dyDescent="0.3"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5.5" hidden="1" customHeight="1" x14ac:dyDescent="0.3">
      <c r="B32" s="158" t="s">
        <v>3548</v>
      </c>
      <c r="C32" s="159"/>
      <c r="D32" s="159"/>
      <c r="E32" s="159"/>
      <c r="F32" s="159"/>
      <c r="G32" s="159"/>
      <c r="H32" s="159"/>
      <c r="I32" s="15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7" ht="25.5" hidden="1" customHeight="1" x14ac:dyDescent="0.3">
      <c r="B33" s="160" t="s">
        <v>3549</v>
      </c>
      <c r="C33" s="161">
        <v>45282</v>
      </c>
      <c r="D33" s="159" t="s">
        <v>1154</v>
      </c>
      <c r="E33" s="159"/>
      <c r="F33" s="159"/>
      <c r="G33" s="159"/>
      <c r="I33" s="159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25.5" hidden="1" customHeight="1" x14ac:dyDescent="0.3">
      <c r="B34" s="160" t="s">
        <v>1144</v>
      </c>
      <c r="C34" s="161">
        <v>45282</v>
      </c>
      <c r="D34" s="159" t="s">
        <v>1146</v>
      </c>
      <c r="E34" s="159"/>
      <c r="F34" s="159"/>
      <c r="G34" s="159"/>
      <c r="H34" s="159"/>
      <c r="I34" s="159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25.5" hidden="1" customHeight="1" x14ac:dyDescent="0.3">
      <c r="B35" s="160" t="s">
        <v>1148</v>
      </c>
      <c r="C35" s="162" t="s">
        <v>1145</v>
      </c>
      <c r="D35" s="159" t="s">
        <v>1155</v>
      </c>
      <c r="E35" s="159"/>
      <c r="F35" s="159"/>
      <c r="G35" s="159"/>
      <c r="H35" s="159"/>
      <c r="I35" s="159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20.100000000000001" hidden="1" customHeight="1" x14ac:dyDescent="0.3">
      <c r="B36" s="159"/>
      <c r="C36" s="159" t="s">
        <v>1149</v>
      </c>
      <c r="D36" s="159"/>
      <c r="E36" s="159"/>
      <c r="F36" s="159"/>
      <c r="G36" s="159"/>
      <c r="H36" s="159"/>
      <c r="I36" s="159"/>
      <c r="N36" t="s">
        <v>3557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6.5" hidden="1" customHeight="1" x14ac:dyDescent="0.3">
      <c r="O37" s="18"/>
      <c r="P37" s="18"/>
      <c r="Q37" s="18"/>
      <c r="R37" s="18"/>
      <c r="S37" s="18"/>
      <c r="T37" s="18"/>
      <c r="V37" s="18"/>
      <c r="W37" s="18"/>
      <c r="X37" s="18"/>
      <c r="Y37" s="18"/>
      <c r="Z37" s="18"/>
      <c r="AA37" s="18"/>
    </row>
    <row r="38" spans="1:27" ht="20.100000000000001" hidden="1" customHeight="1" x14ac:dyDescent="0.3">
      <c r="J38" s="159"/>
      <c r="O38" s="18"/>
      <c r="V38" s="18"/>
      <c r="W38" s="18"/>
      <c r="X38" s="18"/>
      <c r="Y38" s="18"/>
      <c r="Z38" s="18"/>
      <c r="AA38" s="18"/>
    </row>
    <row r="39" spans="1:27" x14ac:dyDescent="0.3">
      <c r="V39" s="18"/>
      <c r="W39" s="18"/>
      <c r="X39" s="18"/>
      <c r="Y39" s="18"/>
      <c r="Z39" s="18"/>
      <c r="AA39" s="18"/>
    </row>
    <row r="40" spans="1:27" x14ac:dyDescent="0.3">
      <c r="N40" s="18"/>
    </row>
    <row r="41" spans="1:27" ht="28.5" customHeight="1" x14ac:dyDescent="0.3">
      <c r="A41" s="345" t="s">
        <v>0</v>
      </c>
      <c r="B41" s="346" t="s">
        <v>1</v>
      </c>
      <c r="C41" s="345" t="s">
        <v>2</v>
      </c>
      <c r="D41" s="345" t="s">
        <v>3</v>
      </c>
      <c r="E41" s="345" t="s">
        <v>4</v>
      </c>
      <c r="F41" s="345" t="s">
        <v>5</v>
      </c>
      <c r="G41" s="345" t="s">
        <v>6</v>
      </c>
      <c r="H41" s="347" t="s">
        <v>7</v>
      </c>
      <c r="I41" s="345" t="s">
        <v>8</v>
      </c>
      <c r="J41" s="345" t="s">
        <v>9</v>
      </c>
      <c r="K41" s="348" t="s">
        <v>3408</v>
      </c>
      <c r="L41" s="345" t="s">
        <v>12</v>
      </c>
      <c r="M41" s="345" t="s">
        <v>63</v>
      </c>
      <c r="N41" s="18"/>
    </row>
    <row r="42" spans="1:27" ht="28.5" customHeight="1" x14ac:dyDescent="0.3">
      <c r="A42" s="719" t="s">
        <v>4626</v>
      </c>
      <c r="B42" s="439">
        <v>46034</v>
      </c>
      <c r="C42" s="4" t="s">
        <v>21</v>
      </c>
      <c r="D42" s="4" t="s">
        <v>17</v>
      </c>
      <c r="E42" s="207" t="s">
        <v>4624</v>
      </c>
      <c r="F42" s="34" t="s">
        <v>4070</v>
      </c>
      <c r="G42" s="17" t="s">
        <v>1387</v>
      </c>
      <c r="H42" s="207" t="s">
        <v>4623</v>
      </c>
      <c r="I42" s="34" t="s">
        <v>4620</v>
      </c>
      <c r="J42" s="34" t="s">
        <v>4621</v>
      </c>
      <c r="K42" s="133" t="s">
        <v>15</v>
      </c>
      <c r="L42" s="17">
        <v>3</v>
      </c>
      <c r="M42" s="8" t="s">
        <v>4667</v>
      </c>
    </row>
    <row r="43" spans="1:27" ht="28.5" customHeight="1" x14ac:dyDescent="0.3">
      <c r="A43" s="720"/>
      <c r="B43" s="445"/>
      <c r="C43" s="4"/>
      <c r="D43" s="4"/>
      <c r="E43" s="310"/>
      <c r="F43" s="34"/>
      <c r="G43" s="17"/>
      <c r="H43" s="207"/>
      <c r="I43" s="34"/>
      <c r="J43" s="34"/>
      <c r="K43" s="133"/>
      <c r="L43" s="17"/>
      <c r="M43" s="8" t="s">
        <v>4668</v>
      </c>
    </row>
    <row r="44" spans="1:27" ht="28.5" customHeight="1" x14ac:dyDescent="0.3">
      <c r="A44" s="720"/>
      <c r="B44" s="439">
        <v>46035</v>
      </c>
      <c r="C44" s="4" t="s">
        <v>21</v>
      </c>
      <c r="D44" s="4" t="s">
        <v>17</v>
      </c>
      <c r="E44" s="310" t="s">
        <v>4573</v>
      </c>
      <c r="F44" s="34" t="s">
        <v>4567</v>
      </c>
      <c r="G44" s="17" t="s">
        <v>4568</v>
      </c>
      <c r="H44" s="207" t="s">
        <v>4574</v>
      </c>
      <c r="I44" s="34"/>
      <c r="J44" s="34" t="s">
        <v>489</v>
      </c>
      <c r="K44" s="133" t="s">
        <v>4676</v>
      </c>
      <c r="L44" s="17">
        <v>2</v>
      </c>
      <c r="M44" s="8" t="s">
        <v>4669</v>
      </c>
    </row>
    <row r="45" spans="1:27" ht="28.5" customHeight="1" x14ac:dyDescent="0.3">
      <c r="A45" s="720"/>
      <c r="B45" s="445"/>
      <c r="C45" s="4" t="s">
        <v>21</v>
      </c>
      <c r="D45" s="4" t="s">
        <v>77</v>
      </c>
      <c r="E45" s="207" t="s">
        <v>78</v>
      </c>
      <c r="F45" s="34" t="s">
        <v>1328</v>
      </c>
      <c r="G45" s="17" t="s">
        <v>34</v>
      </c>
      <c r="H45" s="207" t="s">
        <v>4684</v>
      </c>
      <c r="I45" s="34"/>
      <c r="J45" s="34" t="s">
        <v>4627</v>
      </c>
      <c r="K45" s="133" t="s">
        <v>15</v>
      </c>
      <c r="L45" s="17">
        <v>2</v>
      </c>
      <c r="M45" s="8"/>
    </row>
    <row r="46" spans="1:27" ht="28.5" customHeight="1" x14ac:dyDescent="0.3">
      <c r="A46" s="720"/>
      <c r="B46" s="439">
        <v>46036</v>
      </c>
      <c r="C46" s="4" t="s">
        <v>21</v>
      </c>
      <c r="D46" s="4" t="s">
        <v>14</v>
      </c>
      <c r="E46" s="34" t="s">
        <v>1796</v>
      </c>
      <c r="F46" s="34" t="s">
        <v>2145</v>
      </c>
      <c r="G46" s="17" t="s">
        <v>206</v>
      </c>
      <c r="H46" s="207" t="s">
        <v>3424</v>
      </c>
      <c r="I46" s="34" t="s">
        <v>90</v>
      </c>
      <c r="J46" s="207" t="s">
        <v>3160</v>
      </c>
      <c r="K46" s="133" t="s">
        <v>15</v>
      </c>
      <c r="L46" s="17">
        <v>2</v>
      </c>
      <c r="M46" s="8" t="s">
        <v>4670</v>
      </c>
    </row>
    <row r="47" spans="1:27" ht="28.5" customHeight="1" x14ac:dyDescent="0.3">
      <c r="A47" s="720"/>
      <c r="B47" s="445"/>
      <c r="C47" s="4" t="s">
        <v>21</v>
      </c>
      <c r="D47" s="4" t="s">
        <v>17</v>
      </c>
      <c r="E47" s="310" t="s">
        <v>4573</v>
      </c>
      <c r="F47" s="34" t="s">
        <v>4567</v>
      </c>
      <c r="G47" s="17" t="s">
        <v>4568</v>
      </c>
      <c r="H47" s="207" t="s">
        <v>4680</v>
      </c>
      <c r="I47" s="34"/>
      <c r="J47" s="34" t="s">
        <v>489</v>
      </c>
      <c r="K47" s="133" t="s">
        <v>4676</v>
      </c>
      <c r="L47" s="17">
        <v>2</v>
      </c>
      <c r="M47" s="8" t="s">
        <v>4671</v>
      </c>
    </row>
    <row r="48" spans="1:27" ht="28.5" customHeight="1" x14ac:dyDescent="0.3">
      <c r="A48" s="720"/>
      <c r="B48" s="439">
        <v>46037</v>
      </c>
      <c r="C48" s="4" t="s">
        <v>21</v>
      </c>
      <c r="D48" s="4" t="s">
        <v>14</v>
      </c>
      <c r="E48" s="34" t="s">
        <v>1796</v>
      </c>
      <c r="F48" s="34" t="s">
        <v>2839</v>
      </c>
      <c r="G48" s="17" t="s">
        <v>143</v>
      </c>
      <c r="H48" s="207" t="s">
        <v>4679</v>
      </c>
      <c r="I48" s="34"/>
      <c r="J48" s="207" t="s">
        <v>3160</v>
      </c>
      <c r="K48" s="133" t="s">
        <v>15</v>
      </c>
      <c r="L48" s="17">
        <v>1</v>
      </c>
      <c r="M48" s="8" t="s">
        <v>4672</v>
      </c>
    </row>
    <row r="49" spans="1:28" ht="28.5" customHeight="1" x14ac:dyDescent="0.3">
      <c r="A49" s="720"/>
      <c r="B49" s="445"/>
      <c r="C49" s="4" t="s">
        <v>4633</v>
      </c>
      <c r="D49" s="4" t="s">
        <v>4634</v>
      </c>
      <c r="E49" s="34" t="s">
        <v>1796</v>
      </c>
      <c r="F49" s="34" t="s">
        <v>4635</v>
      </c>
      <c r="G49" s="17" t="s">
        <v>23</v>
      </c>
      <c r="H49" s="207" t="s">
        <v>4636</v>
      </c>
      <c r="I49" s="207" t="s">
        <v>4655</v>
      </c>
      <c r="J49" s="207"/>
      <c r="K49" s="133" t="s">
        <v>15</v>
      </c>
      <c r="L49" s="17">
        <v>3</v>
      </c>
      <c r="M49" s="8" t="s">
        <v>4673</v>
      </c>
    </row>
    <row r="50" spans="1:28" ht="28.5" customHeight="1" x14ac:dyDescent="0.3">
      <c r="A50" s="720"/>
      <c r="B50" s="445"/>
      <c r="C50" s="4" t="s">
        <v>21</v>
      </c>
      <c r="D50" s="4" t="s">
        <v>14</v>
      </c>
      <c r="E50" s="34" t="s">
        <v>1796</v>
      </c>
      <c r="F50" s="207" t="s">
        <v>2839</v>
      </c>
      <c r="G50" s="17" t="s">
        <v>206</v>
      </c>
      <c r="H50" s="207" t="s">
        <v>4656</v>
      </c>
      <c r="I50" s="207"/>
      <c r="J50" s="207" t="s">
        <v>4658</v>
      </c>
      <c r="K50" s="133" t="s">
        <v>15</v>
      </c>
      <c r="L50" s="17">
        <v>2</v>
      </c>
      <c r="M50" s="8" t="s">
        <v>4674</v>
      </c>
    </row>
    <row r="51" spans="1:28" ht="28.5" customHeight="1" x14ac:dyDescent="0.3">
      <c r="A51" s="720"/>
      <c r="B51" s="439">
        <v>46038</v>
      </c>
      <c r="C51" s="4" t="s">
        <v>21</v>
      </c>
      <c r="D51" s="4" t="s">
        <v>77</v>
      </c>
      <c r="E51" s="34" t="s">
        <v>141</v>
      </c>
      <c r="F51" s="34" t="s">
        <v>271</v>
      </c>
      <c r="G51" s="17" t="s">
        <v>3352</v>
      </c>
      <c r="H51" s="334" t="s">
        <v>4637</v>
      </c>
      <c r="I51" s="34" t="s">
        <v>90</v>
      </c>
      <c r="J51" s="207" t="s">
        <v>688</v>
      </c>
      <c r="K51" s="133" t="s">
        <v>15</v>
      </c>
      <c r="L51" s="17">
        <v>2</v>
      </c>
      <c r="M51" s="8" t="s">
        <v>4675</v>
      </c>
    </row>
    <row r="52" spans="1:28" ht="28.5" customHeight="1" x14ac:dyDescent="0.3">
      <c r="A52" s="720"/>
      <c r="B52" s="445"/>
      <c r="C52" s="4" t="s">
        <v>21</v>
      </c>
      <c r="D52" s="4" t="s">
        <v>14</v>
      </c>
      <c r="E52" s="34" t="s">
        <v>108</v>
      </c>
      <c r="F52" s="207" t="s">
        <v>3362</v>
      </c>
      <c r="G52" s="17" t="s">
        <v>1396</v>
      </c>
      <c r="H52" s="207" t="s">
        <v>4638</v>
      </c>
      <c r="I52" s="207"/>
      <c r="J52" s="207" t="s">
        <v>3353</v>
      </c>
      <c r="K52" s="133" t="s">
        <v>15</v>
      </c>
      <c r="L52" s="17">
        <v>1</v>
      </c>
      <c r="M52" s="8"/>
      <c r="O52" s="18"/>
    </row>
    <row r="53" spans="1:28" ht="28.5" customHeight="1" x14ac:dyDescent="0.3">
      <c r="A53" s="720"/>
      <c r="B53" s="439">
        <v>46039</v>
      </c>
      <c r="C53" s="4"/>
      <c r="D53" s="4"/>
      <c r="E53" s="34"/>
      <c r="F53" s="207"/>
      <c r="G53" s="17"/>
      <c r="H53" s="207"/>
      <c r="I53" s="207"/>
      <c r="J53" s="207"/>
      <c r="K53" s="133"/>
      <c r="L53" s="17"/>
      <c r="M53" s="8"/>
      <c r="O53" s="18"/>
      <c r="P53" s="18"/>
      <c r="Q53" s="18"/>
      <c r="R53" s="18"/>
      <c r="S53" s="18"/>
      <c r="T53" s="18"/>
    </row>
    <row r="54" spans="1:28" ht="28.5" customHeight="1" x14ac:dyDescent="0.3">
      <c r="A54" s="721"/>
      <c r="B54" s="440"/>
      <c r="C54" s="4"/>
      <c r="D54" s="4"/>
      <c r="E54" s="34"/>
      <c r="F54" s="34"/>
      <c r="G54" s="17"/>
      <c r="H54" s="207"/>
      <c r="I54" s="34"/>
      <c r="J54" s="207"/>
      <c r="K54" s="133"/>
      <c r="L54" s="17"/>
      <c r="M54" s="8"/>
      <c r="O54" s="18"/>
      <c r="P54" s="18"/>
      <c r="Q54" s="18"/>
      <c r="R54" s="18"/>
      <c r="S54" s="18"/>
      <c r="T54" s="18"/>
    </row>
    <row r="55" spans="1:28" s="18" customFormat="1" ht="28.5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O55"/>
    </row>
    <row r="56" spans="1:28" s="18" customFormat="1" ht="28.5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 s="8" t="s">
        <v>2832</v>
      </c>
      <c r="N56"/>
      <c r="O56"/>
      <c r="P56"/>
    </row>
    <row r="57" spans="1:28" s="18" customFormat="1" ht="28.5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 s="8" t="s">
        <v>2836</v>
      </c>
      <c r="N57"/>
      <c r="O57"/>
      <c r="P57"/>
      <c r="U57"/>
    </row>
    <row r="58" spans="1:28" s="18" customFormat="1" ht="28.5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 s="8" t="s">
        <v>2833</v>
      </c>
      <c r="N58"/>
      <c r="O58"/>
      <c r="P58"/>
      <c r="Q58"/>
      <c r="R58"/>
      <c r="S58"/>
      <c r="T58"/>
      <c r="U58"/>
    </row>
    <row r="59" spans="1:28" s="18" customFormat="1" ht="28.5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 s="8" t="s">
        <v>2837</v>
      </c>
      <c r="N59"/>
      <c r="O59"/>
      <c r="P59"/>
      <c r="Q59"/>
      <c r="R59"/>
      <c r="S59"/>
      <c r="T59"/>
      <c r="U59"/>
    </row>
    <row r="60" spans="1:28" s="18" customFormat="1" ht="28.5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 s="8" t="s">
        <v>2831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s="18" customFormat="1" ht="28.5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 s="8" t="s">
        <v>2834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x14ac:dyDescent="0.3">
      <c r="M62" s="8" t="s">
        <v>2837</v>
      </c>
    </row>
    <row r="63" spans="1:28" x14ac:dyDescent="0.3">
      <c r="M63" s="8" t="s">
        <v>2834</v>
      </c>
    </row>
    <row r="64" spans="1:28" x14ac:dyDescent="0.3">
      <c r="M64" s="8" t="s">
        <v>2837</v>
      </c>
    </row>
    <row r="65" spans="13:13" x14ac:dyDescent="0.3">
      <c r="M65" s="8" t="s">
        <v>2838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H2:H3"/>
    <mergeCell ref="I2:I3"/>
    <mergeCell ref="J2:J3"/>
    <mergeCell ref="K2:K3"/>
    <mergeCell ref="A4:A12"/>
    <mergeCell ref="B12:K12"/>
    <mergeCell ref="A27:K27"/>
    <mergeCell ref="A42:A54"/>
    <mergeCell ref="B26:K26"/>
    <mergeCell ref="A13:A26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30" max="12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57"/>
  <sheetViews>
    <sheetView topLeftCell="A2" zoomScale="85" zoomScaleNormal="85" zoomScaleSheetLayoutView="55" workbookViewId="0">
      <selection activeCell="J10" sqref="J10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3601</v>
      </c>
      <c r="B2" s="713" t="s">
        <v>1</v>
      </c>
      <c r="C2" s="713" t="s">
        <v>2</v>
      </c>
      <c r="D2" s="713" t="s">
        <v>3</v>
      </c>
      <c r="E2" s="462" t="s">
        <v>3483</v>
      </c>
      <c r="F2" s="713" t="s">
        <v>5</v>
      </c>
      <c r="G2" s="713" t="s">
        <v>6</v>
      </c>
      <c r="H2" s="713" t="s">
        <v>2638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3485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176</v>
      </c>
      <c r="B4" s="439" t="s">
        <v>3620</v>
      </c>
      <c r="C4" s="4" t="s">
        <v>307</v>
      </c>
      <c r="D4" s="4" t="s">
        <v>323</v>
      </c>
      <c r="E4" s="4" t="s">
        <v>308</v>
      </c>
      <c r="F4" s="207">
        <v>1569</v>
      </c>
      <c r="G4" s="133" t="s">
        <v>3624</v>
      </c>
      <c r="H4" s="441" t="s">
        <v>3625</v>
      </c>
      <c r="I4" s="4"/>
      <c r="J4" s="4" t="s">
        <v>3623</v>
      </c>
      <c r="K4" s="4"/>
      <c r="L4" s="103">
        <v>1250000</v>
      </c>
      <c r="M4" s="6"/>
    </row>
    <row r="5" spans="1:20" ht="27.75" customHeight="1" x14ac:dyDescent="0.3">
      <c r="A5" s="521"/>
      <c r="B5" s="439" t="s">
        <v>3621</v>
      </c>
      <c r="C5" s="4" t="s">
        <v>307</v>
      </c>
      <c r="D5" s="4" t="s">
        <v>323</v>
      </c>
      <c r="E5" s="4" t="s">
        <v>308</v>
      </c>
      <c r="F5" s="207" t="s">
        <v>3491</v>
      </c>
      <c r="G5" s="133" t="s">
        <v>3627</v>
      </c>
      <c r="H5" s="441" t="s">
        <v>3628</v>
      </c>
      <c r="I5" s="4"/>
      <c r="J5" s="4" t="s">
        <v>3073</v>
      </c>
      <c r="K5" s="4"/>
      <c r="L5" s="103">
        <v>750000</v>
      </c>
      <c r="M5" s="6"/>
    </row>
    <row r="6" spans="1:20" ht="26.25" customHeight="1" x14ac:dyDescent="0.3">
      <c r="A6" s="521"/>
      <c r="B6" s="439" t="s">
        <v>3622</v>
      </c>
      <c r="C6" s="4" t="s">
        <v>307</v>
      </c>
      <c r="D6" s="4" t="s">
        <v>323</v>
      </c>
      <c r="E6" s="4" t="s">
        <v>308</v>
      </c>
      <c r="F6" s="207" t="s">
        <v>3491</v>
      </c>
      <c r="G6" s="133" t="s">
        <v>3627</v>
      </c>
      <c r="H6" s="441" t="s">
        <v>3629</v>
      </c>
      <c r="I6" s="4"/>
      <c r="J6" s="4" t="s">
        <v>2860</v>
      </c>
      <c r="K6" s="4"/>
      <c r="L6" s="103">
        <v>500000</v>
      </c>
      <c r="M6" s="6"/>
    </row>
    <row r="7" spans="1:20" ht="26.25" customHeight="1" x14ac:dyDescent="0.3">
      <c r="A7" s="521"/>
      <c r="B7" s="439" t="s">
        <v>3631</v>
      </c>
      <c r="C7" s="4" t="s">
        <v>307</v>
      </c>
      <c r="D7" s="4" t="s">
        <v>323</v>
      </c>
      <c r="E7" s="4" t="s">
        <v>308</v>
      </c>
      <c r="F7" s="207">
        <v>1569</v>
      </c>
      <c r="G7" s="133" t="s">
        <v>3624</v>
      </c>
      <c r="H7" s="441" t="s">
        <v>3630</v>
      </c>
      <c r="I7" s="4"/>
      <c r="J7" s="4" t="s">
        <v>3632</v>
      </c>
      <c r="K7" s="4"/>
      <c r="L7" s="103">
        <v>1250000</v>
      </c>
      <c r="M7" s="6"/>
    </row>
    <row r="8" spans="1:20" ht="26.25" customHeight="1" x14ac:dyDescent="0.3">
      <c r="A8" s="521"/>
      <c r="B8" s="521" t="s">
        <v>1139</v>
      </c>
      <c r="C8" s="521"/>
      <c r="D8" s="521"/>
      <c r="E8" s="521"/>
      <c r="F8" s="521"/>
      <c r="G8" s="521"/>
      <c r="H8" s="521"/>
      <c r="I8" s="521"/>
      <c r="J8" s="521"/>
      <c r="K8" s="521"/>
      <c r="L8" s="103">
        <f>SUM(L4:L7)</f>
        <v>3750000</v>
      </c>
      <c r="M8" s="49"/>
      <c r="P8" s="462"/>
      <c r="Q8" s="462" t="s">
        <v>176</v>
      </c>
      <c r="R8" s="462" t="s">
        <v>21</v>
      </c>
      <c r="S8" s="462" t="s">
        <v>3504</v>
      </c>
      <c r="T8" s="462" t="s">
        <v>3505</v>
      </c>
    </row>
    <row r="9" spans="1:20" ht="25.5" customHeight="1" x14ac:dyDescent="0.3">
      <c r="A9" s="521" t="s">
        <v>21</v>
      </c>
      <c r="B9" s="439">
        <v>46027</v>
      </c>
      <c r="C9" s="4" t="s">
        <v>21</v>
      </c>
      <c r="D9" s="4" t="s">
        <v>14</v>
      </c>
      <c r="E9" s="34" t="s">
        <v>141</v>
      </c>
      <c r="F9" s="207" t="s">
        <v>3356</v>
      </c>
      <c r="G9" s="17" t="s">
        <v>144</v>
      </c>
      <c r="H9" s="207" t="s">
        <v>3602</v>
      </c>
      <c r="I9" s="34" t="s">
        <v>121</v>
      </c>
      <c r="J9" s="34" t="s">
        <v>3359</v>
      </c>
      <c r="K9" s="133" t="s">
        <v>84</v>
      </c>
      <c r="L9" s="100">
        <v>250000</v>
      </c>
      <c r="M9" s="6" t="s">
        <v>3614</v>
      </c>
      <c r="P9" s="34" t="s">
        <v>3601</v>
      </c>
      <c r="Q9" s="442">
        <v>3750000</v>
      </c>
      <c r="R9" s="438">
        <v>2250000</v>
      </c>
      <c r="S9" s="438">
        <v>2400000</v>
      </c>
      <c r="T9" s="438">
        <f>SUM(Q9:S9)</f>
        <v>8400000</v>
      </c>
    </row>
    <row r="10" spans="1:20" ht="25.5" customHeight="1" x14ac:dyDescent="0.3">
      <c r="A10" s="521"/>
      <c r="B10" s="439">
        <v>46027</v>
      </c>
      <c r="C10" s="4" t="s">
        <v>3363</v>
      </c>
      <c r="D10" s="4" t="s">
        <v>3364</v>
      </c>
      <c r="E10" s="34" t="s">
        <v>3365</v>
      </c>
      <c r="F10" s="207" t="s">
        <v>2839</v>
      </c>
      <c r="G10" s="17" t="s">
        <v>3646</v>
      </c>
      <c r="H10" s="207" t="s">
        <v>3354</v>
      </c>
      <c r="I10" s="207"/>
      <c r="J10" s="207" t="s">
        <v>3367</v>
      </c>
      <c r="K10" s="133" t="s">
        <v>84</v>
      </c>
      <c r="L10" s="100">
        <v>750000</v>
      </c>
      <c r="M10" s="6" t="s">
        <v>3615</v>
      </c>
      <c r="P10" s="456" t="s">
        <v>1463</v>
      </c>
      <c r="Q10" s="457">
        <f>SUM(Q9:Q9)</f>
        <v>3750000</v>
      </c>
      <c r="R10" s="457">
        <f>SUM(R9:R9)</f>
        <v>2250000</v>
      </c>
      <c r="S10" s="457">
        <f>SUM(S9:S9)</f>
        <v>2400000</v>
      </c>
      <c r="T10" s="457">
        <f>SUM(T9:T9)</f>
        <v>8400000</v>
      </c>
    </row>
    <row r="11" spans="1:20" ht="25.5" customHeight="1" x14ac:dyDescent="0.3">
      <c r="A11" s="521"/>
      <c r="B11" s="439">
        <v>46027</v>
      </c>
      <c r="C11" s="4" t="s">
        <v>3363</v>
      </c>
      <c r="D11" s="4" t="s">
        <v>3368</v>
      </c>
      <c r="E11" s="34" t="s">
        <v>3369</v>
      </c>
      <c r="F11" s="34" t="s">
        <v>3371</v>
      </c>
      <c r="G11" s="17" t="s">
        <v>3373</v>
      </c>
      <c r="H11" s="207" t="s">
        <v>3641</v>
      </c>
      <c r="I11" s="34"/>
      <c r="J11" s="207" t="s">
        <v>3611</v>
      </c>
      <c r="K11" s="133" t="s">
        <v>84</v>
      </c>
      <c r="L11" s="100">
        <v>500000</v>
      </c>
      <c r="M11" s="6" t="s">
        <v>3616</v>
      </c>
      <c r="P11" s="473"/>
      <c r="Q11" s="474"/>
      <c r="R11" s="474"/>
      <c r="S11" s="474"/>
      <c r="T11" s="474"/>
    </row>
    <row r="12" spans="1:20" ht="25.5" customHeight="1" x14ac:dyDescent="0.3">
      <c r="A12" s="521"/>
      <c r="B12" s="439">
        <v>46027</v>
      </c>
      <c r="C12" s="4" t="s">
        <v>3363</v>
      </c>
      <c r="D12" s="4" t="s">
        <v>3368</v>
      </c>
      <c r="E12" s="34" t="s">
        <v>3369</v>
      </c>
      <c r="F12" s="34" t="s">
        <v>3371</v>
      </c>
      <c r="G12" s="17" t="s">
        <v>3373</v>
      </c>
      <c r="H12" s="207" t="s">
        <v>3647</v>
      </c>
      <c r="I12" s="34"/>
      <c r="J12" s="207" t="s">
        <v>3612</v>
      </c>
      <c r="K12" s="133" t="s">
        <v>84</v>
      </c>
      <c r="L12" s="100">
        <v>900000</v>
      </c>
      <c r="M12" s="6" t="s">
        <v>3329</v>
      </c>
      <c r="N12" s="451"/>
    </row>
    <row r="13" spans="1:20" ht="25.5" customHeight="1" x14ac:dyDescent="0.3">
      <c r="A13" s="521"/>
      <c r="B13" s="439">
        <v>46028</v>
      </c>
      <c r="C13" s="4" t="s">
        <v>21</v>
      </c>
      <c r="D13" s="4" t="s">
        <v>3376</v>
      </c>
      <c r="E13" s="207" t="s">
        <v>3377</v>
      </c>
      <c r="F13" s="34">
        <v>7060</v>
      </c>
      <c r="G13" s="17" t="s">
        <v>3378</v>
      </c>
      <c r="H13" s="207" t="s">
        <v>3603</v>
      </c>
      <c r="I13" s="34"/>
      <c r="J13" s="34" t="s">
        <v>3379</v>
      </c>
      <c r="K13" s="133" t="s">
        <v>84</v>
      </c>
      <c r="L13" s="100">
        <v>600000</v>
      </c>
      <c r="M13" s="6" t="s">
        <v>2568</v>
      </c>
      <c r="N13" s="451"/>
    </row>
    <row r="14" spans="1:20" ht="25.5" customHeight="1" x14ac:dyDescent="0.3">
      <c r="A14" s="521"/>
      <c r="B14" s="439">
        <v>46028</v>
      </c>
      <c r="C14" s="4" t="s">
        <v>3380</v>
      </c>
      <c r="D14" s="4" t="s">
        <v>3376</v>
      </c>
      <c r="E14" s="207" t="s">
        <v>78</v>
      </c>
      <c r="F14" s="34">
        <v>7060</v>
      </c>
      <c r="G14" s="17" t="s">
        <v>3381</v>
      </c>
      <c r="H14" s="207" t="s">
        <v>3382</v>
      </c>
      <c r="I14" s="34" t="s">
        <v>121</v>
      </c>
      <c r="J14" s="34" t="s">
        <v>3383</v>
      </c>
      <c r="K14" s="133" t="s">
        <v>84</v>
      </c>
      <c r="L14" s="100">
        <v>500000</v>
      </c>
      <c r="M14" s="6" t="s">
        <v>3617</v>
      </c>
    </row>
    <row r="15" spans="1:20" ht="25.5" customHeight="1" x14ac:dyDescent="0.3">
      <c r="A15" s="521"/>
      <c r="B15" s="439" t="s">
        <v>3613</v>
      </c>
      <c r="C15" s="4" t="s">
        <v>3363</v>
      </c>
      <c r="D15" s="4" t="s">
        <v>3384</v>
      </c>
      <c r="E15" s="34" t="s">
        <v>1796</v>
      </c>
      <c r="F15" s="34" t="s">
        <v>3385</v>
      </c>
      <c r="G15" s="17" t="s">
        <v>3386</v>
      </c>
      <c r="H15" s="207" t="s">
        <v>3604</v>
      </c>
      <c r="I15" s="34" t="s">
        <v>3387</v>
      </c>
      <c r="J15" s="207" t="s">
        <v>3633</v>
      </c>
      <c r="K15" s="133" t="s">
        <v>84</v>
      </c>
      <c r="L15" s="100">
        <v>600000</v>
      </c>
      <c r="M15" s="6" t="s">
        <v>1660</v>
      </c>
      <c r="N15" s="451"/>
    </row>
    <row r="16" spans="1:20" ht="25.5" customHeight="1" x14ac:dyDescent="0.3">
      <c r="A16" s="521"/>
      <c r="B16" s="439">
        <v>46030</v>
      </c>
      <c r="C16" s="4" t="s">
        <v>3398</v>
      </c>
      <c r="D16" s="4" t="s">
        <v>3384</v>
      </c>
      <c r="E16" s="34" t="s">
        <v>3365</v>
      </c>
      <c r="F16" s="34" t="s">
        <v>3399</v>
      </c>
      <c r="G16" s="17" t="s">
        <v>3598</v>
      </c>
      <c r="H16" s="207" t="s">
        <v>4601</v>
      </c>
      <c r="I16" s="34"/>
      <c r="J16" s="34" t="s">
        <v>185</v>
      </c>
      <c r="K16" s="133" t="s">
        <v>3395</v>
      </c>
      <c r="L16" s="100">
        <v>300000</v>
      </c>
      <c r="M16" s="6" t="s">
        <v>3618</v>
      </c>
      <c r="N16" s="451"/>
    </row>
    <row r="17" spans="1:27" ht="25.5" customHeight="1" x14ac:dyDescent="0.3">
      <c r="A17" s="521"/>
      <c r="B17" s="439">
        <v>46031</v>
      </c>
      <c r="C17" s="4" t="s">
        <v>21</v>
      </c>
      <c r="D17" s="4" t="s">
        <v>3368</v>
      </c>
      <c r="E17" s="207" t="s">
        <v>3401</v>
      </c>
      <c r="F17" s="34" t="s">
        <v>3402</v>
      </c>
      <c r="G17" s="17" t="s">
        <v>3403</v>
      </c>
      <c r="H17" s="207" t="s">
        <v>3642</v>
      </c>
      <c r="I17" s="34" t="s">
        <v>121</v>
      </c>
      <c r="J17" s="34" t="s">
        <v>3359</v>
      </c>
      <c r="K17" s="133" t="s">
        <v>3404</v>
      </c>
      <c r="L17" s="100">
        <v>250000</v>
      </c>
      <c r="M17" s="6" t="s">
        <v>3619</v>
      </c>
      <c r="P17" s="18"/>
      <c r="Q17" s="18"/>
      <c r="R17" s="18"/>
      <c r="S17" s="18"/>
      <c r="T17" s="18"/>
    </row>
    <row r="18" spans="1:27" ht="25.5" customHeight="1" x14ac:dyDescent="0.3">
      <c r="A18" s="521"/>
      <c r="B18" s="715" t="s">
        <v>3547</v>
      </c>
      <c r="C18" s="716"/>
      <c r="D18" s="716"/>
      <c r="E18" s="716"/>
      <c r="F18" s="716"/>
      <c r="G18" s="716"/>
      <c r="H18" s="716"/>
      <c r="I18" s="716"/>
      <c r="J18" s="716"/>
      <c r="K18" s="717"/>
      <c r="L18" s="103">
        <f>SUM(L9:L17)</f>
        <v>4650000</v>
      </c>
      <c r="M18" s="49"/>
      <c r="P18" s="18"/>
      <c r="Q18" s="18"/>
      <c r="R18" s="18"/>
      <c r="S18" s="18"/>
      <c r="T18" s="18"/>
    </row>
    <row r="19" spans="1:27" ht="25.5" customHeight="1" x14ac:dyDescent="0.3">
      <c r="A19" s="718" t="s">
        <v>62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403">
        <f>L8+L18</f>
        <v>8400000</v>
      </c>
      <c r="M19" s="42"/>
      <c r="P19" s="18"/>
      <c r="Q19" s="18"/>
      <c r="R19" s="18"/>
      <c r="S19" s="18"/>
      <c r="T19" s="18"/>
    </row>
    <row r="20" spans="1:27" ht="26.25" customHeight="1" x14ac:dyDescent="0.3">
      <c r="P20" s="18"/>
      <c r="Q20" s="18"/>
      <c r="R20" s="18"/>
      <c r="S20" s="18"/>
      <c r="T20" s="18"/>
      <c r="U20" s="18"/>
    </row>
    <row r="21" spans="1:27" ht="26.25" customHeight="1" x14ac:dyDescent="0.3">
      <c r="O21" s="18"/>
      <c r="P21" s="18"/>
      <c r="Q21" s="18"/>
      <c r="R21" s="18"/>
      <c r="S21" s="18"/>
      <c r="T21" s="18"/>
      <c r="U21" s="18"/>
    </row>
    <row r="22" spans="1:27" ht="26.25" customHeight="1" x14ac:dyDescent="0.3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18"/>
      <c r="M22" s="419"/>
      <c r="O22" s="18"/>
      <c r="P22" s="18"/>
      <c r="Q22" s="18"/>
      <c r="R22" s="18"/>
      <c r="S22" s="18"/>
      <c r="T22" s="18"/>
      <c r="U22" s="18"/>
    </row>
    <row r="23" spans="1:27" ht="26.25" hidden="1" customHeight="1" x14ac:dyDescent="0.3"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7" ht="25.5" hidden="1" customHeight="1" x14ac:dyDescent="0.3">
      <c r="B24" s="158" t="s">
        <v>3548</v>
      </c>
      <c r="C24" s="159"/>
      <c r="D24" s="159"/>
      <c r="E24" s="159"/>
      <c r="F24" s="159"/>
      <c r="G24" s="159"/>
      <c r="H24" s="159"/>
      <c r="I24" s="159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7" ht="25.5" hidden="1" customHeight="1" x14ac:dyDescent="0.3">
      <c r="B25" s="160" t="s">
        <v>3549</v>
      </c>
      <c r="C25" s="161">
        <v>45282</v>
      </c>
      <c r="D25" s="159" t="s">
        <v>1154</v>
      </c>
      <c r="E25" s="159"/>
      <c r="F25" s="159"/>
      <c r="G25" s="159"/>
      <c r="I25" s="159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25.5" hidden="1" customHeight="1" x14ac:dyDescent="0.3">
      <c r="B26" s="160" t="s">
        <v>1144</v>
      </c>
      <c r="C26" s="161">
        <v>45282</v>
      </c>
      <c r="D26" s="159" t="s">
        <v>1146</v>
      </c>
      <c r="E26" s="159"/>
      <c r="F26" s="159"/>
      <c r="G26" s="159"/>
      <c r="H26" s="159"/>
      <c r="I26" s="159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25.5" hidden="1" customHeight="1" x14ac:dyDescent="0.3">
      <c r="B27" s="160" t="s">
        <v>3553</v>
      </c>
      <c r="C27" s="162" t="s">
        <v>1145</v>
      </c>
      <c r="D27" s="159" t="s">
        <v>1155</v>
      </c>
      <c r="E27" s="159"/>
      <c r="F27" s="159"/>
      <c r="G27" s="159"/>
      <c r="H27" s="159"/>
      <c r="I27" s="159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0.100000000000001" hidden="1" customHeight="1" x14ac:dyDescent="0.3">
      <c r="B28" s="159"/>
      <c r="C28" s="159" t="s">
        <v>1149</v>
      </c>
      <c r="D28" s="159"/>
      <c r="E28" s="159"/>
      <c r="F28" s="159"/>
      <c r="G28" s="159"/>
      <c r="H28" s="159"/>
      <c r="I28" s="159"/>
      <c r="N28" t="s">
        <v>3557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6.5" hidden="1" customHeight="1" x14ac:dyDescent="0.3">
      <c r="O29" s="18"/>
      <c r="V29" s="18"/>
      <c r="W29" s="18"/>
      <c r="X29" s="18"/>
      <c r="Y29" s="18"/>
      <c r="Z29" s="18"/>
      <c r="AA29" s="18"/>
    </row>
    <row r="30" spans="1:27" ht="20.100000000000001" hidden="1" customHeight="1" x14ac:dyDescent="0.3">
      <c r="J30" s="159"/>
      <c r="O30" s="18"/>
      <c r="V30" s="18"/>
      <c r="W30" s="18"/>
      <c r="X30" s="18"/>
      <c r="Y30" s="18"/>
      <c r="Z30" s="18"/>
      <c r="AA30" s="18"/>
    </row>
    <row r="31" spans="1:27" x14ac:dyDescent="0.3">
      <c r="V31" s="18"/>
      <c r="W31" s="18"/>
      <c r="X31" s="18"/>
      <c r="Y31" s="18"/>
      <c r="Z31" s="18"/>
      <c r="AA31" s="18"/>
    </row>
    <row r="32" spans="1:27" x14ac:dyDescent="0.3">
      <c r="N32" s="18"/>
    </row>
    <row r="33" spans="1:21" ht="28.5" customHeight="1" x14ac:dyDescent="0.3">
      <c r="A33" s="345" t="s">
        <v>0</v>
      </c>
      <c r="B33" s="346" t="s">
        <v>1</v>
      </c>
      <c r="C33" s="345" t="s">
        <v>2</v>
      </c>
      <c r="D33" s="345" t="s">
        <v>3</v>
      </c>
      <c r="E33" s="345" t="s">
        <v>4</v>
      </c>
      <c r="F33" s="345" t="s">
        <v>5</v>
      </c>
      <c r="G33" s="345" t="s">
        <v>6</v>
      </c>
      <c r="H33" s="347" t="s">
        <v>7</v>
      </c>
      <c r="I33" s="345" t="s">
        <v>8</v>
      </c>
      <c r="J33" s="345" t="s">
        <v>9</v>
      </c>
      <c r="K33" s="348" t="s">
        <v>3560</v>
      </c>
      <c r="L33" s="345" t="s">
        <v>12</v>
      </c>
      <c r="M33" s="345" t="s">
        <v>3562</v>
      </c>
      <c r="N33" s="18"/>
    </row>
    <row r="34" spans="1:21" ht="28.5" customHeight="1" x14ac:dyDescent="0.3">
      <c r="A34" s="517" t="s">
        <v>3355</v>
      </c>
      <c r="B34" s="439">
        <v>46027</v>
      </c>
      <c r="C34" s="4" t="s">
        <v>21</v>
      </c>
      <c r="D34" s="4" t="s">
        <v>14</v>
      </c>
      <c r="E34" s="34" t="s">
        <v>141</v>
      </c>
      <c r="F34" s="207" t="s">
        <v>3356</v>
      </c>
      <c r="G34" s="17" t="s">
        <v>144</v>
      </c>
      <c r="H34" s="207" t="s">
        <v>3602</v>
      </c>
      <c r="I34" s="34" t="s">
        <v>121</v>
      </c>
      <c r="J34" s="34" t="s">
        <v>3359</v>
      </c>
      <c r="K34" s="133" t="s">
        <v>84</v>
      </c>
      <c r="L34" s="17">
        <v>2</v>
      </c>
      <c r="M34" s="8" t="s">
        <v>3606</v>
      </c>
      <c r="N34" s="18"/>
    </row>
    <row r="35" spans="1:21" ht="28.5" customHeight="1" x14ac:dyDescent="0.3">
      <c r="A35" s="518"/>
      <c r="B35" s="445"/>
      <c r="C35" s="4" t="s">
        <v>3363</v>
      </c>
      <c r="D35" s="4" t="s">
        <v>3364</v>
      </c>
      <c r="E35" s="34" t="s">
        <v>3365</v>
      </c>
      <c r="F35" s="207" t="s">
        <v>2839</v>
      </c>
      <c r="G35" s="17" t="s">
        <v>3645</v>
      </c>
      <c r="H35" s="207" t="s">
        <v>3354</v>
      </c>
      <c r="I35" s="207"/>
      <c r="J35" s="207" t="s">
        <v>3367</v>
      </c>
      <c r="K35" s="133" t="s">
        <v>84</v>
      </c>
      <c r="L35" s="17">
        <v>3</v>
      </c>
      <c r="M35" s="8"/>
      <c r="N35" s="18"/>
    </row>
    <row r="36" spans="1:21" ht="28.5" customHeight="1" x14ac:dyDescent="0.3">
      <c r="A36" s="518"/>
      <c r="B36" s="445"/>
      <c r="C36" s="4" t="s">
        <v>3363</v>
      </c>
      <c r="D36" s="4" t="s">
        <v>3368</v>
      </c>
      <c r="E36" s="34" t="s">
        <v>3369</v>
      </c>
      <c r="F36" s="34" t="s">
        <v>3371</v>
      </c>
      <c r="G36" s="17" t="s">
        <v>3373</v>
      </c>
      <c r="H36" s="207" t="s">
        <v>3648</v>
      </c>
      <c r="I36" s="34"/>
      <c r="J36" s="207" t="s">
        <v>3374</v>
      </c>
      <c r="K36" s="133" t="s">
        <v>84</v>
      </c>
      <c r="L36" s="17">
        <v>5</v>
      </c>
      <c r="M36" s="8"/>
      <c r="N36" s="18"/>
    </row>
    <row r="37" spans="1:21" ht="28.5" customHeight="1" x14ac:dyDescent="0.3">
      <c r="A37" s="518"/>
      <c r="B37" s="439">
        <v>46028</v>
      </c>
      <c r="C37" s="4" t="s">
        <v>21</v>
      </c>
      <c r="D37" s="4" t="s">
        <v>3376</v>
      </c>
      <c r="E37" s="207" t="s">
        <v>3377</v>
      </c>
      <c r="F37" s="34">
        <v>7060</v>
      </c>
      <c r="G37" s="17" t="s">
        <v>3378</v>
      </c>
      <c r="H37" s="207" t="s">
        <v>3603</v>
      </c>
      <c r="I37" s="34"/>
      <c r="J37" s="34" t="s">
        <v>3379</v>
      </c>
      <c r="K37" s="133" t="s">
        <v>84</v>
      </c>
      <c r="L37" s="17">
        <v>2</v>
      </c>
      <c r="M37" s="8" t="s">
        <v>3607</v>
      </c>
      <c r="N37" s="18"/>
    </row>
    <row r="38" spans="1:21" ht="28.5" customHeight="1" x14ac:dyDescent="0.3">
      <c r="A38" s="518"/>
      <c r="B38" s="445"/>
      <c r="C38" s="4" t="s">
        <v>3380</v>
      </c>
      <c r="D38" s="4" t="s">
        <v>3376</v>
      </c>
      <c r="E38" s="207" t="s">
        <v>78</v>
      </c>
      <c r="F38" s="34">
        <v>7060</v>
      </c>
      <c r="G38" s="17" t="s">
        <v>3381</v>
      </c>
      <c r="H38" s="207" t="s">
        <v>3382</v>
      </c>
      <c r="I38" s="34" t="s">
        <v>121</v>
      </c>
      <c r="J38" s="34" t="s">
        <v>3383</v>
      </c>
      <c r="K38" s="133" t="s">
        <v>84</v>
      </c>
      <c r="L38" s="17">
        <v>3</v>
      </c>
      <c r="M38" s="8"/>
      <c r="N38" s="18"/>
    </row>
    <row r="39" spans="1:21" ht="28.5" customHeight="1" x14ac:dyDescent="0.3">
      <c r="A39" s="518"/>
      <c r="B39" s="439">
        <v>46029</v>
      </c>
      <c r="C39" s="4" t="s">
        <v>3363</v>
      </c>
      <c r="D39" s="4" t="s">
        <v>3384</v>
      </c>
      <c r="E39" s="34" t="s">
        <v>1796</v>
      </c>
      <c r="F39" s="34" t="s">
        <v>3385</v>
      </c>
      <c r="G39" s="17" t="s">
        <v>3386</v>
      </c>
      <c r="H39" s="207" t="s">
        <v>3604</v>
      </c>
      <c r="I39" s="34" t="s">
        <v>3387</v>
      </c>
      <c r="J39" s="207" t="s">
        <v>3388</v>
      </c>
      <c r="K39" s="133" t="s">
        <v>84</v>
      </c>
      <c r="L39" s="17">
        <v>2</v>
      </c>
      <c r="M39" s="8" t="s">
        <v>3608</v>
      </c>
      <c r="N39" s="18"/>
    </row>
    <row r="40" spans="1:21" ht="28.5" customHeight="1" x14ac:dyDescent="0.3">
      <c r="A40" s="518"/>
      <c r="B40" s="445"/>
      <c r="C40" s="4" t="s">
        <v>3380</v>
      </c>
      <c r="D40" s="4" t="s">
        <v>3376</v>
      </c>
      <c r="E40" s="334" t="s">
        <v>3389</v>
      </c>
      <c r="F40" s="34" t="s">
        <v>3391</v>
      </c>
      <c r="G40" s="17" t="s">
        <v>3393</v>
      </c>
      <c r="H40" s="207" t="s">
        <v>3605</v>
      </c>
      <c r="I40" s="34" t="s">
        <v>3394</v>
      </c>
      <c r="J40" s="207"/>
      <c r="K40" s="133" t="s">
        <v>3395</v>
      </c>
      <c r="L40" s="17">
        <v>1</v>
      </c>
      <c r="M40" s="8"/>
      <c r="N40" s="18"/>
    </row>
    <row r="41" spans="1:21" ht="28.5" customHeight="1" x14ac:dyDescent="0.3">
      <c r="A41" s="518"/>
      <c r="B41" s="439">
        <v>46030</v>
      </c>
      <c r="C41" s="4" t="s">
        <v>3398</v>
      </c>
      <c r="D41" s="4" t="s">
        <v>3384</v>
      </c>
      <c r="E41" s="34" t="s">
        <v>3365</v>
      </c>
      <c r="F41" s="34" t="s">
        <v>3399</v>
      </c>
      <c r="G41" s="17" t="s">
        <v>3386</v>
      </c>
      <c r="H41" s="207" t="s">
        <v>3604</v>
      </c>
      <c r="I41" s="34" t="s">
        <v>121</v>
      </c>
      <c r="J41" s="207" t="s">
        <v>3400</v>
      </c>
      <c r="K41" s="133" t="s">
        <v>3395</v>
      </c>
      <c r="L41" s="17">
        <v>2</v>
      </c>
      <c r="M41" s="8" t="s">
        <v>3609</v>
      </c>
      <c r="N41" s="18"/>
    </row>
    <row r="42" spans="1:21" ht="28.5" customHeight="1" x14ac:dyDescent="0.3">
      <c r="A42" s="518"/>
      <c r="B42" s="445"/>
      <c r="C42" s="4" t="s">
        <v>3398</v>
      </c>
      <c r="D42" s="4" t="s">
        <v>3384</v>
      </c>
      <c r="E42" s="34" t="s">
        <v>3365</v>
      </c>
      <c r="F42" s="34" t="s">
        <v>3399</v>
      </c>
      <c r="G42" s="17" t="s">
        <v>3598</v>
      </c>
      <c r="H42" s="207" t="s">
        <v>3644</v>
      </c>
      <c r="I42" s="34"/>
      <c r="J42" s="34" t="s">
        <v>185</v>
      </c>
      <c r="K42" s="133" t="s">
        <v>3395</v>
      </c>
      <c r="L42" s="17">
        <v>1</v>
      </c>
      <c r="M42" s="8"/>
      <c r="N42" s="18"/>
    </row>
    <row r="43" spans="1:21" ht="28.5" customHeight="1" x14ac:dyDescent="0.3">
      <c r="A43" s="518"/>
      <c r="B43" s="439">
        <v>46031</v>
      </c>
      <c r="C43" s="4" t="s">
        <v>21</v>
      </c>
      <c r="D43" s="4" t="s">
        <v>3368</v>
      </c>
      <c r="E43" s="207" t="s">
        <v>3401</v>
      </c>
      <c r="F43" s="34" t="s">
        <v>3402</v>
      </c>
      <c r="G43" s="17" t="s">
        <v>3403</v>
      </c>
      <c r="H43" s="207" t="s">
        <v>3643</v>
      </c>
      <c r="I43" s="34" t="s">
        <v>121</v>
      </c>
      <c r="J43" s="34" t="s">
        <v>3359</v>
      </c>
      <c r="K43" s="133" t="s">
        <v>3404</v>
      </c>
      <c r="L43" s="17">
        <v>2</v>
      </c>
      <c r="M43" s="8" t="s">
        <v>3610</v>
      </c>
      <c r="N43" s="18"/>
    </row>
    <row r="44" spans="1:21" ht="28.5" customHeight="1" x14ac:dyDescent="0.3">
      <c r="A44" s="518"/>
      <c r="B44" s="445"/>
      <c r="C44" s="4"/>
      <c r="D44" s="4"/>
      <c r="E44" s="34"/>
      <c r="F44" s="34"/>
      <c r="G44" s="17"/>
      <c r="H44" s="207"/>
      <c r="I44" s="34"/>
      <c r="J44" s="34"/>
      <c r="K44" s="133"/>
      <c r="L44" s="17"/>
      <c r="M44" s="8"/>
      <c r="N44" s="18"/>
    </row>
    <row r="45" spans="1:21" ht="28.5" customHeight="1" x14ac:dyDescent="0.3">
      <c r="A45" s="518"/>
      <c r="B45" s="439">
        <v>46032</v>
      </c>
      <c r="C45" s="4"/>
      <c r="D45" s="4"/>
      <c r="E45" s="34"/>
      <c r="F45" s="34"/>
      <c r="G45" s="17"/>
      <c r="H45" s="207"/>
      <c r="I45" s="34"/>
      <c r="J45" s="34"/>
      <c r="K45" s="133"/>
      <c r="L45" s="17"/>
      <c r="M45" s="8"/>
      <c r="N45" s="18"/>
    </row>
    <row r="46" spans="1:21" ht="28.5" customHeight="1" x14ac:dyDescent="0.3">
      <c r="A46" s="519"/>
      <c r="B46" s="440"/>
      <c r="C46" s="4"/>
      <c r="D46" s="4"/>
      <c r="E46" s="34"/>
      <c r="F46" s="34"/>
      <c r="G46" s="17"/>
      <c r="H46" s="207"/>
      <c r="I46" s="34"/>
      <c r="J46" s="34"/>
      <c r="K46" s="133"/>
      <c r="L46" s="17"/>
      <c r="M46" s="8"/>
      <c r="N46" s="18"/>
      <c r="P46" s="18"/>
      <c r="Q46" s="18"/>
      <c r="R46" s="18"/>
      <c r="S46" s="18"/>
      <c r="T46" s="18"/>
      <c r="U46" s="18"/>
    </row>
    <row r="47" spans="1:21" s="18" customFormat="1" ht="28.5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O47"/>
      <c r="P47"/>
    </row>
    <row r="48" spans="1:21" s="18" customFormat="1" ht="28.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 s="8" t="s">
        <v>3590</v>
      </c>
      <c r="N48"/>
      <c r="O48"/>
      <c r="P48"/>
    </row>
    <row r="49" spans="1:28" s="18" customFormat="1" ht="28.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 s="8" t="s">
        <v>3591</v>
      </c>
      <c r="N49"/>
      <c r="O49"/>
      <c r="P49"/>
      <c r="Q49"/>
      <c r="R49"/>
      <c r="S49"/>
      <c r="T49"/>
      <c r="U49"/>
    </row>
    <row r="50" spans="1:28" s="18" customFormat="1" ht="28.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 s="8" t="s">
        <v>2833</v>
      </c>
      <c r="N50"/>
      <c r="O50"/>
      <c r="P50"/>
      <c r="Q50"/>
      <c r="R50"/>
      <c r="S50"/>
      <c r="T50"/>
      <c r="U50"/>
    </row>
    <row r="51" spans="1:28" s="18" customFormat="1" ht="28.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 s="8" t="s">
        <v>3593</v>
      </c>
      <c r="N51"/>
      <c r="O51"/>
      <c r="P51"/>
      <c r="Q51"/>
      <c r="R51"/>
      <c r="S51"/>
      <c r="T51"/>
      <c r="U51"/>
    </row>
    <row r="52" spans="1:28" s="18" customFormat="1" ht="28.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 s="8" t="s">
        <v>2831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s="18" customFormat="1" ht="28.5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 s="8" t="s">
        <v>2834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x14ac:dyDescent="0.3">
      <c r="M54" s="8" t="s">
        <v>3593</v>
      </c>
    </row>
    <row r="55" spans="1:28" x14ac:dyDescent="0.3">
      <c r="M55" s="8" t="s">
        <v>2834</v>
      </c>
    </row>
    <row r="56" spans="1:28" x14ac:dyDescent="0.3">
      <c r="M56" s="8" t="s">
        <v>3593</v>
      </c>
    </row>
    <row r="57" spans="1:28" x14ac:dyDescent="0.3">
      <c r="M57" s="8" t="s">
        <v>2838</v>
      </c>
    </row>
  </sheetData>
  <mergeCells count="18">
    <mergeCell ref="L2:L3"/>
    <mergeCell ref="M2:M3"/>
    <mergeCell ref="A2:A3"/>
    <mergeCell ref="B2:B3"/>
    <mergeCell ref="C2:C3"/>
    <mergeCell ref="D2:D3"/>
    <mergeCell ref="F2:F3"/>
    <mergeCell ref="G2:G3"/>
    <mergeCell ref="A34:A46"/>
    <mergeCell ref="H2:H3"/>
    <mergeCell ref="I2:I3"/>
    <mergeCell ref="J2:J3"/>
    <mergeCell ref="K2:K3"/>
    <mergeCell ref="A4:A8"/>
    <mergeCell ref="B8:K8"/>
    <mergeCell ref="A9:A18"/>
    <mergeCell ref="B18:K18"/>
    <mergeCell ref="A19:K19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2" max="12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64"/>
  <sheetViews>
    <sheetView topLeftCell="A2" zoomScale="85" zoomScaleNormal="85" zoomScaleSheetLayoutView="55" workbookViewId="0">
      <selection activeCell="K17" sqref="K17"/>
    </sheetView>
  </sheetViews>
  <sheetFormatPr defaultRowHeight="16.5" x14ac:dyDescent="0.3"/>
  <cols>
    <col min="2" max="2" width="11.375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1.75" customWidth="1"/>
    <col min="13" max="13" width="40.875" customWidth="1"/>
    <col min="15" max="15" width="21.625" bestFit="1" customWidth="1"/>
    <col min="16" max="17" width="12.5" customWidth="1"/>
    <col min="18" max="19" width="12.625" customWidth="1"/>
    <col min="20" max="20" width="12.5" customWidth="1"/>
    <col min="22" max="22" width="39.75" bestFit="1" customWidth="1"/>
    <col min="24" max="24" width="10.875" bestFit="1" customWidth="1"/>
  </cols>
  <sheetData>
    <row r="1" spans="1:20" hidden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20" x14ac:dyDescent="0.3">
      <c r="A2" s="713" t="s">
        <v>3482</v>
      </c>
      <c r="B2" s="713" t="s">
        <v>1</v>
      </c>
      <c r="C2" s="713" t="s">
        <v>2</v>
      </c>
      <c r="D2" s="713" t="s">
        <v>3</v>
      </c>
      <c r="E2" s="462" t="s">
        <v>3483</v>
      </c>
      <c r="F2" s="713" t="s">
        <v>5</v>
      </c>
      <c r="G2" s="713" t="s">
        <v>6</v>
      </c>
      <c r="H2" s="713" t="s">
        <v>3484</v>
      </c>
      <c r="I2" s="713" t="s">
        <v>55</v>
      </c>
      <c r="J2" s="713" t="s">
        <v>9</v>
      </c>
      <c r="K2" s="714" t="s">
        <v>56</v>
      </c>
      <c r="L2" s="713" t="s">
        <v>57</v>
      </c>
      <c r="M2" s="713" t="s">
        <v>58</v>
      </c>
    </row>
    <row r="3" spans="1:20" x14ac:dyDescent="0.3">
      <c r="A3" s="713"/>
      <c r="B3" s="713"/>
      <c r="C3" s="713"/>
      <c r="D3" s="713"/>
      <c r="E3" s="463" t="s">
        <v>3485</v>
      </c>
      <c r="F3" s="713"/>
      <c r="G3" s="713"/>
      <c r="H3" s="713"/>
      <c r="I3" s="713"/>
      <c r="J3" s="713"/>
      <c r="K3" s="714"/>
      <c r="L3" s="713"/>
      <c r="M3" s="713"/>
    </row>
    <row r="4" spans="1:20" ht="27.75" customHeight="1" x14ac:dyDescent="0.3">
      <c r="A4" s="521" t="s">
        <v>3486</v>
      </c>
      <c r="B4" s="439">
        <v>46016</v>
      </c>
      <c r="C4" s="4" t="s">
        <v>307</v>
      </c>
      <c r="D4" s="4" t="s">
        <v>323</v>
      </c>
      <c r="E4" s="4" t="s">
        <v>308</v>
      </c>
      <c r="F4" s="207">
        <v>8262</v>
      </c>
      <c r="G4" s="133" t="s">
        <v>3487</v>
      </c>
      <c r="H4" s="441" t="s">
        <v>3488</v>
      </c>
      <c r="I4" s="4"/>
      <c r="J4" s="4" t="s">
        <v>3489</v>
      </c>
      <c r="K4" s="4"/>
      <c r="L4" s="103">
        <v>250000</v>
      </c>
      <c r="M4" s="6" t="s">
        <v>3490</v>
      </c>
    </row>
    <row r="5" spans="1:20" ht="27.75" customHeight="1" x14ac:dyDescent="0.3">
      <c r="A5" s="521"/>
      <c r="B5" s="439">
        <v>46020</v>
      </c>
      <c r="C5" s="4" t="s">
        <v>307</v>
      </c>
      <c r="D5" s="4" t="s">
        <v>323</v>
      </c>
      <c r="E5" s="4" t="s">
        <v>308</v>
      </c>
      <c r="F5" s="207" t="s">
        <v>3491</v>
      </c>
      <c r="G5" s="133" t="s">
        <v>3492</v>
      </c>
      <c r="H5" s="441" t="s">
        <v>3493</v>
      </c>
      <c r="I5" s="4"/>
      <c r="J5" s="4" t="s">
        <v>3494</v>
      </c>
      <c r="K5" s="4"/>
      <c r="L5" s="103">
        <v>250000</v>
      </c>
      <c r="M5" s="6"/>
    </row>
    <row r="6" spans="1:20" ht="26.25" customHeight="1" x14ac:dyDescent="0.3">
      <c r="A6" s="521"/>
      <c r="B6" s="439">
        <v>46020</v>
      </c>
      <c r="C6" s="4" t="s">
        <v>307</v>
      </c>
      <c r="D6" s="4" t="s">
        <v>323</v>
      </c>
      <c r="E6" s="4" t="s">
        <v>308</v>
      </c>
      <c r="F6" s="207">
        <v>8262</v>
      </c>
      <c r="G6" s="133" t="s">
        <v>3487</v>
      </c>
      <c r="H6" s="441" t="s">
        <v>3495</v>
      </c>
      <c r="I6" s="4"/>
      <c r="J6" s="4" t="s">
        <v>3496</v>
      </c>
      <c r="K6" s="4"/>
      <c r="L6" s="103">
        <v>500000</v>
      </c>
      <c r="M6" s="6"/>
    </row>
    <row r="7" spans="1:20" ht="26.25" customHeight="1" x14ac:dyDescent="0.3">
      <c r="A7" s="521"/>
      <c r="B7" s="439">
        <v>46021</v>
      </c>
      <c r="C7" s="4" t="s">
        <v>307</v>
      </c>
      <c r="D7" s="4" t="s">
        <v>323</v>
      </c>
      <c r="E7" s="4" t="s">
        <v>308</v>
      </c>
      <c r="F7" s="207" t="s">
        <v>3497</v>
      </c>
      <c r="G7" s="133" t="s">
        <v>3498</v>
      </c>
      <c r="H7" s="441" t="s">
        <v>3488</v>
      </c>
      <c r="I7" s="4"/>
      <c r="J7" s="4" t="s">
        <v>3499</v>
      </c>
      <c r="K7" s="4"/>
      <c r="L7" s="103">
        <v>250000</v>
      </c>
      <c r="M7" s="6"/>
    </row>
    <row r="8" spans="1:20" ht="26.25" customHeight="1" x14ac:dyDescent="0.3">
      <c r="A8" s="521"/>
      <c r="B8" s="448">
        <v>46021</v>
      </c>
      <c r="C8" s="4" t="s">
        <v>307</v>
      </c>
      <c r="D8" s="4" t="s">
        <v>323</v>
      </c>
      <c r="E8" s="4" t="s">
        <v>308</v>
      </c>
      <c r="F8" s="207">
        <v>8262</v>
      </c>
      <c r="G8" s="133" t="s">
        <v>3487</v>
      </c>
      <c r="H8" s="441" t="s">
        <v>3500</v>
      </c>
      <c r="I8" s="4"/>
      <c r="J8" s="4" t="s">
        <v>3499</v>
      </c>
      <c r="K8" s="4"/>
      <c r="L8" s="103">
        <v>250000</v>
      </c>
      <c r="M8" s="6"/>
    </row>
    <row r="9" spans="1:20" ht="26.25" customHeight="1" x14ac:dyDescent="0.3">
      <c r="A9" s="521"/>
      <c r="B9" s="448">
        <v>46021</v>
      </c>
      <c r="C9" s="4" t="s">
        <v>307</v>
      </c>
      <c r="D9" s="4" t="s">
        <v>323</v>
      </c>
      <c r="E9" s="4" t="s">
        <v>308</v>
      </c>
      <c r="F9" s="207" t="s">
        <v>3497</v>
      </c>
      <c r="G9" s="133" t="s">
        <v>3498</v>
      </c>
      <c r="H9" s="441" t="s">
        <v>3488</v>
      </c>
      <c r="I9" s="4"/>
      <c r="J9" s="4" t="s">
        <v>3501</v>
      </c>
      <c r="K9" s="4"/>
      <c r="L9" s="103">
        <v>250000</v>
      </c>
      <c r="M9" s="6"/>
    </row>
    <row r="10" spans="1:20" ht="26.25" customHeight="1" x14ac:dyDescent="0.3">
      <c r="A10" s="521"/>
      <c r="B10" s="448">
        <v>45659</v>
      </c>
      <c r="C10" s="4" t="s">
        <v>307</v>
      </c>
      <c r="D10" s="4" t="s">
        <v>323</v>
      </c>
      <c r="E10" s="4" t="s">
        <v>308</v>
      </c>
      <c r="F10" s="207">
        <v>1569</v>
      </c>
      <c r="G10" s="133" t="s">
        <v>3487</v>
      </c>
      <c r="H10" s="441" t="s">
        <v>3493</v>
      </c>
      <c r="I10" s="4"/>
      <c r="J10" s="4" t="s">
        <v>3496</v>
      </c>
      <c r="K10" s="4"/>
      <c r="L10" s="103">
        <v>500000</v>
      </c>
      <c r="M10" s="6"/>
    </row>
    <row r="11" spans="1:20" ht="26.25" customHeight="1" x14ac:dyDescent="0.3">
      <c r="A11" s="521"/>
      <c r="B11" s="521" t="s">
        <v>3502</v>
      </c>
      <c r="C11" s="521"/>
      <c r="D11" s="521"/>
      <c r="E11" s="521"/>
      <c r="F11" s="521"/>
      <c r="G11" s="521"/>
      <c r="H11" s="521"/>
      <c r="I11" s="521"/>
      <c r="J11" s="521"/>
      <c r="K11" s="521"/>
      <c r="L11" s="103">
        <f>SUM(L4:L10)</f>
        <v>2250000</v>
      </c>
      <c r="M11" s="49"/>
      <c r="P11" s="462"/>
      <c r="Q11" s="462" t="s">
        <v>3486</v>
      </c>
      <c r="R11" s="462" t="s">
        <v>3503</v>
      </c>
      <c r="S11" s="462" t="s">
        <v>3504</v>
      </c>
      <c r="T11" s="462" t="s">
        <v>3505</v>
      </c>
    </row>
    <row r="12" spans="1:20" ht="25.5" customHeight="1" x14ac:dyDescent="0.3">
      <c r="A12" s="521" t="s">
        <v>3503</v>
      </c>
      <c r="B12" s="439">
        <v>46020</v>
      </c>
      <c r="C12" s="4" t="s">
        <v>3506</v>
      </c>
      <c r="D12" s="4" t="s">
        <v>3507</v>
      </c>
      <c r="E12" s="34" t="s">
        <v>3508</v>
      </c>
      <c r="F12" s="34" t="s">
        <v>3509</v>
      </c>
      <c r="G12" s="17" t="s">
        <v>3492</v>
      </c>
      <c r="H12" s="207" t="s">
        <v>3510</v>
      </c>
      <c r="I12" s="34" t="s">
        <v>3511</v>
      </c>
      <c r="J12" s="207" t="s">
        <v>3489</v>
      </c>
      <c r="K12" s="133" t="s">
        <v>3512</v>
      </c>
      <c r="L12" s="437">
        <v>250000</v>
      </c>
      <c r="M12" s="6" t="s">
        <v>3513</v>
      </c>
      <c r="P12" s="34" t="s">
        <v>3514</v>
      </c>
      <c r="Q12" s="442">
        <v>250000</v>
      </c>
      <c r="R12" s="438"/>
      <c r="S12" s="438"/>
      <c r="T12" s="438">
        <f>SUM(Q12:S12)</f>
        <v>250000</v>
      </c>
    </row>
    <row r="13" spans="1:20" ht="25.5" customHeight="1" x14ac:dyDescent="0.3">
      <c r="A13" s="521"/>
      <c r="B13" s="439">
        <v>46020</v>
      </c>
      <c r="C13" s="4" t="s">
        <v>3503</v>
      </c>
      <c r="D13" s="4" t="s">
        <v>3507</v>
      </c>
      <c r="E13" s="34" t="s">
        <v>3508</v>
      </c>
      <c r="F13" s="34" t="s">
        <v>3509</v>
      </c>
      <c r="G13" s="17" t="s">
        <v>3492</v>
      </c>
      <c r="H13" s="207" t="s">
        <v>3510</v>
      </c>
      <c r="I13" s="34" t="s">
        <v>3515</v>
      </c>
      <c r="J13" s="207" t="s">
        <v>3516</v>
      </c>
      <c r="K13" s="133" t="s">
        <v>3417</v>
      </c>
      <c r="L13" s="437">
        <v>300000</v>
      </c>
      <c r="M13" s="6" t="s">
        <v>3513</v>
      </c>
      <c r="N13" s="451"/>
      <c r="P13" s="34" t="s">
        <v>3482</v>
      </c>
      <c r="Q13" s="442">
        <v>2000000</v>
      </c>
      <c r="R13" s="438">
        <v>1750000</v>
      </c>
      <c r="S13" s="438">
        <v>2100000</v>
      </c>
      <c r="T13" s="438">
        <f>SUM(Q13:S13)</f>
        <v>5850000</v>
      </c>
    </row>
    <row r="14" spans="1:20" ht="25.5" customHeight="1" x14ac:dyDescent="0.3">
      <c r="A14" s="521"/>
      <c r="B14" s="439">
        <v>46020</v>
      </c>
      <c r="C14" s="4" t="s">
        <v>3503</v>
      </c>
      <c r="D14" s="4" t="s">
        <v>3507</v>
      </c>
      <c r="E14" s="34" t="s">
        <v>3517</v>
      </c>
      <c r="F14" s="34" t="s">
        <v>3518</v>
      </c>
      <c r="G14" s="17" t="s">
        <v>3519</v>
      </c>
      <c r="H14" s="207" t="s">
        <v>3520</v>
      </c>
      <c r="I14" s="34" t="s">
        <v>3521</v>
      </c>
      <c r="J14" s="207" t="s">
        <v>3499</v>
      </c>
      <c r="K14" s="133" t="s">
        <v>3512</v>
      </c>
      <c r="L14" s="437">
        <v>250000</v>
      </c>
      <c r="M14" s="6" t="s">
        <v>3522</v>
      </c>
      <c r="P14" s="456" t="s">
        <v>3523</v>
      </c>
      <c r="Q14" s="457">
        <f>SUM(Q12:Q13)</f>
        <v>2250000</v>
      </c>
      <c r="R14" s="457">
        <f t="shared" ref="R14:T14" si="0">SUM(R12:R13)</f>
        <v>1750000</v>
      </c>
      <c r="S14" s="457">
        <f t="shared" si="0"/>
        <v>2100000</v>
      </c>
      <c r="T14" s="457">
        <f t="shared" si="0"/>
        <v>6100000</v>
      </c>
    </row>
    <row r="15" spans="1:20" ht="25.5" customHeight="1" x14ac:dyDescent="0.3">
      <c r="A15" s="521"/>
      <c r="B15" s="439">
        <v>46022</v>
      </c>
      <c r="C15" s="4" t="s">
        <v>3503</v>
      </c>
      <c r="D15" s="4" t="s">
        <v>3524</v>
      </c>
      <c r="E15" s="34" t="s">
        <v>3525</v>
      </c>
      <c r="F15" s="34" t="s">
        <v>3526</v>
      </c>
      <c r="G15" s="17" t="s">
        <v>3527</v>
      </c>
      <c r="H15" s="207" t="s">
        <v>3529</v>
      </c>
      <c r="I15" s="34" t="s">
        <v>3511</v>
      </c>
      <c r="J15" s="34" t="s">
        <v>3530</v>
      </c>
      <c r="K15" s="133" t="s">
        <v>3512</v>
      </c>
      <c r="L15" s="470">
        <v>300000</v>
      </c>
      <c r="M15" s="6" t="s">
        <v>3513</v>
      </c>
      <c r="N15" s="451"/>
    </row>
    <row r="16" spans="1:20" ht="25.5" customHeight="1" x14ac:dyDescent="0.3">
      <c r="A16" s="521"/>
      <c r="B16" s="439">
        <v>46022</v>
      </c>
      <c r="C16" s="4" t="s">
        <v>3503</v>
      </c>
      <c r="D16" s="4" t="s">
        <v>3524</v>
      </c>
      <c r="E16" s="34" t="s">
        <v>3525</v>
      </c>
      <c r="F16" s="34" t="s">
        <v>3526</v>
      </c>
      <c r="G16" s="17" t="s">
        <v>3527</v>
      </c>
      <c r="H16" s="207" t="s">
        <v>3529</v>
      </c>
      <c r="I16" s="34" t="s">
        <v>3511</v>
      </c>
      <c r="J16" s="34" t="s">
        <v>3489</v>
      </c>
      <c r="K16" s="133" t="s">
        <v>3512</v>
      </c>
      <c r="L16" s="470">
        <v>250000</v>
      </c>
      <c r="M16" s="6" t="s">
        <v>3513</v>
      </c>
    </row>
    <row r="17" spans="1:27" ht="25.5" customHeight="1" x14ac:dyDescent="0.3">
      <c r="A17" s="521"/>
      <c r="B17" s="439">
        <v>46022</v>
      </c>
      <c r="C17" s="4" t="s">
        <v>3503</v>
      </c>
      <c r="D17" s="4" t="s">
        <v>3507</v>
      </c>
      <c r="E17" s="34" t="s">
        <v>3531</v>
      </c>
      <c r="F17" s="34" t="s">
        <v>3532</v>
      </c>
      <c r="G17" s="17" t="s">
        <v>3527</v>
      </c>
      <c r="H17" s="207" t="s">
        <v>3533</v>
      </c>
      <c r="I17" s="34"/>
      <c r="J17" s="207" t="s">
        <v>3534</v>
      </c>
      <c r="K17" s="133" t="s">
        <v>3512</v>
      </c>
      <c r="L17" s="470">
        <v>300000</v>
      </c>
      <c r="M17" s="6" t="s">
        <v>3513</v>
      </c>
      <c r="N17" s="451"/>
    </row>
    <row r="18" spans="1:27" ht="25.5" customHeight="1" x14ac:dyDescent="0.3">
      <c r="A18" s="521"/>
      <c r="B18" s="439">
        <v>46022</v>
      </c>
      <c r="C18" s="4" t="s">
        <v>3503</v>
      </c>
      <c r="D18" s="4" t="s">
        <v>3507</v>
      </c>
      <c r="E18" s="34" t="s">
        <v>3535</v>
      </c>
      <c r="F18" s="34">
        <v>222003</v>
      </c>
      <c r="G18" s="17" t="s">
        <v>3492</v>
      </c>
      <c r="H18" s="207" t="s">
        <v>3536</v>
      </c>
      <c r="I18" s="34"/>
      <c r="J18" s="207" t="s">
        <v>3489</v>
      </c>
      <c r="K18" s="133" t="s">
        <v>3512</v>
      </c>
      <c r="L18" s="470">
        <v>250000</v>
      </c>
      <c r="M18" s="6" t="s">
        <v>3522</v>
      </c>
    </row>
    <row r="19" spans="1:27" ht="25.5" customHeight="1" x14ac:dyDescent="0.3">
      <c r="A19" s="521"/>
      <c r="B19" s="439">
        <v>46022</v>
      </c>
      <c r="C19" s="4" t="s">
        <v>3503</v>
      </c>
      <c r="D19" s="4" t="s">
        <v>3507</v>
      </c>
      <c r="E19" s="34" t="s">
        <v>3537</v>
      </c>
      <c r="F19" s="207">
        <v>7064</v>
      </c>
      <c r="G19" s="17" t="s">
        <v>3538</v>
      </c>
      <c r="H19" s="207" t="s">
        <v>3539</v>
      </c>
      <c r="I19" s="207"/>
      <c r="J19" s="207" t="s">
        <v>3540</v>
      </c>
      <c r="K19" s="133" t="s">
        <v>3512</v>
      </c>
      <c r="L19" s="100">
        <v>600000</v>
      </c>
      <c r="M19" s="6" t="s">
        <v>3513</v>
      </c>
      <c r="N19" s="451"/>
    </row>
    <row r="20" spans="1:27" ht="25.5" customHeight="1" x14ac:dyDescent="0.3">
      <c r="A20" s="521"/>
      <c r="B20" s="439">
        <v>46022</v>
      </c>
      <c r="C20" s="4" t="s">
        <v>3503</v>
      </c>
      <c r="D20" s="4" t="s">
        <v>3507</v>
      </c>
      <c r="E20" s="34" t="s">
        <v>3537</v>
      </c>
      <c r="F20" s="207">
        <v>7064</v>
      </c>
      <c r="G20" s="17" t="s">
        <v>3538</v>
      </c>
      <c r="H20" s="207" t="s">
        <v>3539</v>
      </c>
      <c r="I20" s="207"/>
      <c r="J20" s="207" t="s">
        <v>3499</v>
      </c>
      <c r="K20" s="133" t="s">
        <v>3512</v>
      </c>
      <c r="L20" s="100">
        <v>250000</v>
      </c>
      <c r="M20" s="6" t="s">
        <v>3513</v>
      </c>
    </row>
    <row r="21" spans="1:27" ht="25.5" customHeight="1" x14ac:dyDescent="0.3">
      <c r="A21" s="521"/>
      <c r="B21" s="439">
        <v>46024</v>
      </c>
      <c r="C21" s="4" t="s">
        <v>3503</v>
      </c>
      <c r="D21" s="4" t="s">
        <v>3507</v>
      </c>
      <c r="E21" s="34" t="s">
        <v>3537</v>
      </c>
      <c r="F21" s="207">
        <v>7064</v>
      </c>
      <c r="G21" s="17" t="s">
        <v>3538</v>
      </c>
      <c r="H21" s="207" t="s">
        <v>3541</v>
      </c>
      <c r="I21" s="207"/>
      <c r="J21" s="34" t="s">
        <v>3534</v>
      </c>
      <c r="K21" s="133" t="s">
        <v>3512</v>
      </c>
      <c r="L21" s="470">
        <v>300000</v>
      </c>
      <c r="M21" s="6" t="s">
        <v>3513</v>
      </c>
      <c r="N21" s="451"/>
    </row>
    <row r="22" spans="1:27" ht="25.5" customHeight="1" x14ac:dyDescent="0.3">
      <c r="A22" s="521"/>
      <c r="B22" s="439">
        <v>46024</v>
      </c>
      <c r="C22" s="4" t="s">
        <v>3503</v>
      </c>
      <c r="D22" s="4" t="s">
        <v>3507</v>
      </c>
      <c r="E22" s="34" t="s">
        <v>3537</v>
      </c>
      <c r="F22" s="207">
        <v>7064</v>
      </c>
      <c r="G22" s="17" t="s">
        <v>3542</v>
      </c>
      <c r="H22" s="207" t="s">
        <v>3543</v>
      </c>
      <c r="I22" s="34"/>
      <c r="J22" s="34" t="s">
        <v>3516</v>
      </c>
      <c r="K22" s="133" t="s">
        <v>3512</v>
      </c>
      <c r="L22" s="470">
        <v>300000</v>
      </c>
      <c r="M22" s="6" t="s">
        <v>3513</v>
      </c>
      <c r="N22" s="451"/>
    </row>
    <row r="23" spans="1:27" ht="25.5" customHeight="1" x14ac:dyDescent="0.3">
      <c r="A23" s="521"/>
      <c r="B23" s="439">
        <v>46024</v>
      </c>
      <c r="C23" s="4" t="s">
        <v>3503</v>
      </c>
      <c r="D23" s="4" t="s">
        <v>3507</v>
      </c>
      <c r="E23" s="34" t="s">
        <v>3537</v>
      </c>
      <c r="F23" s="207">
        <v>7064</v>
      </c>
      <c r="G23" s="17" t="s">
        <v>3538</v>
      </c>
      <c r="H23" s="207" t="s">
        <v>3543</v>
      </c>
      <c r="I23" s="34"/>
      <c r="J23" s="34" t="s">
        <v>3499</v>
      </c>
      <c r="K23" s="133" t="s">
        <v>3512</v>
      </c>
      <c r="L23" s="470">
        <v>250000</v>
      </c>
      <c r="M23" s="6" t="s">
        <v>3544</v>
      </c>
    </row>
    <row r="24" spans="1:27" ht="25.5" customHeight="1" x14ac:dyDescent="0.3">
      <c r="A24" s="521"/>
      <c r="B24" s="439">
        <v>46024</v>
      </c>
      <c r="C24" s="4" t="s">
        <v>3503</v>
      </c>
      <c r="D24" s="4" t="s">
        <v>3507</v>
      </c>
      <c r="E24" s="34" t="s">
        <v>3535</v>
      </c>
      <c r="F24" s="207">
        <v>222003</v>
      </c>
      <c r="G24" s="17" t="s">
        <v>3428</v>
      </c>
      <c r="H24" s="207" t="s">
        <v>3545</v>
      </c>
      <c r="I24" s="34"/>
      <c r="J24" s="207" t="s">
        <v>3546</v>
      </c>
      <c r="K24" s="133" t="s">
        <v>3512</v>
      </c>
      <c r="L24" s="470">
        <v>250000</v>
      </c>
      <c r="M24" s="6" t="s">
        <v>3522</v>
      </c>
    </row>
    <row r="25" spans="1:27" ht="25.5" customHeight="1" x14ac:dyDescent="0.3">
      <c r="A25" s="521"/>
      <c r="B25" s="715" t="s">
        <v>3547</v>
      </c>
      <c r="C25" s="716"/>
      <c r="D25" s="716"/>
      <c r="E25" s="716"/>
      <c r="F25" s="716"/>
      <c r="G25" s="716"/>
      <c r="H25" s="716"/>
      <c r="I25" s="716"/>
      <c r="J25" s="716"/>
      <c r="K25" s="717"/>
      <c r="L25" s="103">
        <f>SUM(L12:L24)</f>
        <v>3850000</v>
      </c>
      <c r="M25" s="49"/>
      <c r="P25" s="18"/>
      <c r="Q25" s="18"/>
      <c r="R25" s="18"/>
      <c r="S25" s="18"/>
      <c r="T25" s="18"/>
    </row>
    <row r="26" spans="1:27" ht="25.5" customHeight="1" x14ac:dyDescent="0.3">
      <c r="A26" s="718" t="s">
        <v>62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403">
        <f>L11+L25</f>
        <v>6100000</v>
      </c>
      <c r="M26" s="42"/>
      <c r="P26" s="18"/>
      <c r="Q26" s="18"/>
      <c r="R26" s="18"/>
      <c r="S26" s="18"/>
      <c r="T26" s="18"/>
    </row>
    <row r="27" spans="1:27" ht="26.25" customHeight="1" x14ac:dyDescent="0.3">
      <c r="P27" s="18"/>
      <c r="Q27" s="18"/>
      <c r="R27" s="18"/>
      <c r="S27" s="18"/>
      <c r="T27" s="18"/>
      <c r="U27" s="18"/>
    </row>
    <row r="28" spans="1:27" ht="26.25" customHeight="1" x14ac:dyDescent="0.3">
      <c r="O28" s="18"/>
      <c r="P28" s="18"/>
      <c r="Q28" s="18"/>
      <c r="R28" s="18"/>
      <c r="S28" s="18"/>
      <c r="T28" s="18"/>
      <c r="U28" s="18"/>
    </row>
    <row r="29" spans="1:27" ht="26.25" customHeight="1" x14ac:dyDescent="0.3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18"/>
      <c r="M29" s="419"/>
      <c r="O29" s="18"/>
      <c r="P29" s="18"/>
      <c r="Q29" s="18"/>
      <c r="R29" s="18"/>
      <c r="S29" s="18"/>
      <c r="T29" s="18"/>
      <c r="U29" s="18"/>
    </row>
    <row r="30" spans="1:27" ht="26.25" hidden="1" customHeight="1" x14ac:dyDescent="0.3"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7" ht="25.5" hidden="1" customHeight="1" x14ac:dyDescent="0.3">
      <c r="B31" s="158" t="s">
        <v>3548</v>
      </c>
      <c r="C31" s="159"/>
      <c r="D31" s="159"/>
      <c r="E31" s="159"/>
      <c r="F31" s="159"/>
      <c r="G31" s="159"/>
      <c r="H31" s="159"/>
      <c r="I31" s="159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7" ht="25.5" hidden="1" customHeight="1" x14ac:dyDescent="0.3">
      <c r="B32" s="160" t="s">
        <v>3549</v>
      </c>
      <c r="C32" s="161">
        <v>45282</v>
      </c>
      <c r="D32" s="159" t="s">
        <v>3550</v>
      </c>
      <c r="E32" s="159"/>
      <c r="F32" s="159"/>
      <c r="G32" s="159"/>
      <c r="I32" s="15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25.5" hidden="1" customHeight="1" x14ac:dyDescent="0.3">
      <c r="B33" s="160" t="s">
        <v>3551</v>
      </c>
      <c r="C33" s="161">
        <v>45282</v>
      </c>
      <c r="D33" s="159" t="s">
        <v>3552</v>
      </c>
      <c r="E33" s="159"/>
      <c r="F33" s="159"/>
      <c r="G33" s="159"/>
      <c r="H33" s="159"/>
      <c r="I33" s="159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25.5" hidden="1" customHeight="1" x14ac:dyDescent="0.3">
      <c r="B34" s="160" t="s">
        <v>3553</v>
      </c>
      <c r="C34" s="162" t="s">
        <v>3554</v>
      </c>
      <c r="D34" s="159" t="s">
        <v>3555</v>
      </c>
      <c r="E34" s="159"/>
      <c r="F34" s="159"/>
      <c r="G34" s="159"/>
      <c r="H34" s="159"/>
      <c r="I34" s="159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20.100000000000001" hidden="1" customHeight="1" x14ac:dyDescent="0.3">
      <c r="B35" s="159"/>
      <c r="C35" s="159" t="s">
        <v>3556</v>
      </c>
      <c r="D35" s="159"/>
      <c r="E35" s="159"/>
      <c r="F35" s="159"/>
      <c r="G35" s="159"/>
      <c r="H35" s="159"/>
      <c r="I35" s="159"/>
      <c r="N35" t="s">
        <v>3557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6.5" hidden="1" customHeight="1" x14ac:dyDescent="0.3">
      <c r="O36" s="18"/>
      <c r="P36" s="18"/>
      <c r="Q36" s="18"/>
      <c r="R36" s="18"/>
      <c r="S36" s="18"/>
      <c r="T36" s="18"/>
      <c r="V36" s="18"/>
      <c r="W36" s="18"/>
      <c r="X36" s="18"/>
      <c r="Y36" s="18"/>
      <c r="Z36" s="18"/>
      <c r="AA36" s="18"/>
    </row>
    <row r="37" spans="1:27" ht="20.100000000000001" hidden="1" customHeight="1" x14ac:dyDescent="0.3">
      <c r="J37" s="159"/>
      <c r="O37" s="18"/>
      <c r="V37" s="18"/>
      <c r="W37" s="18"/>
      <c r="X37" s="18"/>
      <c r="Y37" s="18"/>
      <c r="Z37" s="18"/>
      <c r="AA37" s="18"/>
    </row>
    <row r="38" spans="1:27" x14ac:dyDescent="0.3">
      <c r="V38" s="18"/>
      <c r="W38" s="18"/>
      <c r="X38" s="18"/>
      <c r="Y38" s="18"/>
      <c r="Z38" s="18"/>
      <c r="AA38" s="18"/>
    </row>
    <row r="39" spans="1:27" x14ac:dyDescent="0.3">
      <c r="N39" s="18"/>
    </row>
    <row r="40" spans="1:27" ht="28.5" customHeight="1" x14ac:dyDescent="0.3">
      <c r="A40" s="345" t="s">
        <v>3558</v>
      </c>
      <c r="B40" s="346" t="s">
        <v>1</v>
      </c>
      <c r="C40" s="345" t="s">
        <v>2</v>
      </c>
      <c r="D40" s="345" t="s">
        <v>3</v>
      </c>
      <c r="E40" s="345" t="s">
        <v>4</v>
      </c>
      <c r="F40" s="345" t="s">
        <v>5</v>
      </c>
      <c r="G40" s="345" t="s">
        <v>6</v>
      </c>
      <c r="H40" s="347" t="s">
        <v>7</v>
      </c>
      <c r="I40" s="345" t="s">
        <v>3559</v>
      </c>
      <c r="J40" s="345" t="s">
        <v>9</v>
      </c>
      <c r="K40" s="348" t="s">
        <v>3560</v>
      </c>
      <c r="L40" s="345" t="s">
        <v>3561</v>
      </c>
      <c r="M40" s="345" t="s">
        <v>3562</v>
      </c>
      <c r="N40" s="18"/>
    </row>
    <row r="41" spans="1:27" ht="28.5" customHeight="1" x14ac:dyDescent="0.3">
      <c r="A41" s="517" t="s">
        <v>3482</v>
      </c>
      <c r="B41" s="439">
        <v>46020</v>
      </c>
      <c r="C41" s="4" t="s">
        <v>3503</v>
      </c>
      <c r="D41" s="4" t="s">
        <v>14</v>
      </c>
      <c r="E41" s="34" t="s">
        <v>3508</v>
      </c>
      <c r="F41" s="34" t="s">
        <v>3509</v>
      </c>
      <c r="G41" s="17" t="s">
        <v>3492</v>
      </c>
      <c r="H41" s="207" t="s">
        <v>3510</v>
      </c>
      <c r="I41" s="34" t="s">
        <v>3511</v>
      </c>
      <c r="J41" s="207" t="s">
        <v>3563</v>
      </c>
      <c r="K41" s="133" t="s">
        <v>3512</v>
      </c>
      <c r="L41" s="17">
        <v>3</v>
      </c>
      <c r="M41" s="8" t="s">
        <v>3564</v>
      </c>
      <c r="N41" s="18"/>
    </row>
    <row r="42" spans="1:27" ht="28.5" customHeight="1" x14ac:dyDescent="0.3">
      <c r="A42" s="518"/>
      <c r="B42" s="445"/>
      <c r="C42" s="4" t="s">
        <v>3503</v>
      </c>
      <c r="D42" s="4" t="s">
        <v>3507</v>
      </c>
      <c r="E42" s="34" t="s">
        <v>3517</v>
      </c>
      <c r="F42" s="34" t="s">
        <v>3518</v>
      </c>
      <c r="G42" s="17" t="s">
        <v>3519</v>
      </c>
      <c r="H42" s="207" t="s">
        <v>3520</v>
      </c>
      <c r="I42" s="34" t="s">
        <v>3521</v>
      </c>
      <c r="J42" s="207" t="s">
        <v>3499</v>
      </c>
      <c r="K42" s="133" t="s">
        <v>3512</v>
      </c>
      <c r="L42" s="17">
        <v>2</v>
      </c>
      <c r="M42" s="8" t="s">
        <v>3565</v>
      </c>
      <c r="N42" s="18"/>
    </row>
    <row r="43" spans="1:27" ht="28.5" customHeight="1" x14ac:dyDescent="0.3">
      <c r="A43" s="518"/>
      <c r="B43" s="439">
        <v>46021</v>
      </c>
      <c r="C43" s="4" t="s">
        <v>3414</v>
      </c>
      <c r="D43" s="4" t="s">
        <v>3507</v>
      </c>
      <c r="E43" s="34" t="s">
        <v>3566</v>
      </c>
      <c r="F43" s="17" t="s">
        <v>3567</v>
      </c>
      <c r="G43" s="17" t="s">
        <v>3568</v>
      </c>
      <c r="H43" s="207" t="s">
        <v>3569</v>
      </c>
      <c r="I43" s="34"/>
      <c r="J43" s="207" t="s">
        <v>3570</v>
      </c>
      <c r="K43" s="133" t="s">
        <v>3512</v>
      </c>
      <c r="L43" s="17">
        <v>5</v>
      </c>
      <c r="M43" s="8" t="s">
        <v>3571</v>
      </c>
      <c r="N43" s="18"/>
    </row>
    <row r="44" spans="1:27" ht="28.5" customHeight="1" x14ac:dyDescent="0.3">
      <c r="A44" s="518"/>
      <c r="B44" s="445"/>
      <c r="C44" s="4" t="s">
        <v>3503</v>
      </c>
      <c r="D44" s="4" t="s">
        <v>3507</v>
      </c>
      <c r="E44" s="34" t="s">
        <v>3508</v>
      </c>
      <c r="F44" s="34" t="s">
        <v>3509</v>
      </c>
      <c r="G44" s="17" t="s">
        <v>3428</v>
      </c>
      <c r="H44" s="207" t="s">
        <v>3572</v>
      </c>
      <c r="I44" s="34" t="s">
        <v>3425</v>
      </c>
      <c r="J44" s="34"/>
      <c r="K44" s="133" t="s">
        <v>3417</v>
      </c>
      <c r="L44" s="17">
        <v>1</v>
      </c>
      <c r="M44" s="8" t="s">
        <v>3573</v>
      </c>
      <c r="N44" s="18"/>
    </row>
    <row r="45" spans="1:27" ht="28.5" customHeight="1" x14ac:dyDescent="0.3">
      <c r="A45" s="518"/>
      <c r="B45" s="439">
        <v>46022</v>
      </c>
      <c r="C45" s="4" t="s">
        <v>3503</v>
      </c>
      <c r="D45" s="4" t="s">
        <v>3415</v>
      </c>
      <c r="E45" s="34" t="s">
        <v>3525</v>
      </c>
      <c r="F45" s="34" t="s">
        <v>3574</v>
      </c>
      <c r="G45" s="17" t="s">
        <v>3527</v>
      </c>
      <c r="H45" s="207" t="s">
        <v>3528</v>
      </c>
      <c r="I45" s="34" t="s">
        <v>90</v>
      </c>
      <c r="J45" s="34" t="s">
        <v>3575</v>
      </c>
      <c r="K45" s="133" t="s">
        <v>3512</v>
      </c>
      <c r="L45" s="17">
        <v>3</v>
      </c>
      <c r="M45" s="8" t="s">
        <v>3576</v>
      </c>
      <c r="N45" s="18"/>
    </row>
    <row r="46" spans="1:27" ht="28.5" customHeight="1" x14ac:dyDescent="0.3">
      <c r="A46" s="518"/>
      <c r="B46" s="445"/>
      <c r="C46" s="4" t="s">
        <v>3503</v>
      </c>
      <c r="D46" s="4" t="s">
        <v>3507</v>
      </c>
      <c r="E46" s="34" t="s">
        <v>3531</v>
      </c>
      <c r="F46" s="34" t="s">
        <v>3577</v>
      </c>
      <c r="G46" s="17" t="s">
        <v>3578</v>
      </c>
      <c r="H46" s="207" t="s">
        <v>3579</v>
      </c>
      <c r="I46" s="34"/>
      <c r="J46" s="207" t="s">
        <v>3580</v>
      </c>
      <c r="K46" s="133" t="s">
        <v>3512</v>
      </c>
      <c r="L46" s="17">
        <v>2</v>
      </c>
      <c r="M46" s="8"/>
      <c r="N46" s="18"/>
    </row>
    <row r="47" spans="1:27" ht="28.5" customHeight="1" x14ac:dyDescent="0.3">
      <c r="A47" s="518"/>
      <c r="B47" s="445"/>
      <c r="C47" s="4" t="s">
        <v>3503</v>
      </c>
      <c r="D47" s="4" t="s">
        <v>3422</v>
      </c>
      <c r="E47" s="34" t="s">
        <v>3535</v>
      </c>
      <c r="F47" s="34">
        <v>222003</v>
      </c>
      <c r="G47" s="17" t="s">
        <v>3492</v>
      </c>
      <c r="H47" s="207" t="s">
        <v>3536</v>
      </c>
      <c r="I47" s="34"/>
      <c r="J47" s="207" t="s">
        <v>3489</v>
      </c>
      <c r="K47" s="133" t="s">
        <v>3512</v>
      </c>
      <c r="L47" s="17">
        <v>1</v>
      </c>
      <c r="M47" s="8"/>
      <c r="N47" s="18"/>
    </row>
    <row r="48" spans="1:27" ht="28.5" customHeight="1" x14ac:dyDescent="0.3">
      <c r="A48" s="518"/>
      <c r="B48" s="445"/>
      <c r="C48" s="4" t="s">
        <v>3503</v>
      </c>
      <c r="D48" s="4" t="s">
        <v>3507</v>
      </c>
      <c r="E48" s="34" t="s">
        <v>3581</v>
      </c>
      <c r="F48" s="207">
        <v>7064</v>
      </c>
      <c r="G48" s="17" t="s">
        <v>3542</v>
      </c>
      <c r="H48" s="334" t="s">
        <v>3539</v>
      </c>
      <c r="I48" s="207"/>
      <c r="J48" s="207" t="s">
        <v>3582</v>
      </c>
      <c r="K48" s="133" t="s">
        <v>3512</v>
      </c>
      <c r="L48" s="17">
        <v>3</v>
      </c>
      <c r="M48" s="8"/>
      <c r="N48" s="18"/>
    </row>
    <row r="49" spans="1:28" ht="28.5" customHeight="1" x14ac:dyDescent="0.3">
      <c r="A49" s="518"/>
      <c r="B49" s="439">
        <v>46023</v>
      </c>
      <c r="C49" s="4"/>
      <c r="D49" s="4"/>
      <c r="E49" s="34"/>
      <c r="F49" s="34"/>
      <c r="G49" s="17"/>
      <c r="H49" s="468" t="s">
        <v>3583</v>
      </c>
      <c r="I49" s="34"/>
      <c r="J49" s="207"/>
      <c r="K49" s="133"/>
      <c r="L49" s="17"/>
      <c r="M49" s="8"/>
      <c r="N49" s="18"/>
    </row>
    <row r="50" spans="1:28" ht="28.5" customHeight="1" x14ac:dyDescent="0.3">
      <c r="A50" s="518"/>
      <c r="B50" s="445"/>
      <c r="C50" s="4"/>
      <c r="D50" s="4"/>
      <c r="E50" s="34"/>
      <c r="F50" s="34"/>
      <c r="G50" s="17"/>
      <c r="H50" s="207"/>
      <c r="I50" s="34"/>
      <c r="J50" s="34"/>
      <c r="K50" s="133"/>
      <c r="L50" s="17"/>
      <c r="M50" s="8"/>
      <c r="N50" s="18"/>
    </row>
    <row r="51" spans="1:28" ht="28.5" customHeight="1" x14ac:dyDescent="0.3">
      <c r="A51" s="518"/>
      <c r="B51" s="439">
        <v>46024</v>
      </c>
      <c r="C51" s="4" t="s">
        <v>3503</v>
      </c>
      <c r="D51" s="4" t="s">
        <v>3507</v>
      </c>
      <c r="E51" s="34" t="s">
        <v>3535</v>
      </c>
      <c r="F51" s="207">
        <v>222003</v>
      </c>
      <c r="G51" s="17" t="s">
        <v>3428</v>
      </c>
      <c r="H51" s="207" t="s">
        <v>3545</v>
      </c>
      <c r="I51" s="34"/>
      <c r="J51" s="207" t="s">
        <v>3546</v>
      </c>
      <c r="K51" s="133" t="s">
        <v>3512</v>
      </c>
      <c r="L51" s="17">
        <v>1</v>
      </c>
      <c r="M51" s="8" t="s">
        <v>3584</v>
      </c>
      <c r="N51" s="18"/>
    </row>
    <row r="52" spans="1:28" ht="28.5" customHeight="1" x14ac:dyDescent="0.3">
      <c r="A52" s="518"/>
      <c r="B52" s="445"/>
      <c r="C52" s="4" t="s">
        <v>3503</v>
      </c>
      <c r="D52" s="4" t="s">
        <v>3524</v>
      </c>
      <c r="E52" s="310" t="s">
        <v>3525</v>
      </c>
      <c r="F52" s="34" t="s">
        <v>3585</v>
      </c>
      <c r="G52" s="17" t="s">
        <v>3586</v>
      </c>
      <c r="H52" s="207" t="s">
        <v>3587</v>
      </c>
      <c r="I52" s="34" t="s">
        <v>3588</v>
      </c>
      <c r="J52" s="207"/>
      <c r="K52" s="133" t="s">
        <v>3417</v>
      </c>
      <c r="L52" s="17">
        <v>1</v>
      </c>
      <c r="M52" s="8"/>
      <c r="N52" s="18"/>
    </row>
    <row r="53" spans="1:28" ht="28.5" customHeight="1" x14ac:dyDescent="0.3">
      <c r="A53" s="519"/>
      <c r="B53" s="440"/>
      <c r="C53" s="4" t="s">
        <v>3414</v>
      </c>
      <c r="D53" s="4" t="s">
        <v>3507</v>
      </c>
      <c r="E53" s="34" t="s">
        <v>3537</v>
      </c>
      <c r="F53" s="207">
        <v>7064</v>
      </c>
      <c r="G53" s="17" t="s">
        <v>3538</v>
      </c>
      <c r="H53" s="310" t="s">
        <v>3589</v>
      </c>
      <c r="I53" s="207"/>
      <c r="J53" s="207" t="s">
        <v>3582</v>
      </c>
      <c r="K53" s="133" t="s">
        <v>3512</v>
      </c>
      <c r="L53" s="17">
        <v>3</v>
      </c>
      <c r="M53" s="8"/>
      <c r="N53" s="18"/>
      <c r="U53" s="18"/>
    </row>
    <row r="54" spans="1:28" s="18" customFormat="1" ht="28.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O54"/>
    </row>
    <row r="55" spans="1:28" s="18" customFormat="1" ht="28.5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 s="8" t="s">
        <v>3590</v>
      </c>
      <c r="N55"/>
      <c r="O55"/>
      <c r="P55"/>
    </row>
    <row r="56" spans="1:28" s="18" customFormat="1" ht="28.5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 s="8" t="s">
        <v>3591</v>
      </c>
      <c r="N56"/>
      <c r="O56"/>
      <c r="P56"/>
      <c r="U56"/>
    </row>
    <row r="57" spans="1:28" s="18" customFormat="1" ht="28.5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 s="8" t="s">
        <v>3592</v>
      </c>
      <c r="N57"/>
      <c r="O57"/>
      <c r="P57"/>
      <c r="Q57"/>
      <c r="R57"/>
      <c r="S57"/>
      <c r="T57"/>
      <c r="U57"/>
    </row>
    <row r="58" spans="1:28" s="18" customFormat="1" ht="28.5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 s="8" t="s">
        <v>3593</v>
      </c>
      <c r="N58"/>
      <c r="O58"/>
      <c r="P58"/>
      <c r="Q58"/>
      <c r="R58"/>
      <c r="S58"/>
      <c r="T58"/>
      <c r="U58"/>
    </row>
    <row r="59" spans="1:28" s="18" customFormat="1" ht="28.5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 s="8" t="s">
        <v>3594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s="18" customFormat="1" ht="28.5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 s="8" t="s">
        <v>3595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x14ac:dyDescent="0.3">
      <c r="M61" s="8" t="s">
        <v>3593</v>
      </c>
    </row>
    <row r="62" spans="1:28" x14ac:dyDescent="0.3">
      <c r="M62" s="8" t="s">
        <v>3595</v>
      </c>
    </row>
    <row r="63" spans="1:28" x14ac:dyDescent="0.3">
      <c r="M63" s="8" t="s">
        <v>3593</v>
      </c>
    </row>
    <row r="64" spans="1:28" x14ac:dyDescent="0.3">
      <c r="M64" s="8" t="s">
        <v>3596</v>
      </c>
    </row>
  </sheetData>
  <mergeCells count="18">
    <mergeCell ref="A41:A53"/>
    <mergeCell ref="H2:H3"/>
    <mergeCell ref="I2:I3"/>
    <mergeCell ref="J2:J3"/>
    <mergeCell ref="K2:K3"/>
    <mergeCell ref="A4:A11"/>
    <mergeCell ref="B11:K11"/>
    <mergeCell ref="A12:A25"/>
    <mergeCell ref="B25:K25"/>
    <mergeCell ref="A26:K26"/>
    <mergeCell ref="L2:L3"/>
    <mergeCell ref="M2:M3"/>
    <mergeCell ref="A2:A3"/>
    <mergeCell ref="B2:B3"/>
    <mergeCell ref="C2:C3"/>
    <mergeCell ref="D2:D3"/>
    <mergeCell ref="F2:F3"/>
    <mergeCell ref="G2:G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rowBreaks count="1" manualBreakCount="1">
    <brk id="29" max="12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FFFF00"/>
    <pageSetUpPr fitToPage="1"/>
  </sheetPr>
  <dimension ref="A1:R70"/>
  <sheetViews>
    <sheetView view="pageBreakPreview" topLeftCell="A2" zoomScale="85" zoomScaleNormal="100" zoomScaleSheetLayoutView="85" workbookViewId="0">
      <selection activeCell="D37" sqref="C37:D37"/>
    </sheetView>
  </sheetViews>
  <sheetFormatPr defaultRowHeight="16.5" x14ac:dyDescent="0.3"/>
  <cols>
    <col min="2" max="2" width="12" customWidth="1"/>
    <col min="3" max="3" width="9.875" bestFit="1" customWidth="1"/>
    <col min="6" max="6" width="11.625" customWidth="1"/>
    <col min="8" max="8" width="38.25" customWidth="1"/>
    <col min="9" max="9" width="11.625" customWidth="1"/>
    <col min="10" max="10" width="16.125" customWidth="1"/>
    <col min="12" max="12" width="10.75" customWidth="1"/>
    <col min="13" max="13" width="40.875" customWidth="1"/>
  </cols>
  <sheetData>
    <row r="1" spans="1:13" hidden="1" x14ac:dyDescent="0.3"/>
    <row r="2" spans="1:13" x14ac:dyDescent="0.3">
      <c r="A2" s="713" t="s">
        <v>1956</v>
      </c>
      <c r="B2" s="725" t="s">
        <v>1</v>
      </c>
      <c r="C2" s="725" t="s">
        <v>2</v>
      </c>
      <c r="D2" s="725" t="s">
        <v>3</v>
      </c>
      <c r="E2" s="350" t="s">
        <v>2636</v>
      </c>
      <c r="F2" s="725" t="s">
        <v>5</v>
      </c>
      <c r="G2" s="725" t="s">
        <v>6</v>
      </c>
      <c r="H2" s="725" t="s">
        <v>2638</v>
      </c>
      <c r="I2" s="725" t="s">
        <v>55</v>
      </c>
      <c r="J2" s="725" t="s">
        <v>9</v>
      </c>
      <c r="K2" s="727" t="s">
        <v>56</v>
      </c>
      <c r="L2" s="725" t="s">
        <v>57</v>
      </c>
      <c r="M2" s="725" t="s">
        <v>58</v>
      </c>
    </row>
    <row r="3" spans="1:13" x14ac:dyDescent="0.3">
      <c r="A3" s="713"/>
      <c r="B3" s="726"/>
      <c r="C3" s="726"/>
      <c r="D3" s="726"/>
      <c r="E3" s="351" t="s">
        <v>2637</v>
      </c>
      <c r="F3" s="726"/>
      <c r="G3" s="726"/>
      <c r="H3" s="726"/>
      <c r="I3" s="726"/>
      <c r="J3" s="726"/>
      <c r="K3" s="728"/>
      <c r="L3" s="726"/>
      <c r="M3" s="726"/>
    </row>
    <row r="4" spans="1:13" ht="26.25" customHeight="1" x14ac:dyDescent="0.3">
      <c r="A4" s="521" t="s">
        <v>20</v>
      </c>
      <c r="B4" s="202" t="s">
        <v>3040</v>
      </c>
      <c r="C4" s="256" t="s">
        <v>307</v>
      </c>
      <c r="D4" s="256" t="s">
        <v>323</v>
      </c>
      <c r="E4" s="256" t="s">
        <v>308</v>
      </c>
      <c r="F4" s="255" t="s">
        <v>2941</v>
      </c>
      <c r="G4" s="256" t="s">
        <v>2992</v>
      </c>
      <c r="H4" s="255" t="s">
        <v>3042</v>
      </c>
      <c r="I4" s="256" t="s">
        <v>169</v>
      </c>
      <c r="J4" s="197" t="s">
        <v>3041</v>
      </c>
      <c r="K4" s="256"/>
      <c r="L4" s="221">
        <v>1500000</v>
      </c>
      <c r="M4" s="133" t="s">
        <v>3109</v>
      </c>
    </row>
    <row r="5" spans="1:13" ht="26.25" customHeight="1" x14ac:dyDescent="0.3">
      <c r="A5" s="521"/>
      <c r="B5" s="99">
        <v>45836</v>
      </c>
      <c r="C5" s="133" t="s">
        <v>307</v>
      </c>
      <c r="D5" s="133" t="s">
        <v>323</v>
      </c>
      <c r="E5" s="133" t="s">
        <v>2998</v>
      </c>
      <c r="F5" s="207" t="s">
        <v>2913</v>
      </c>
      <c r="G5" s="133" t="s">
        <v>2990</v>
      </c>
      <c r="H5" s="207" t="s">
        <v>3066</v>
      </c>
      <c r="I5" s="133" t="s">
        <v>1262</v>
      </c>
      <c r="J5" s="4" t="s">
        <v>3043</v>
      </c>
      <c r="K5" s="133"/>
      <c r="L5" s="103" t="s">
        <v>3070</v>
      </c>
      <c r="M5" s="133" t="s">
        <v>3057</v>
      </c>
    </row>
    <row r="6" spans="1:13" ht="26.25" customHeight="1" x14ac:dyDescent="0.3">
      <c r="A6" s="521"/>
      <c r="B6" s="420">
        <v>45836</v>
      </c>
      <c r="C6" s="358" t="s">
        <v>307</v>
      </c>
      <c r="D6" s="358" t="s">
        <v>323</v>
      </c>
      <c r="E6" s="358" t="s">
        <v>2998</v>
      </c>
      <c r="F6" s="421" t="s">
        <v>3044</v>
      </c>
      <c r="G6" s="358" t="s">
        <v>3045</v>
      </c>
      <c r="H6" s="421" t="s">
        <v>3046</v>
      </c>
      <c r="I6" s="358" t="s">
        <v>169</v>
      </c>
      <c r="J6" s="218" t="s">
        <v>3047</v>
      </c>
      <c r="K6" s="358"/>
      <c r="L6" s="359" t="s">
        <v>3070</v>
      </c>
      <c r="M6" s="133" t="s">
        <v>3109</v>
      </c>
    </row>
    <row r="7" spans="1:13" ht="26.25" customHeight="1" x14ac:dyDescent="0.3">
      <c r="A7" s="521"/>
      <c r="B7" s="202" t="s">
        <v>3071</v>
      </c>
      <c r="C7" s="256" t="s">
        <v>307</v>
      </c>
      <c r="D7" s="256" t="s">
        <v>323</v>
      </c>
      <c r="E7" s="256" t="s">
        <v>308</v>
      </c>
      <c r="F7" s="255" t="s">
        <v>2941</v>
      </c>
      <c r="G7" s="256" t="s">
        <v>2992</v>
      </c>
      <c r="H7" s="255" t="s">
        <v>3072</v>
      </c>
      <c r="I7" s="256" t="s">
        <v>169</v>
      </c>
      <c r="J7" s="197" t="s">
        <v>3073</v>
      </c>
      <c r="K7" s="256"/>
      <c r="L7" s="221">
        <v>750000</v>
      </c>
      <c r="M7" s="133" t="s">
        <v>3109</v>
      </c>
    </row>
    <row r="8" spans="1:13" ht="26.25" customHeight="1" x14ac:dyDescent="0.3">
      <c r="A8" s="521"/>
      <c r="B8" s="273" t="s">
        <v>3058</v>
      </c>
      <c r="C8" s="133" t="s">
        <v>307</v>
      </c>
      <c r="D8" s="133" t="s">
        <v>323</v>
      </c>
      <c r="E8" s="133" t="s">
        <v>308</v>
      </c>
      <c r="F8" s="207" t="s">
        <v>3024</v>
      </c>
      <c r="G8" s="133" t="s">
        <v>3025</v>
      </c>
      <c r="H8" s="207" t="s">
        <v>3028</v>
      </c>
      <c r="I8" s="133" t="s">
        <v>169</v>
      </c>
      <c r="J8" s="4" t="s">
        <v>3027</v>
      </c>
      <c r="K8" s="133"/>
      <c r="L8" s="103">
        <v>1000000</v>
      </c>
      <c r="M8" s="133" t="s">
        <v>122</v>
      </c>
    </row>
    <row r="9" spans="1:13" ht="26.25" customHeight="1" x14ac:dyDescent="0.3">
      <c r="A9" s="521"/>
      <c r="B9" s="99">
        <v>45840</v>
      </c>
      <c r="C9" s="133" t="s">
        <v>307</v>
      </c>
      <c r="D9" s="133" t="s">
        <v>323</v>
      </c>
      <c r="E9" s="133" t="s">
        <v>308</v>
      </c>
      <c r="F9" s="207" t="s">
        <v>2913</v>
      </c>
      <c r="G9" s="133" t="s">
        <v>208</v>
      </c>
      <c r="H9" s="207" t="s">
        <v>3026</v>
      </c>
      <c r="I9" s="133" t="s">
        <v>169</v>
      </c>
      <c r="J9" s="4" t="s">
        <v>2946</v>
      </c>
      <c r="K9" s="133"/>
      <c r="L9" s="103">
        <v>250000</v>
      </c>
      <c r="M9" s="133" t="s">
        <v>122</v>
      </c>
    </row>
    <row r="10" spans="1:13" ht="26.25" customHeight="1" x14ac:dyDescent="0.3">
      <c r="A10" s="521"/>
      <c r="B10" s="99" t="s">
        <v>3051</v>
      </c>
      <c r="C10" s="133" t="s">
        <v>307</v>
      </c>
      <c r="D10" s="133" t="s">
        <v>323</v>
      </c>
      <c r="E10" s="133" t="s">
        <v>3068</v>
      </c>
      <c r="F10" s="207" t="s">
        <v>3037</v>
      </c>
      <c r="G10" s="133" t="s">
        <v>3038</v>
      </c>
      <c r="H10" s="207" t="s">
        <v>3067</v>
      </c>
      <c r="I10" s="133" t="s">
        <v>3039</v>
      </c>
      <c r="J10" s="4" t="s">
        <v>3050</v>
      </c>
      <c r="K10" s="133"/>
      <c r="L10" s="103">
        <v>1000000</v>
      </c>
      <c r="M10" s="133" t="s">
        <v>2858</v>
      </c>
    </row>
    <row r="11" spans="1:13" ht="19.5" customHeight="1" x14ac:dyDescent="0.3">
      <c r="A11" s="521"/>
      <c r="B11" s="521" t="s">
        <v>1139</v>
      </c>
      <c r="C11" s="521"/>
      <c r="D11" s="521"/>
      <c r="E11" s="521"/>
      <c r="F11" s="521"/>
      <c r="G11" s="521"/>
      <c r="H11" s="521"/>
      <c r="I11" s="521"/>
      <c r="J11" s="521"/>
      <c r="K11" s="521"/>
      <c r="L11" s="103">
        <f>SUM(L4:L10)</f>
        <v>4500000</v>
      </c>
      <c r="M11" s="49"/>
    </row>
    <row r="12" spans="1:13" ht="25.5" customHeight="1" x14ac:dyDescent="0.3">
      <c r="A12" s="531" t="s">
        <v>21</v>
      </c>
      <c r="B12" s="135">
        <v>45832</v>
      </c>
      <c r="C12" s="4" t="s">
        <v>21</v>
      </c>
      <c r="D12" s="4" t="s">
        <v>14</v>
      </c>
      <c r="E12" s="34" t="s">
        <v>3060</v>
      </c>
      <c r="F12" s="34" t="s">
        <v>2578</v>
      </c>
      <c r="G12" s="17" t="s">
        <v>2631</v>
      </c>
      <c r="H12" s="207" t="s">
        <v>3062</v>
      </c>
      <c r="I12" s="34"/>
      <c r="J12" s="34" t="s">
        <v>3061</v>
      </c>
      <c r="K12" s="133" t="s">
        <v>15</v>
      </c>
      <c r="L12" s="103">
        <v>500000</v>
      </c>
      <c r="M12" s="133" t="s">
        <v>3064</v>
      </c>
    </row>
    <row r="13" spans="1:13" ht="25.5" customHeight="1" x14ac:dyDescent="0.3">
      <c r="A13" s="532"/>
      <c r="B13" s="135">
        <v>45833</v>
      </c>
      <c r="C13" s="4" t="s">
        <v>21</v>
      </c>
      <c r="D13" s="4" t="s">
        <v>14</v>
      </c>
      <c r="E13" s="34" t="s">
        <v>3060</v>
      </c>
      <c r="F13" s="34" t="s">
        <v>2578</v>
      </c>
      <c r="G13" s="17" t="s">
        <v>2631</v>
      </c>
      <c r="H13" s="207" t="s">
        <v>3063</v>
      </c>
      <c r="I13" s="34"/>
      <c r="J13" s="34" t="s">
        <v>3061</v>
      </c>
      <c r="K13" s="133" t="s">
        <v>15</v>
      </c>
      <c r="L13" s="103">
        <v>500000</v>
      </c>
      <c r="M13" s="133" t="s">
        <v>3064</v>
      </c>
    </row>
    <row r="14" spans="1:13" ht="25.5" customHeight="1" x14ac:dyDescent="0.3">
      <c r="A14" s="532"/>
      <c r="B14" s="135">
        <v>45833</v>
      </c>
      <c r="C14" s="4" t="s">
        <v>21</v>
      </c>
      <c r="D14" s="4" t="s">
        <v>14</v>
      </c>
      <c r="E14" s="34" t="s">
        <v>2726</v>
      </c>
      <c r="F14" s="34" t="s">
        <v>2773</v>
      </c>
      <c r="G14" s="17" t="s">
        <v>1387</v>
      </c>
      <c r="H14" s="207" t="s">
        <v>3003</v>
      </c>
      <c r="I14" s="34" t="s">
        <v>203</v>
      </c>
      <c r="J14" s="34" t="s">
        <v>3002</v>
      </c>
      <c r="K14" s="133" t="s">
        <v>15</v>
      </c>
      <c r="L14" s="103" t="s">
        <v>3048</v>
      </c>
      <c r="M14" s="133" t="s">
        <v>3065</v>
      </c>
    </row>
    <row r="15" spans="1:13" ht="26.25" customHeight="1" x14ac:dyDescent="0.3">
      <c r="A15" s="532"/>
      <c r="B15" s="135">
        <v>45834</v>
      </c>
      <c r="C15" s="4" t="s">
        <v>21</v>
      </c>
      <c r="D15" s="4" t="s">
        <v>14</v>
      </c>
      <c r="E15" s="34" t="s">
        <v>1796</v>
      </c>
      <c r="F15" s="34" t="s">
        <v>2145</v>
      </c>
      <c r="G15" s="17" t="s">
        <v>1396</v>
      </c>
      <c r="H15" s="207" t="s">
        <v>3053</v>
      </c>
      <c r="I15" s="34"/>
      <c r="J15" s="34" t="s">
        <v>3049</v>
      </c>
      <c r="K15" s="133" t="s">
        <v>15</v>
      </c>
      <c r="L15" s="103" t="s">
        <v>3048</v>
      </c>
      <c r="M15" s="133" t="s">
        <v>3064</v>
      </c>
    </row>
    <row r="16" spans="1:13" ht="26.25" customHeight="1" x14ac:dyDescent="0.3">
      <c r="A16" s="532"/>
      <c r="B16" s="135">
        <v>45835</v>
      </c>
      <c r="C16" s="9" t="s">
        <v>21</v>
      </c>
      <c r="D16" s="9" t="s">
        <v>14</v>
      </c>
      <c r="E16" s="34" t="s">
        <v>108</v>
      </c>
      <c r="F16" s="34" t="s">
        <v>1978</v>
      </c>
      <c r="G16" s="17" t="s">
        <v>144</v>
      </c>
      <c r="H16" s="207" t="s">
        <v>3056</v>
      </c>
      <c r="I16" s="34" t="s">
        <v>90</v>
      </c>
      <c r="J16" s="34" t="s">
        <v>2926</v>
      </c>
      <c r="K16" s="133" t="s">
        <v>15</v>
      </c>
      <c r="L16" s="103">
        <v>550000</v>
      </c>
      <c r="M16" s="133" t="s">
        <v>3059</v>
      </c>
    </row>
    <row r="17" spans="1:13" ht="26.25" customHeight="1" x14ac:dyDescent="0.3">
      <c r="A17" s="532"/>
      <c r="B17" s="135">
        <v>45835</v>
      </c>
      <c r="C17" s="4" t="s">
        <v>21</v>
      </c>
      <c r="D17" s="4" t="s">
        <v>17</v>
      </c>
      <c r="E17" s="34" t="s">
        <v>3009</v>
      </c>
      <c r="F17" s="34" t="s">
        <v>1299</v>
      </c>
      <c r="G17" s="17" t="s">
        <v>149</v>
      </c>
      <c r="H17" s="207" t="s">
        <v>3054</v>
      </c>
      <c r="I17" s="34"/>
      <c r="J17" s="34" t="s">
        <v>597</v>
      </c>
      <c r="K17" s="133" t="s">
        <v>15</v>
      </c>
      <c r="L17" s="103">
        <v>600000</v>
      </c>
      <c r="M17" s="133" t="s">
        <v>811</v>
      </c>
    </row>
    <row r="18" spans="1:13" ht="25.5" customHeight="1" x14ac:dyDescent="0.3">
      <c r="A18" s="532"/>
      <c r="B18" s="135">
        <v>45835</v>
      </c>
      <c r="C18" s="4" t="s">
        <v>21</v>
      </c>
      <c r="D18" s="4" t="s">
        <v>14</v>
      </c>
      <c r="E18" s="34" t="s">
        <v>1796</v>
      </c>
      <c r="F18" s="34" t="s">
        <v>2145</v>
      </c>
      <c r="G18" s="17" t="s">
        <v>1396</v>
      </c>
      <c r="H18" s="207" t="s">
        <v>3052</v>
      </c>
      <c r="I18" s="34"/>
      <c r="J18" s="34" t="s">
        <v>489</v>
      </c>
      <c r="K18" s="133" t="s">
        <v>15</v>
      </c>
      <c r="L18" s="103" t="s">
        <v>3048</v>
      </c>
      <c r="M18" s="133" t="s">
        <v>811</v>
      </c>
    </row>
    <row r="19" spans="1:13" ht="26.25" customHeight="1" x14ac:dyDescent="0.3">
      <c r="A19" s="532"/>
      <c r="B19" s="135">
        <v>45840</v>
      </c>
      <c r="C19" s="4" t="s">
        <v>21</v>
      </c>
      <c r="D19" s="4" t="s">
        <v>14</v>
      </c>
      <c r="E19" s="34" t="s">
        <v>1796</v>
      </c>
      <c r="F19" s="34" t="s">
        <v>2145</v>
      </c>
      <c r="G19" s="17" t="s">
        <v>1396</v>
      </c>
      <c r="H19" s="207" t="s">
        <v>2971</v>
      </c>
      <c r="I19" s="34" t="s">
        <v>3007</v>
      </c>
      <c r="J19" s="34" t="s">
        <v>3010</v>
      </c>
      <c r="K19" s="133" t="s">
        <v>15</v>
      </c>
      <c r="L19" s="103" t="s">
        <v>3048</v>
      </c>
      <c r="M19" s="133" t="s">
        <v>2996</v>
      </c>
    </row>
    <row r="20" spans="1:13" ht="19.5" customHeight="1" x14ac:dyDescent="0.3">
      <c r="A20" s="533"/>
      <c r="B20" s="521" t="s">
        <v>1138</v>
      </c>
      <c r="C20" s="521"/>
      <c r="D20" s="521"/>
      <c r="E20" s="521"/>
      <c r="F20" s="521"/>
      <c r="G20" s="521"/>
      <c r="H20" s="521"/>
      <c r="I20" s="521"/>
      <c r="J20" s="521"/>
      <c r="K20" s="521"/>
      <c r="L20" s="103">
        <v>2150000</v>
      </c>
      <c r="M20" s="49"/>
    </row>
    <row r="21" spans="1:13" ht="20.100000000000001" customHeight="1" x14ac:dyDescent="0.3">
      <c r="A21" s="718" t="s">
        <v>62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403">
        <f>L11+L20</f>
        <v>6650000</v>
      </c>
      <c r="M21" s="49"/>
    </row>
    <row r="23" spans="1:13" hidden="1" x14ac:dyDescent="0.3">
      <c r="B23" s="158" t="s">
        <v>1147</v>
      </c>
      <c r="C23" s="159"/>
      <c r="D23" s="159"/>
      <c r="E23" s="159"/>
      <c r="F23" s="159"/>
      <c r="G23" s="159"/>
      <c r="H23" s="159"/>
      <c r="I23" s="159"/>
    </row>
    <row r="24" spans="1:13" hidden="1" x14ac:dyDescent="0.3">
      <c r="B24" s="160" t="s">
        <v>1143</v>
      </c>
      <c r="C24" s="161">
        <v>45282</v>
      </c>
      <c r="D24" s="159" t="s">
        <v>1154</v>
      </c>
      <c r="E24" s="159"/>
      <c r="F24" s="159"/>
      <c r="G24" s="159"/>
      <c r="I24" s="159"/>
    </row>
    <row r="25" spans="1:13" hidden="1" x14ac:dyDescent="0.3">
      <c r="B25" s="160" t="s">
        <v>1144</v>
      </c>
      <c r="C25" s="161">
        <v>45282</v>
      </c>
      <c r="D25" s="159" t="s">
        <v>1146</v>
      </c>
      <c r="E25" s="159"/>
      <c r="F25" s="159"/>
      <c r="G25" s="159"/>
      <c r="H25" s="159"/>
      <c r="I25" s="159"/>
    </row>
    <row r="26" spans="1:13" hidden="1" x14ac:dyDescent="0.3">
      <c r="B26" s="160" t="s">
        <v>1148</v>
      </c>
      <c r="C26" s="162" t="s">
        <v>1145</v>
      </c>
      <c r="D26" s="159" t="s">
        <v>1155</v>
      </c>
      <c r="E26" s="159"/>
      <c r="F26" s="159"/>
      <c r="G26" s="159"/>
      <c r="H26" s="159"/>
      <c r="I26" s="159"/>
    </row>
    <row r="27" spans="1:13" hidden="1" x14ac:dyDescent="0.3">
      <c r="B27" s="159"/>
      <c r="C27" s="159" t="s">
        <v>1149</v>
      </c>
      <c r="D27" s="159"/>
      <c r="E27" s="159"/>
      <c r="F27" s="159"/>
      <c r="G27" s="159"/>
      <c r="H27" s="159"/>
      <c r="I27" s="159"/>
    </row>
    <row r="28" spans="1:13" hidden="1" x14ac:dyDescent="0.3"/>
    <row r="29" spans="1:13" hidden="1" x14ac:dyDescent="0.3">
      <c r="J29" s="159"/>
    </row>
    <row r="30" spans="1:13" hidden="1" x14ac:dyDescent="0.3"/>
    <row r="31" spans="1:13" hidden="1" x14ac:dyDescent="0.3"/>
    <row r="32" spans="1:13" s="18" customFormat="1" ht="27" customHeight="1" x14ac:dyDescent="0.3">
      <c r="A32" s="345" t="s">
        <v>0</v>
      </c>
      <c r="B32" s="346" t="s">
        <v>1</v>
      </c>
      <c r="C32" s="345" t="s">
        <v>2</v>
      </c>
      <c r="D32" s="345" t="s">
        <v>3</v>
      </c>
      <c r="E32" s="345" t="s">
        <v>4</v>
      </c>
      <c r="F32" s="345" t="s">
        <v>5</v>
      </c>
      <c r="G32" s="345" t="s">
        <v>6</v>
      </c>
      <c r="H32" s="347" t="s">
        <v>7</v>
      </c>
      <c r="I32" s="345" t="s">
        <v>8</v>
      </c>
      <c r="J32" s="345" t="s">
        <v>9</v>
      </c>
      <c r="K32" s="348" t="s">
        <v>10</v>
      </c>
      <c r="L32" s="345" t="s">
        <v>12</v>
      </c>
      <c r="M32" s="345" t="s">
        <v>63</v>
      </c>
    </row>
    <row r="33" spans="1:18" s="18" customFormat="1" ht="33" customHeight="1" x14ac:dyDescent="0.3">
      <c r="A33" s="722" t="s">
        <v>3004</v>
      </c>
      <c r="B33" s="212">
        <v>45838</v>
      </c>
      <c r="C33" s="4"/>
      <c r="D33" s="4"/>
      <c r="E33" s="34"/>
      <c r="F33" s="34"/>
      <c r="G33" s="17"/>
      <c r="H33" s="207"/>
      <c r="I33" s="34"/>
      <c r="J33" s="34"/>
      <c r="K33" s="133"/>
      <c r="L33" s="17"/>
      <c r="M33" s="8" t="s">
        <v>3029</v>
      </c>
      <c r="N33" s="31"/>
      <c r="O33" s="341"/>
    </row>
    <row r="34" spans="1:18" s="18" customFormat="1" ht="33" customHeight="1" x14ac:dyDescent="0.3">
      <c r="A34" s="723"/>
      <c r="B34" s="292"/>
      <c r="C34" s="4"/>
      <c r="D34" s="4"/>
      <c r="E34" s="34"/>
      <c r="F34" s="34"/>
      <c r="G34" s="17"/>
      <c r="H34" s="207"/>
      <c r="I34" s="34"/>
      <c r="J34" s="34"/>
      <c r="K34" s="133"/>
      <c r="L34" s="17"/>
      <c r="M34" s="8" t="s">
        <v>3032</v>
      </c>
      <c r="N34" s="34"/>
      <c r="O34" s="32"/>
      <c r="Q34" s="413"/>
      <c r="R34" s="413"/>
    </row>
    <row r="35" spans="1:18" s="18" customFormat="1" ht="33" customHeight="1" x14ac:dyDescent="0.3">
      <c r="A35" s="723"/>
      <c r="B35" s="212">
        <v>45839</v>
      </c>
      <c r="C35" s="4" t="s">
        <v>21</v>
      </c>
      <c r="D35" s="4" t="s">
        <v>14</v>
      </c>
      <c r="E35" s="34" t="s">
        <v>3018</v>
      </c>
      <c r="F35" s="34" t="s">
        <v>3019</v>
      </c>
      <c r="G35" s="17" t="s">
        <v>3020</v>
      </c>
      <c r="H35" s="207" t="s">
        <v>3023</v>
      </c>
      <c r="I35" s="34" t="s">
        <v>203</v>
      </c>
      <c r="J35" s="34" t="s">
        <v>3021</v>
      </c>
      <c r="K35" s="133" t="s">
        <v>15</v>
      </c>
      <c r="L35" s="17" t="s">
        <v>91</v>
      </c>
      <c r="M35" s="8" t="s">
        <v>3030</v>
      </c>
      <c r="N35" s="34"/>
      <c r="O35" s="12"/>
    </row>
    <row r="36" spans="1:18" s="18" customFormat="1" ht="33" customHeight="1" x14ac:dyDescent="0.3">
      <c r="A36" s="723"/>
      <c r="B36" s="292"/>
      <c r="C36" s="4"/>
      <c r="D36" s="4"/>
      <c r="E36" s="34"/>
      <c r="F36" s="34"/>
      <c r="G36" s="17"/>
      <c r="H36" s="207"/>
      <c r="I36" s="34"/>
      <c r="J36" s="414"/>
      <c r="K36" s="133"/>
      <c r="L36" s="17"/>
      <c r="M36" s="8" t="s">
        <v>3032</v>
      </c>
      <c r="N36" s="34"/>
      <c r="O36" s="12"/>
      <c r="Q36"/>
    </row>
    <row r="37" spans="1:18" s="18" customFormat="1" ht="33" customHeight="1" x14ac:dyDescent="0.3">
      <c r="A37" s="723"/>
      <c r="B37" s="212">
        <v>45840</v>
      </c>
      <c r="C37" s="4" t="s">
        <v>21</v>
      </c>
      <c r="D37" s="4" t="s">
        <v>14</v>
      </c>
      <c r="E37" s="34" t="s">
        <v>1796</v>
      </c>
      <c r="F37" s="34" t="s">
        <v>2145</v>
      </c>
      <c r="G37" s="17" t="s">
        <v>1396</v>
      </c>
      <c r="H37" s="207" t="s">
        <v>3008</v>
      </c>
      <c r="I37" s="34" t="s">
        <v>3007</v>
      </c>
      <c r="J37" s="34" t="s">
        <v>3010</v>
      </c>
      <c r="K37" s="133" t="s">
        <v>15</v>
      </c>
      <c r="L37" s="17" t="s">
        <v>33</v>
      </c>
      <c r="M37" s="8" t="s">
        <v>3031</v>
      </c>
      <c r="N37" s="34"/>
      <c r="O37" s="331"/>
    </row>
    <row r="38" spans="1:18" s="18" customFormat="1" ht="33" customHeight="1" x14ac:dyDescent="0.3">
      <c r="A38" s="723"/>
      <c r="B38" s="292"/>
      <c r="C38" s="4" t="s">
        <v>21</v>
      </c>
      <c r="D38" s="4" t="s">
        <v>14</v>
      </c>
      <c r="E38" s="34" t="s">
        <v>3018</v>
      </c>
      <c r="F38" s="34" t="s">
        <v>3019</v>
      </c>
      <c r="G38" s="17" t="s">
        <v>3020</v>
      </c>
      <c r="H38" s="207" t="s">
        <v>3023</v>
      </c>
      <c r="I38" s="34" t="s">
        <v>203</v>
      </c>
      <c r="J38" s="34" t="s">
        <v>3021</v>
      </c>
      <c r="K38" s="133" t="s">
        <v>15</v>
      </c>
      <c r="L38" s="17" t="s">
        <v>91</v>
      </c>
      <c r="M38" s="8" t="s">
        <v>3034</v>
      </c>
      <c r="N38" s="34"/>
      <c r="O38" s="342"/>
      <c r="Q38" s="340"/>
    </row>
    <row r="39" spans="1:18" s="18" customFormat="1" ht="33" customHeight="1" x14ac:dyDescent="0.3">
      <c r="A39" s="723"/>
      <c r="B39" s="212">
        <v>45841</v>
      </c>
      <c r="C39" s="4" t="s">
        <v>21</v>
      </c>
      <c r="D39" s="4" t="s">
        <v>14</v>
      </c>
      <c r="E39" s="34" t="s">
        <v>3018</v>
      </c>
      <c r="F39" s="34" t="s">
        <v>3019</v>
      </c>
      <c r="G39" s="17" t="s">
        <v>3020</v>
      </c>
      <c r="H39" s="207" t="s">
        <v>3023</v>
      </c>
      <c r="I39" s="34" t="s">
        <v>203</v>
      </c>
      <c r="J39" s="34" t="s">
        <v>3021</v>
      </c>
      <c r="K39" s="133" t="s">
        <v>15</v>
      </c>
      <c r="L39" s="17" t="s">
        <v>91</v>
      </c>
      <c r="M39" s="8" t="s">
        <v>3032</v>
      </c>
      <c r="N39" s="34"/>
      <c r="O39" s="412"/>
    </row>
    <row r="40" spans="1:18" s="18" customFormat="1" ht="33" customHeight="1" x14ac:dyDescent="0.3">
      <c r="A40" s="723"/>
      <c r="B40" s="13"/>
      <c r="C40" s="4"/>
      <c r="D40" s="4"/>
      <c r="E40" s="34"/>
      <c r="F40" s="34"/>
      <c r="G40" s="17"/>
      <c r="H40" s="207"/>
      <c r="I40" s="34"/>
      <c r="J40" s="34"/>
      <c r="K40" s="133"/>
      <c r="L40" s="17"/>
      <c r="M40" s="8" t="s">
        <v>3035</v>
      </c>
      <c r="N40" s="34"/>
      <c r="O40" s="341"/>
    </row>
    <row r="41" spans="1:18" s="18" customFormat="1" ht="33" customHeight="1" x14ac:dyDescent="0.3">
      <c r="A41" s="723"/>
      <c r="B41" s="212">
        <v>45842</v>
      </c>
      <c r="C41" s="9" t="s">
        <v>346</v>
      </c>
      <c r="D41" s="9" t="s">
        <v>77</v>
      </c>
      <c r="E41" s="34" t="s">
        <v>1573</v>
      </c>
      <c r="F41" s="207" t="s">
        <v>3014</v>
      </c>
      <c r="G41" s="17" t="s">
        <v>3012</v>
      </c>
      <c r="H41" s="207" t="s">
        <v>3022</v>
      </c>
      <c r="I41" s="34" t="s">
        <v>3015</v>
      </c>
      <c r="J41" s="34" t="s">
        <v>3016</v>
      </c>
      <c r="K41" s="133" t="s">
        <v>42</v>
      </c>
      <c r="L41" s="17" t="s">
        <v>33</v>
      </c>
      <c r="M41" s="8" t="s">
        <v>3033</v>
      </c>
      <c r="N41" s="34"/>
      <c r="O41" s="416" t="s">
        <v>3017</v>
      </c>
    </row>
    <row r="42" spans="1:18" s="18" customFormat="1" ht="33" customHeight="1" x14ac:dyDescent="0.3">
      <c r="A42" s="723"/>
      <c r="B42" s="13"/>
      <c r="C42" s="4"/>
      <c r="D42" s="4"/>
      <c r="E42" s="34"/>
      <c r="F42" s="34"/>
      <c r="G42" s="17"/>
      <c r="H42" s="207"/>
      <c r="I42" s="34"/>
      <c r="J42" s="34"/>
      <c r="K42" s="133"/>
      <c r="L42" s="17"/>
      <c r="M42" s="8" t="s">
        <v>3036</v>
      </c>
      <c r="N42" s="34"/>
      <c r="O42" s="342"/>
      <c r="Q42" s="340"/>
    </row>
    <row r="43" spans="1:18" s="18" customFormat="1" ht="33" customHeight="1" x14ac:dyDescent="0.3">
      <c r="A43" s="723"/>
      <c r="B43" s="212">
        <v>45843</v>
      </c>
      <c r="C43" s="4"/>
      <c r="D43" s="4"/>
      <c r="E43" s="34"/>
      <c r="F43" s="34"/>
      <c r="G43" s="17"/>
      <c r="H43" s="207"/>
      <c r="I43" s="207"/>
      <c r="J43" s="207"/>
      <c r="K43" s="133"/>
      <c r="L43" s="17"/>
      <c r="M43" s="8"/>
      <c r="N43" s="207"/>
      <c r="O43" s="39"/>
    </row>
    <row r="44" spans="1:18" s="18" customFormat="1" ht="33" customHeight="1" x14ac:dyDescent="0.3">
      <c r="A44" s="724"/>
      <c r="B44" s="391"/>
      <c r="C44" s="4"/>
      <c r="D44" s="4"/>
      <c r="E44" s="34"/>
      <c r="F44" s="34"/>
      <c r="G44" s="17"/>
      <c r="H44" s="207"/>
      <c r="I44" s="207"/>
      <c r="J44" s="207"/>
      <c r="K44" s="133"/>
      <c r="L44" s="17"/>
      <c r="M44" s="8"/>
      <c r="N44" s="34"/>
      <c r="O44" s="342"/>
    </row>
    <row r="47" spans="1:18" ht="18" x14ac:dyDescent="0.3">
      <c r="B47" s="411" t="s">
        <v>2982</v>
      </c>
    </row>
    <row r="49" spans="2:13" ht="18.75" x14ac:dyDescent="0.3">
      <c r="B49" s="411" t="s">
        <v>3069</v>
      </c>
    </row>
    <row r="50" spans="2:13" ht="18" x14ac:dyDescent="0.3">
      <c r="B50" s="411"/>
    </row>
    <row r="61" spans="2:13" x14ac:dyDescent="0.3">
      <c r="M61" s="8" t="s">
        <v>2832</v>
      </c>
    </row>
    <row r="62" spans="2:13" x14ac:dyDescent="0.3">
      <c r="M62" s="8" t="s">
        <v>2836</v>
      </c>
    </row>
    <row r="63" spans="2:13" x14ac:dyDescent="0.3">
      <c r="M63" s="8" t="s">
        <v>2833</v>
      </c>
    </row>
    <row r="64" spans="2:13" x14ac:dyDescent="0.3">
      <c r="M64" s="8" t="s">
        <v>2837</v>
      </c>
    </row>
    <row r="65" spans="13:13" x14ac:dyDescent="0.3">
      <c r="M65" s="8" t="s">
        <v>2831</v>
      </c>
    </row>
    <row r="66" spans="13:13" x14ac:dyDescent="0.3">
      <c r="M66" s="8" t="s">
        <v>2834</v>
      </c>
    </row>
    <row r="67" spans="13:13" x14ac:dyDescent="0.3">
      <c r="M67" s="8" t="s">
        <v>2837</v>
      </c>
    </row>
    <row r="68" spans="13:13" x14ac:dyDescent="0.3">
      <c r="M68" s="8" t="s">
        <v>2835</v>
      </c>
    </row>
    <row r="69" spans="13:13" x14ac:dyDescent="0.3">
      <c r="M69" s="8" t="s">
        <v>2837</v>
      </c>
    </row>
    <row r="70" spans="13:13" x14ac:dyDescent="0.3">
      <c r="M70" s="8" t="s">
        <v>2838</v>
      </c>
    </row>
  </sheetData>
  <mergeCells count="18">
    <mergeCell ref="L2:L3"/>
    <mergeCell ref="M2:M3"/>
    <mergeCell ref="G2:G3"/>
    <mergeCell ref="H2:H3"/>
    <mergeCell ref="I2:I3"/>
    <mergeCell ref="J2:J3"/>
    <mergeCell ref="K2:K3"/>
    <mergeCell ref="A33:A44"/>
    <mergeCell ref="F2:F3"/>
    <mergeCell ref="A2:A3"/>
    <mergeCell ref="B2:B3"/>
    <mergeCell ref="C2:C3"/>
    <mergeCell ref="D2:D3"/>
    <mergeCell ref="B11:K11"/>
    <mergeCell ref="B20:K20"/>
    <mergeCell ref="A21:K21"/>
    <mergeCell ref="A4:A11"/>
    <mergeCell ref="A12:A20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61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11</vt:i4>
      </vt:variant>
    </vt:vector>
  </HeadingPairs>
  <TitlesOfParts>
    <vt:vector size="23" baseType="lpstr">
      <vt:lpstr>스케줄(2026)</vt:lpstr>
      <vt:lpstr>사전품의내역</vt:lpstr>
      <vt:lpstr>발주양식</vt:lpstr>
      <vt:lpstr>사전품의양식 (7주)</vt:lpstr>
      <vt:lpstr>사전품의양식 (6주)</vt:lpstr>
      <vt:lpstr>사전품의양식 (5주)</vt:lpstr>
      <vt:lpstr>사전품의양식 (4주)</vt:lpstr>
      <vt:lpstr>사전품의양식 (3주)</vt:lpstr>
      <vt:lpstr>사전품의양식 (2주)</vt:lpstr>
      <vt:lpstr>사전품의양식 (1주)</vt:lpstr>
      <vt:lpstr>사전품의양식 (53주)</vt:lpstr>
      <vt:lpstr>사전품의양식</vt:lpstr>
      <vt:lpstr>발주양식!Print_Area</vt:lpstr>
      <vt:lpstr>사전품의내역!Print_Area</vt:lpstr>
      <vt:lpstr>사전품의양식!Print_Area</vt:lpstr>
      <vt:lpstr>'사전품의양식 (1주)'!Print_Area</vt:lpstr>
      <vt:lpstr>'사전품의양식 (2주)'!Print_Area</vt:lpstr>
      <vt:lpstr>'사전품의양식 (3주)'!Print_Area</vt:lpstr>
      <vt:lpstr>'사전품의양식 (4주)'!Print_Area</vt:lpstr>
      <vt:lpstr>'사전품의양식 (53주)'!Print_Area</vt:lpstr>
      <vt:lpstr>'사전품의양식 (5주)'!Print_Area</vt:lpstr>
      <vt:lpstr>'사전품의양식 (6주)'!Print_Area</vt:lpstr>
      <vt:lpstr>'사전품의양식 (7주)'!Print_Area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2025-09-12T01:53:57Z</cp:lastPrinted>
  <dcterms:created xsi:type="dcterms:W3CDTF">2022-12-21T07:00:17Z</dcterms:created>
  <dcterms:modified xsi:type="dcterms:W3CDTF">2026-02-13T03:43:47Z</dcterms:modified>
</cp:coreProperties>
</file>