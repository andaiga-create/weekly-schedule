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03" i="2" l="1"/>
  <c r="M1602" i="2"/>
  <c r="M1601" i="2"/>
  <c r="M1600" i="2"/>
  <c r="B18" i="130"/>
  <c r="L8" i="129"/>
  <c r="L7" i="129"/>
  <c r="L16" i="129"/>
  <c r="L6" i="129" l="1"/>
  <c r="L5" i="129"/>
  <c r="L4" i="129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<sst xmlns="http://schemas.openxmlformats.org/spreadsheetml/2006/main" count="27501" uniqueCount="6864">
  <si>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</si>
  <si>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</si>
  <si>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</si>
  <si>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</si>
  <si>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</si>
  <si>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</si>
  <si>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</si>
  <si>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</si>
  <si>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</si>
  <si>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</si>
  <si>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</si>
  <si>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</si>
  <si>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</si>
  <si>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</si>
  <si>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</si>
  <si>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</si>
  <si>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</si>
  <si>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</si>
  <si>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</si>
  <si>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</si>
  <si>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</si>
  <si>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</si>
  <si>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</si>
  <si>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</si>
  <si>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</si>
  <si>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</si>
  <si>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</si>
  <si>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</si>
  <si>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</si>
  <si>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</si>
  <si>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</si>
  <si>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</si>
  <si>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</si>
  <si>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</si>
  <si>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</si>
  <si>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</si>
  <si>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</si>
  <si>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</si>
  <si>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</si>
  <si>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</si>
  <si>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</si>
  <si>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</si>
  <si>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</si>
  <si>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</si>
  <si>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</si>
  <si>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</si>
  <si>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</si>
  <si>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</si>
  <si>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</si>
  <si>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</si>
  <si>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</si>
  <si>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</si>
  <si>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</si>
  <si>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</si>
  <si>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</si>
  <si>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</si>
  <si>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</si>
  <si>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</si>
  <si>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</si>
  <si>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</si>
  <si>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</si>
  <si>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</si>
  <si>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</si>
  <si>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</si>
  <si>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</si>
  <si>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</si>
  <si>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</si>
  <si>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</si>
  <si>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</si>
  <si>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</si>
  <si>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</si>
  <si>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</si>
  <si>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</si>
  <si>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</si>
  <si>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</si>
  <si>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</si>
  <si>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</si>
  <si>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</si>
  <si>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</si>
  <si>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</si>
  <si>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</si>
  <si>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</si>
  <si>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</si>
  <si>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</si>
  <si>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</si>
  <si>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</si>
  <si>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</si>
  <si>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</si>
  <si>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</si>
  <si>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</si>
  <si>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</si>
  <si>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</si>
  <si>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</si>
  <si>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</si>
  <si>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</si>
  <si>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</si>
  <si>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</si>
  <si>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</si>
  <si>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</si>
  <si>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</si>
  <si>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</si>
  <si>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</si>
  <si>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</si>
  <si>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</si>
  <si>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</si>
  <si>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</si>
  <si>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</si>
  <si>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</si>
  <si>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</si>
  <si>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</si>
  <si>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</si>
  <si>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</si>
  <si>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</si>
  <si>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</si>
  <si>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</si>
  <si>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</si>
  <si>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</si>
  <si>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</si>
  <si>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</si>
  <si>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</si>
  <si>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</si>
  <si>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</si>
  <si>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</si>
  <si>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</si>
  <si>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</si>
  <si>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</si>
  <si>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</si>
  <si>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</si>
  <si>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</si>
  <si>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</si>
  <si>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</si>
  <si>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</si>
  <si>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</si>
  <si>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</si>
  <si>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</si>
  <si>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</si>
  <si>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</si>
  <si>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</si>
  <si>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</si>
  <si>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</si>
  <si>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</si>
  <si>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</si>
  <si>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</si>
  <si>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</si>
  <si>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</si>
  <si>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</si>
  <si>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</si>
  <si>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</si>
  <si>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</si>
  <si>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</si>
  <si>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</si>
  <si>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</si>
  <si>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</si>
  <si>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</si>
  <si>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</si>
  <si>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</si>
  <si>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</si>
  <si>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</si>
  <si>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</si>
  <si>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</si>
  <si>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</si>
  <si>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</si>
  <si>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</si>
  <si>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</si>
  <si>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</si>
  <si>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</si>
  <si>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</si>
  <si>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</si>
  <si>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</si>
  <si>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</si>
  <si>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</si>
  <si>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</si>
  <si>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</si>
  <si>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</si>
  <si>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</si>
  <si>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</si>
  <si>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</si>
  <si>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</si>
  <si>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</si>
  <si>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</si>
  <si>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</si>
  <si>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</si>
  <si>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</si>
  <si>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</si>
  <si>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</si>
  <si>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</si>
  <si>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</si>
  <si>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</si>
  <si>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</si>
  <si>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</si>
  <si>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</si>
  <si>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</si>
  <si>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</si>
  <si>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</si>
  <si>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</si>
  <si>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</si>
  <si>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</si>
  <si>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</si>
  <si>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</si>
  <si>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</si>
  <si>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</si>
  <si>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</si>
  <si>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</si>
  <si>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</si>
  <si>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</si>
  <si>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</si>
  <si>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</si>
  <si>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</si>
  <si>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</si>
  <si>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</si>
  <si>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</si>
  <si>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</si>
  <si>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</si>
  <si>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</si>
  <si>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</si>
  <si>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</si>
  <si>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</si>
  <si>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</si>
  <si>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</si>
  <si>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</si>
  <si>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</si>
  <si>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</si>
  <si>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</si>
  <si>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</si>
  <si>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</si>
  <si>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</si>
  <si>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</si>
  <si>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</si>
  <si>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</si>
  <si>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</si>
  <si>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</si>
  <si>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</si>
  <si>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</si>
  <si>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</si>
  <si>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</si>
  <si>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</si>
  <si>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</si>
  <si>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</si>
  <si>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</si>
  <si>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</si>
  <si>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</si>
  <si>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</si>
  <si>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</si>
  <si>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</si>
  <si>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</si>
  <si>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</si>
  <si>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</si>
  <si>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</si>
  <si>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</si>
  <si>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</si>
  <si>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</si>
  <si>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</si>
  <si>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</si>
  <si>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</si>
  <si>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</si>
  <si>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</si>
  <si>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</si>
  <si>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</si>
  <si>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</si>
  <si>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</si>
  <si>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</si>
  <si>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</si>
  <si>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</si>
  <si>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</si>
  <si>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</si>
  <si>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</si>
  <si>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</si>
  <si>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</si>
  <si>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</si>
  <si>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</si>
  <si>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</si>
  <si>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</si>
  <si>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</si>
  <si>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</si>
  <si>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</si>
  <si>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</si>
  <si>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</si>
  <si>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</si>
  <si>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</si>
  <si>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</si>
  <si>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</si>
  <si>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</si>
  <si>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</si>
  <si>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</si>
  <si>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</si>
  <si>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</si>
  <si>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</si>
  <si>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</si>
  <si>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</si>
  <si>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</si>
  <si>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</si>
  <si>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</si>
  <si>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</si>
  <si>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</si>
  <si>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</si>
  <si>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</si>
  <si>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</si>
  <si>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</si>
  <si>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</si>
  <si>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</si>
  <si>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</si>
  <si>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</si>
  <si>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</si>
  <si>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</si>
  <si>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</si>
  <si>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</si>
  <si>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</si>
  <si>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</si>
  <si>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</si>
  <si>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</si>
  <si>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</si>
  <si>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</si>
  <si>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</si>
  <si>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</si>
  <si>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</si>
  <si>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</si>
  <si>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</si>
  <si>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</si>
  <si>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</si>
  <si>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</si>
  <si>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</si>
  <si>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</si>
  <si>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</si>
  <si>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</si>
  <si>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</si>
  <si>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</si>
  <si>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</si>
  <si>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</si>
  <si>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</si>
  <si>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</si>
  <si>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</si>
  <si>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</si>
  <si>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</si>
  <si>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</si>
  <si>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</si>
  <si>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</si>
  <si>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</si>
  <si>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</si>
  <si>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</si>
  <si>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</si>
  <si>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</si>
  <si>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</si>
  <si>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</si>
  <si>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</si>
  <si>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</si>
  <si>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</si>
  <si>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</si>
  <si>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</si>
  <si>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</si>
  <si>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</si>
  <si>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</si>
  <si>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</si>
  <si>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</si>
  <si>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</si>
  <si>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</si>
  <si>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</si>
  <si>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</si>
  <si>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</si>
  <si>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</si>
  <si>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</si>
  <si>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</si>
  <si>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</si>
  <si>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</si>
  <si>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</si>
  <si>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</si>
  <si>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</si>
  <si>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</si>
  <si>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</si>
  <si>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</si>
  <si>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</si>
  <si>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</si>
  <si>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</si>
  <si>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</si>
  <si>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</si>
  <si>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</si>
  <si>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</si>
  <si>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</si>
  <si>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</si>
  <si>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</si>
  <si>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</si>
  <si>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</si>
  <si>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</si>
  <si>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</si>
  <si>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</si>
  <si>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</si>
  <si>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</si>
  <si>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</si>
  <si>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</si>
  <si>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</si>
  <si>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</si>
  <si>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</si>
  <si>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</si>
  <si>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</si>
  <si>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</si>
  <si>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</si>
  <si>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</si>
  <si>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</si>
  <si>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</si>
  <si>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</si>
  <si>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</si>
  <si>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</si>
  <si>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</si>
  <si>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</si>
  <si>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</si>
  <si>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</si>
  <si>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</si>
  <si>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</si>
  <si>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</si>
  <si>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</si>
  <si>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</si>
  <si>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</si>
  <si>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</si>
  <si>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</si>
  <si>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</si>
  <si>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</si>
  <si>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</si>
  <si>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</si>
  <si>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</si>
  <si>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</si>
  <si>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</si>
  <si>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</si>
  <si>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</si>
  <si>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</si>
  <si>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</si>
  <si>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</si>
  <si>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</si>
  <si>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</si>
  <si>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</si>
  <si>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</si>
  <si>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</si>
  <si>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</si>
  <si>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</si>
  <si>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</si>
  <si>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</si>
  <si>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</si>
  <si>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</si>
  <si>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</si>
  <si>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</si>
  <si>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</si>
  <si>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</si>
  <si>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</si>
  <si>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</si>
  <si>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</si>
  <si>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</si>
  <si>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</si>
  <si>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</si>
  <si>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</si>
  <si>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</si>
  <si>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</si>
  <si>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</si>
  <si>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</si>
  <si>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</si>
  <si>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</si>
  <si>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</si>
  <si>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</si>
  <si>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</si>
  <si>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</si>
  <si>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</si>
  <si>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</si>
  <si>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</si>
  <si>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</si>
  <si>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</si>
  <si>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</si>
  <si>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</si>
  <si>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</si>
  <si>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</si>
  <si>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</si>
  <si>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</si>
  <si>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</si>
  <si>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</si>
  <si>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</si>
  <si>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</si>
  <si>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</si>
  <si>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</si>
  <si>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</si>
  <si>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</si>
  <si>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</si>
  <si>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</si>
  <si>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</si>
  <si>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</si>
  <si>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</si>
  <si>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</si>
  <si>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</si>
  <si>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</si>
  <si>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</si>
  <si>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</si>
  <si>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</si>
  <si>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</si>
  <si>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</si>
  <si>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</si>
  <si>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</si>
  <si>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</si>
  <si>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</si>
  <si>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</si>
  <si>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</si>
  <si>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</si>
  <si>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</si>
  <si>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</si>
  <si>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</si>
  <si>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</si>
  <si>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</si>
  <si>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</si>
  <si>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</si>
  <si>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</si>
  <si>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</si>
  <si>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</si>
  <si>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</si>
  <si>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</si>
  <si>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</si>
  <si>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</si>
  <si>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</si>
  <si>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</si>
  <si>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</si>
  <si>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</si>
  <si>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</si>
  <si>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</si>
  <si>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</si>
  <si>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</si>
  <si>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</si>
  <si>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</si>
  <si>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</si>
  <si>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</si>
  <si>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</si>
  <si>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</si>
  <si>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</si>
  <si>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</si>
  <si>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</si>
  <si>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</si>
  <si>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</si>
  <si>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</si>
  <si>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</si>
  <si>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</si>
  <si>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</si>
  <si>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</si>
  <si>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</si>
  <si>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</si>
  <si>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</si>
  <si>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</si>
  <si>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</si>
  <si>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</si>
  <si>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</si>
  <si>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</si>
  <si>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</si>
  <si>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</si>
  <si>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</si>
  <si>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</si>
  <si>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</si>
  <si>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</si>
  <si>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</si>
  <si>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</si>
  <si>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</si>
  <si>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</si>
  <si>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</si>
  <si>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</si>
  <si>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</si>
  <si>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</si>
  <si>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</si>
  <si>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</si>
  <si>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</si>
  <si>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</si>
  <si>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</si>
  <si>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</si>
  <si>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</si>
  <si>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</si>
  <si>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</si>
  <si>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</si>
  <si>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</si>
  <si>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</si>
  <si>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</si>
  <si>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</si>
  <si>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</si>
  <si>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</si>
  <si>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</si>
  <si>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</si>
  <si>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</si>
  <si>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</si>
  <si>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</si>
  <si>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</si>
  <si>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</si>
  <si>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</si>
  <si>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</si>
  <si>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</si>
  <si>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</si>
  <si>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</si>
  <si>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</si>
  <si>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</si>
  <si>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</si>
  <si>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</si>
  <si>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</si>
  <si>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</si>
  <si>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</si>
  <si>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</si>
  <si>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</si>
  <si>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</si>
  <si>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</si>
  <si>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</si>
  <si>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</si>
  <si>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</si>
  <si>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</si>
  <si>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</si>
  <si>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</si>
  <si>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</si>
  <si>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</si>
  <si>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</si>
  <si>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</si>
  <si>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</si>
  <si>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</si>
  <si>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</si>
  <si>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</si>
  <si>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</si>
  <si>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</si>
  <si>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</si>
  <si>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</si>
  <si>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</si>
  <si>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</si>
  <si>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</si>
  <si>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</si>
  <si>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</si>
  <si>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</si>
  <si>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</si>
  <si>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</si>
  <si>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</si>
  <si>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</si>
  <si>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</si>
  <si>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</si>
  <si>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</si>
  <si>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</si>
  <si>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</si>
  <si>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</si>
  <si>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</si>
  <si>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</si>
  <si>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</si>
  <si>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</si>
  <si>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</si>
  <si>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</si>
  <si>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</si>
  <si>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</si>
  <si>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</si>
  <si>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</si>
  <si>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</si>
  <si>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</si>
  <si>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</si>
  <si>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</si>
  <si>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</si>
  <si>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</si>
  <si>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</si>
  <si>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</si>
  <si>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</si>
  <si>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</si>
  <si>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</si>
  <si>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</si>
  <si>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</si>
  <si>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</si>
  <si>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</si>
  <si>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</si>
  <si>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</si>
  <si>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</si>
  <si>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</si>
  <si>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</si>
  <si>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</si>
  <si>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</si>
  <si>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</si>
  <si>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</si>
  <si>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</si>
  <si>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</si>
  <si>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</si>
  <si>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</si>
  <si>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</si>
  <si>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</si>
  <si>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</si>
  <si>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</si>
  <si>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</si>
  <si>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</si>
  <si>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</si>
  <si>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</si>
  <si>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</si>
  <si>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</si>
  <si>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</si>
  <si>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</si>
  <si>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</si>
  <si>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</si>
  <si>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</si>
  <si>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</si>
  <si>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</si>
  <si>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</si>
  <si>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</si>
  <si>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</si>
  <si>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</si>
  <si>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</si>
  <si>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</si>
  <si>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</si>
  <si>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</si>
  <si>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</si>
  <si>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</si>
  <si>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</si>
  <si>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</si>
  <si>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</si>
  <si>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</si>
  <si>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</si>
  <si>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</si>
  <si>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</si>
  <si>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</si>
  <si>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</si>
  <si>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</si>
  <si>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</si>
  <si>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</si>
  <si>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</si>
  <si>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</si>
  <si>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</si>
  <si>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</si>
  <si>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</si>
  <si>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</si>
  <si>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</si>
  <si>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</si>
  <si>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</si>
  <si>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</si>
  <si>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</si>
  <si>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</si>
  <si>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</si>
  <si>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</si>
  <si>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</si>
  <si>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</si>
  <si>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</si>
  <si>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</si>
  <si>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</si>
  <si>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</si>
  <si>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</si>
  <si>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</si>
  <si>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</si>
  <si>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</si>
  <si>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</si>
  <si>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</si>
  <si>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</si>
  <si>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</si>
  <si>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</si>
  <si>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</si>
  <si>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</si>
  <si>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</si>
  <si>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</si>
  <si>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</si>
  <si>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</si>
  <si>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</si>
  <si>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</si>
  <si>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</si>
  <si>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</si>
  <si>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</si>
  <si>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</si>
  <si>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</si>
  <si>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</si>
  <si>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</si>
  <si>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</si>
  <si>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</si>
  <si>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</si>
  <si>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</si>
  <si>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</si>
  <si>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</si>
  <si>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</si>
  <si>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</si>
  <si>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</si>
  <si>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</si>
  <si>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</si>
  <si>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</si>
  <si>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</si>
  <si>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</si>
  <si>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</si>
  <si>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</si>
  <si>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</si>
  <si>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</si>
  <si>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</si>
  <si>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</si>
  <si>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</si>
  <si>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</si>
  <si>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</si>
  <si>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</si>
  <si>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</si>
  <si>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</si>
  <si>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</si>
  <si>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</si>
  <si>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</si>
  <si>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</si>
  <si>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</si>
  <si>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</si>
  <si>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</si>
  <si>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</si>
  <si>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</si>
  <si>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</si>
  <si>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</si>
  <si>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</si>
  <si>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</si>
  <si>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</si>
  <si>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</si>
  <si>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</si>
  <si>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</si>
  <si>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</si>
  <si>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</si>
  <si>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</si>
  <si>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</si>
  <si>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</si>
  <si>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</si>
  <si>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</si>
  <si>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</si>
  <si>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</si>
  <si>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</si>
  <si>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</si>
  <si>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</si>
  <si>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</si>
  <si>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</si>
  <si>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</si>
  <si>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</si>
  <si>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</si>
  <si>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</si>
  <si>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</si>
  <si>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</si>
  <si>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</si>
  <si>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</si>
  <si>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</si>
  <si>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</si>
  <si>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</si>
  <si>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</si>
  <si>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</si>
  <si>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</si>
  <si>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</si>
  <si>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</si>
  <si>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</si>
  <si>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</si>
  <si>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</si>
  <si>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</si>
  <si>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</si>
  <si>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</si>
  <si>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</si>
  <si>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</si>
  <si>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</si>
  <si>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</si>
  <si>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</si>
  <si>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</si>
  <si>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</si>
  <si>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</si>
  <si>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</si>
  <si>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</si>
  <si>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</si>
  <si>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</si>
  <si>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</si>
  <si>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</si>
  <si>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</si>
  <si>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</si>
  <si>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</si>
  <si>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</si>
  <si>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</si>
  <si>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</si>
  <si>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</si>
  <si>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</si>
  <si>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</si>
  <si>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</si>
  <si>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</si>
  <si>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</si>
  <si>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</si>
  <si>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</si>
  <si>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</si>
  <si>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</si>
  <si>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</si>
  <si>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</si>
  <si>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</si>
  <si>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</si>
  <si>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</si>
  <si>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</si>
  <si>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</si>
  <si>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</si>
  <si>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</si>
  <si>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</si>
  <si>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</si>
  <si>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</si>
  <si>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</si>
  <si>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</si>
  <si>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</si>
  <si>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</si>
  <si>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</si>
  <si>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</si>
  <si>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</si>
  <si>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</si>
  <si>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</si>
  <si>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</si>
  <si>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</si>
  <si>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</si>
  <si>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</si>
  <si>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</si>
  <si>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</si>
  <si>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</si>
  <si>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</si>
  <si>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</si>
  <si>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</si>
  <si>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</si>
  <si>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</si>
  <si>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</si>
  <si>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</si>
  <si>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</si>
  <si>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</si>
  <si>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</si>
  <si>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</si>
  <si>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</si>
  <si>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</si>
  <si>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</si>
  <si>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</si>
  <si>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</si>
  <si>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</si>
  <si>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</si>
  <si>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</si>
  <si>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</si>
  <si>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</si>
  <si>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</si>
  <si>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</si>
  <si>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</si>
  <si>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</si>
  <si>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</si>
  <si>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</si>
  <si>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</si>
  <si>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</si>
  <si>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</si>
  <si>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</si>
  <si>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</si>
  <si>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</si>
  <si>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</si>
  <si>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</si>
  <si>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</si>
  <si>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</si>
  <si>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</si>
  <si>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</si>
  <si>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</si>
  <si>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</si>
  <si>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</si>
  <si>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</si>
  <si>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</si>
  <si>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</si>
  <si>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</si>
  <si>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</si>
  <si>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</si>
  <si>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</si>
  <si>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</si>
  <si>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</si>
  <si>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</si>
  <si>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</si>
  <si>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</si>
  <si>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</si>
  <si>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</si>
  <si>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</si>
  <si>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</si>
  <si>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</si>
  <si>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</si>
  <si>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</si>
  <si>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</si>
  <si>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</si>
  <si>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</si>
  <si>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</si>
  <si>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</si>
  <si>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</si>
  <si>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</si>
  <si>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</si>
  <si>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</si>
  <si>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</si>
  <si>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</si>
  <si>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</si>
  <si>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</si>
  <si>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</si>
  <si>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</si>
  <si>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</si>
  <si>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</si>
  <si>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</si>
  <si>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</si>
  <si>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</si>
  <si>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</si>
  <si>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</si>
  <si>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</si>
  <si>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</si>
  <si>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</si>
  <si>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</si>
  <si>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</si>
  <si>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</si>
  <si>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</si>
  <si>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</si>
  <si>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</si>
  <si>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</si>
  <si>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</si>
  <si>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</si>
  <si>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</si>
  <si>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</si>
  <si>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</si>
  <si>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</si>
  <si>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</si>
  <si>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</si>
  <si>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</si>
  <si>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</si>
  <si>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</si>
  <si>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</si>
  <si>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</si>
  <si>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</si>
  <si>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</si>
  <si>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</si>
  <si>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</si>
  <si>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</si>
  <si>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</si>
  <si>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</si>
  <si>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</si>
  <si>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</si>
  <si>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</si>
  <si>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</si>
  <si>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</si>
  <si>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</si>
  <si>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</si>
  <si>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</si>
  <si>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</si>
  <si>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</si>
  <si>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</si>
  <si>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</si>
  <si>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</si>
  <si>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</si>
  <si>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</si>
  <si>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</si>
  <si>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</si>
  <si>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</si>
  <si>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</si>
  <si>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</si>
  <si>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</si>
  <si>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</si>
  <si>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</si>
  <si>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</si>
  <si>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</si>
  <si>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</si>
  <si>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</si>
  <si>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</si>
  <si>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</si>
  <si>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</si>
  <si>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</si>
  <si>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</si>
  <si>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</si>
  <si>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</si>
  <si>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</si>
  <si>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</si>
  <si>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</si>
  <si>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</si>
  <si>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</si>
  <si>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</si>
  <si>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</si>
  <si>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</si>
  <si>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</si>
  <si>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</si>
  <si>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</si>
  <si>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</si>
  <si>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</si>
  <si>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</si>
  <si>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</si>
  <si>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</si>
  <si>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</si>
  <si>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</si>
  <si>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</si>
  <si>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</si>
  <si>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</si>
  <si>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</si>
  <si>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</si>
  <si>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</si>
  <si>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</si>
  <si>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</si>
  <si>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</si>
  <si>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</si>
  <si>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</si>
  <si>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</si>
  <si>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</si>
  <si>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</si>
  <si>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</si>
  <si>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</si>
  <si>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</si>
  <si>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</si>
  <si>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</si>
  <si>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</si>
  <si>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</si>
  <si>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</si>
  <si>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</si>
  <si>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</si>
  <si>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</si>
  <si>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</si>
  <si>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</si>
  <si>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</si>
  <si>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</si>
  <si>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</si>
  <si>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</si>
  <si>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</si>
  <si>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</si>
  <si>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</si>
  <si>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</si>
  <si>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</si>
  <si>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</si>
  <si>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</si>
  <si>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</si>
  <si>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</si>
  <si>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</si>
  <si>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</si>
  <si>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</si>
  <si>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</si>
  <si>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</si>
  <si>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</si>
  <si>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</si>
  <si>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</si>
  <si>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</si>
  <si>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</si>
  <si>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</si>
  <si>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</si>
  <si>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</si>
  <si>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</si>
  <si>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</si>
  <si>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</si>
  <si>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</si>
  <si>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</si>
  <si>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</si>
  <si>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</si>
  <si>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</si>
  <si>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</si>
  <si>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</si>
  <si>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</si>
  <si>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</si>
  <si>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</si>
  <si>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</si>
  <si>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</si>
  <si>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</si>
  <si>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</si>
  <si>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</si>
  <si>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</si>
  <si>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</si>
  <si>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</si>
  <si>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</si>
  <si>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</si>
  <si>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</si>
  <si>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</si>
  <si>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</si>
  <si>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</si>
  <si>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</si>
  <si>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</si>
  <si>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</si>
  <si>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</si>
  <si>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</si>
  <si>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</si>
  <si>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</si>
  <si>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</si>
  <si>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</si>
  <si>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</si>
  <si>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</si>
  <si>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</si>
  <si>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</si>
  <si>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</si>
  <si>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</si>
  <si>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</si>
  <si>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</si>
  <si>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</si>
  <si>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</si>
  <si>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</si>
  <si>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</si>
  <si>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</si>
  <si>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</si>
  <si>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</si>
  <si>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</si>
  <si>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</si>
  <si>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</si>
  <si>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</si>
  <si>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</si>
  <si>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</si>
  <si>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</si>
  <si>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</si>
  <si>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</si>
  <si>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</si>
  <si>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</si>
  <si>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</si>
  <si>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</si>
  <si>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</si>
  <si>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</si>
  <si>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</si>
  <si>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</si>
  <si>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</si>
  <si>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</si>
  <si>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</si>
  <si>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</si>
  <si>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</si>
  <si>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</si>
  <si>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</si>
  <si>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</si>
  <si>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</si>
  <si>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</si>
  <si>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</si>
  <si>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</si>
  <si>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</si>
  <si>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</si>
  <si>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</si>
  <si>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</si>
  <si>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</si>
  <si>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</si>
  <si>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</si>
  <si>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</si>
  <si>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</si>
  <si>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</si>
  <si>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</si>
  <si>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</si>
  <si>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</si>
  <si>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</si>
  <si>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</si>
  <si>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</si>
  <si>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</si>
  <si>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</si>
  <si>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</si>
  <si>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</si>
  <si>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</si>
  <si>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</si>
  <si>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</si>
  <si>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</si>
  <si>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</si>
  <si>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</si>
  <si>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</si>
  <si>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</si>
  <si>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</si>
  <si>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</si>
  <si>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</si>
  <si>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</si>
  <si>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</si>
  <si>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</si>
  <si>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</si>
  <si>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</si>
  <si>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</si>
  <si>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</si>
  <si>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</si>
  <si>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</si>
  <si>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</si>
  <si>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</si>
  <si>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</si>
  <si>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</si>
  <si>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</si>
  <si>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</si>
  <si>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</si>
  <si>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</si>
  <si>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</si>
  <si>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</si>
  <si>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</si>
  <si>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</si>
  <si>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</si>
  <si>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</si>
  <si>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</si>
  <si>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</si>
  <si>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</si>
  <si>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</si>
  <si>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</si>
  <si>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</si>
  <si>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</si>
  <si>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</si>
  <si>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</si>
  <si>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</si>
  <si>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</si>
  <si>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</si>
  <si>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</si>
  <si>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</si>
  <si>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</si>
  <si>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</si>
  <si>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</si>
  <si>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</si>
  <si>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</si>
  <si>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</si>
  <si>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</si>
  <si>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</si>
  <si>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</si>
  <si>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</si>
  <si>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</si>
  <si>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</si>
  <si>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</si>
  <si>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</si>
  <si>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</si>
  <si>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</si>
  <si>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</si>
  <si>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</si>
  <si>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</si>
  <si>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</si>
  <si>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</si>
  <si>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</si>
  <si>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</si>
  <si>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</si>
  <si>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</si>
  <si>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</si>
  <si>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</si>
  <si>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</si>
  <si>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</si>
  <si>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</si>
  <si>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</si>
  <si>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</si>
  <si>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</si>
  <si>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</si>
  <si>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</si>
  <si>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</si>
  <si>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</si>
  <si>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</si>
  <si>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</si>
  <si>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</si>
  <si>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</si>
  <si>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</si>
  <si>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</si>
  <si>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</si>
  <si>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</si>
  <si>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</si>
  <si>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</si>
  <si>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</si>
  <si>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</si>
  <si>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</si>
  <si>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</si>
  <si>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</si>
  <si>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</si>
  <si>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</si>
  <si>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</si>
  <si>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</si>
  <si>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</si>
  <si>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</si>
  <si>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</si>
  <si>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</si>
  <si>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</si>
  <si>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</si>
  <si>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</si>
  <si>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</si>
  <si>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</si>
  <si>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</si>
  <si>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</si>
  <si>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</si>
  <si>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</si>
  <si>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</si>
  <si>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</si>
  <si>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</si>
  <si>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</si>
  <si>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</si>
  <si>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</si>
  <si>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</si>
  <si>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</si>
  <si>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</si>
  <si>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</si>
  <si>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</si>
  <si>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</si>
  <si>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</si>
  <si>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</si>
  <si>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</si>
  <si>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</si>
  <si>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</si>
  <si>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</si>
  <si>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</si>
  <si>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</si>
  <si>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</si>
  <si>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</si>
  <si>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</si>
  <si>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</si>
  <si>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</si>
  <si>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</si>
  <si>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</si>
  <si>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</si>
  <si>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</si>
  <si>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</si>
  <si>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</si>
  <si>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</si>
  <si>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</si>
  <si>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</si>
  <si>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</si>
  <si>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</si>
  <si>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</si>
  <si>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</si>
  <si>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</si>
  <si>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</si>
  <si>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</si>
  <si>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</si>
  <si>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</si>
  <si>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</si>
  <si>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</si>
  <si>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</si>
  <si>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</si>
  <si>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</si>
  <si>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</si>
  <si>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</si>
  <si>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</si>
  <si>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</si>
  <si>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</si>
  <si>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</si>
  <si>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</si>
  <si>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</si>
  <si>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</si>
  <si>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</si>
  <si>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</si>
  <si>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</si>
  <si>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</si>
  <si>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</si>
  <si>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</si>
  <si>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</si>
  <si>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</si>
  <si>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</si>
  <si>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</si>
  <si>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</si>
  <si>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</si>
  <si>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</si>
  <si>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</si>
  <si>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</si>
  <si>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</si>
  <si>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</si>
  <si>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</si>
  <si>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</si>
  <si>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</si>
  <si>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</si>
  <si>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</si>
  <si>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</si>
  <si>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</si>
  <si>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</si>
  <si>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</si>
  <si>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</si>
  <si>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</si>
  <si>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</si>
  <si>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</si>
  <si>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</si>
  <si>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</si>
  <si>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</si>
  <si>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</si>
  <si>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</si>
  <si>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</si>
  <si>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</si>
  <si>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</si>
  <si>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</si>
  <si>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</si>
  <si>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</si>
  <si>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</si>
  <si>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</si>
  <si>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</si>
  <si>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</si>
  <si>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</si>
  <si>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</si>
  <si>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</si>
  <si>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</si>
  <si>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</si>
  <si>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</si>
  <si>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</si>
  <si>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</si>
  <si>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</si>
  <si>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</si>
  <si>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</si>
  <si>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</si>
  <si>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</si>
  <si>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</si>
  <si>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</si>
  <si>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</si>
  <si>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</si>
  <si>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</si>
  <si>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</si>
  <si>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</si>
  <si>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</si>
  <si>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</si>
  <si>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</si>
  <si>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</si>
  <si>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</si>
  <si>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</si>
  <si>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</si>
  <si>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</si>
  <si>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</si>
  <si>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</si>
  <si>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</si>
  <si>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</si>
  <si>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</si>
  <si>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</si>
  <si>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</si>
  <si>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</si>
  <si>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</si>
  <si>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</si>
  <si>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</si>
  <si>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</si>
  <si>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</si>
  <si>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</si>
  <si>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</si>
  <si>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</si>
  <si>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</si>
  <si>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</si>
  <si>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</si>
  <si>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</si>
  <si>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</si>
  <si>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</si>
  <si>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</si>
  <si>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</si>
  <si>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</si>
  <si>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</si>
  <si>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</si>
  <si>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</si>
  <si>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</si>
  <si>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</si>
  <si>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</si>
  <si>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</si>
  <si>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</si>
  <si>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</si>
  <si>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</si>
  <si>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</si>
  <si>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</si>
  <si>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</si>
  <si>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</si>
  <si>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</si>
  <si>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</si>
  <si>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</si>
  <si>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</si>
  <si>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</si>
  <si>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</si>
  <si>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</si>
  <si>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</si>
  <si>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</si>
  <si>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</si>
  <si>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</si>
  <si>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</si>
  <si>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</si>
  <si>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</si>
  <si>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</si>
  <si>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</si>
  <si>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</si>
  <si>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</si>
  <si>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</si>
  <si>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</si>
  <si>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</si>
  <si>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</si>
  <si>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</si>
  <si>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</si>
  <si>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</si>
  <si>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</si>
  <si>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</si>
  <si>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</si>
  <si>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</si>
  <si>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</si>
  <si>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</si>
  <si>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</si>
  <si>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</si>
  <si>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</si>
  <si>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</si>
  <si>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</si>
  <si>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</si>
  <si>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</si>
  <si>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</si>
  <si>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</si>
  <si>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</si>
  <si>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</si>
  <si>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</si>
  <si>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</si>
  <si>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</si>
  <si>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</si>
  <si>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</si>
  <si>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</si>
  <si>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</si>
  <si>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</si>
  <si>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</si>
  <si>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</si>
  <si>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</si>
  <si>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</si>
  <si>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</si>
  <si>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</si>
  <si>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</si>
  <si>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</si>
  <si>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</si>
  <si>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</si>
  <si>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</si>
  <si>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</si>
  <si>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</si>
  <si>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</si>
  <si>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</si>
  <si>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</si>
  <si>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</si>
  <si>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</si>
  <si>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</si>
  <si>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</si>
  <si>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</si>
  <si>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</si>
  <si>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</si>
  <si>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</si>
  <si>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</si>
  <si>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</si>
  <si>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</si>
  <si>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</si>
  <si>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</si>
  <si>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</si>
  <si>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</si>
  <si>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</si>
  <si>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</si>
  <si>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</si>
  <si>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</si>
  <si>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</si>
  <si>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</si>
  <si>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</si>
  <si>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</si>
  <si>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</si>
  <si>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</si>
  <si>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</si>
  <si>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</si>
  <si>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</si>
  <si>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</si>
  <si>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</si>
  <si>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</si>
  <si>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</si>
  <si>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</si>
  <si>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</si>
  <si>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</si>
  <si>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</si>
  <si>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</si>
  <si>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</si>
  <si>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</si>
  <si>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</si>
  <si>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</si>
  <si>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</si>
  <si>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</si>
  <si>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</si>
  <si>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</si>
  <si>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</si>
  <si>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</si>
  <si>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</si>
  <si>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</si>
  <si>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</si>
  <si>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</si>
  <si>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</si>
  <si>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</si>
  <si>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</si>
  <si>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</si>
  <si>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</si>
  <si>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</si>
  <si>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</si>
  <si>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</si>
  <si>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</si>
  <si>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</si>
  <si>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</si>
  <si>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</si>
  <si>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</si>
  <si>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</si>
  <si>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</si>
  <si>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</si>
  <si>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</si>
  <si>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</si>
  <si>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</si>
  <si>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</si>
  <si>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</si>
  <si>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</si>
  <si>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</si>
  <si>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</si>
  <si>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</si>
  <si>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</si>
  <si>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</si>
  <si>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</si>
  <si>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</si>
  <si>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</si>
  <si>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</si>
  <si>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</si>
  <si>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</si>
  <si>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</si>
  <si>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</si>
  <si>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</si>
  <si>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</si>
  <si>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</si>
  <si>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</si>
  <si>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</si>
  <si>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</si>
  <si>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</si>
  <si>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</si>
  <si>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</si>
  <si>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</si>
  <si>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</si>
  <si>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</si>
  <si>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</si>
  <si>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</si>
  <si>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</si>
  <si>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</si>
  <si>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</si>
  <si>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</si>
  <si>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</si>
  <si>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</si>
  <si>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</si>
  <si>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</si>
  <si>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</si>
  <si>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</si>
  <si>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</si>
  <si>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</si>
  <si>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</si>
  <si>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</si>
  <si>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</si>
  <si>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</si>
  <si>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</si>
  <si>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</si>
  <si>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</si>
  <si>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</si>
  <si>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</si>
  <si>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</si>
  <si>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</si>
  <si>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</si>
  <si>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</si>
  <si>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</si>
  <si>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</si>
  <si>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</si>
  <si>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</si>
  <si>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</si>
  <si>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</si>
  <si>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</si>
  <si>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</si>
  <si>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</si>
  <si>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</si>
  <si>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</si>
  <si>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</si>
  <si>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</si>
  <si>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</si>
  <si>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</si>
  <si>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</si>
  <si>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</si>
  <si>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</si>
  <si>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</si>
  <si>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</si>
  <si>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</si>
  <si>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</si>
  <si>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</si>
  <si>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</si>
  <si>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</si>
  <si>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</si>
  <si>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</si>
  <si>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</si>
  <si>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</si>
  <si>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</si>
  <si>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</si>
  <si>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</si>
  <si>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</si>
  <si>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</si>
  <si>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</si>
  <si>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</si>
  <si>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</si>
  <si>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</si>
  <si>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</si>
  <si>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</si>
  <si>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</si>
  <si>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</si>
  <si>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</si>
  <si>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</si>
  <si>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</si>
  <si>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</si>
  <si>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</si>
  <si>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</si>
  <si>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</si>
  <si>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</si>
  <si>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</si>
  <si>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</si>
  <si>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</si>
  <si>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</si>
  <si>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</si>
  <si>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</si>
  <si>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</si>
  <si>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</si>
  <si>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</si>
  <si>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</si>
  <si>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</si>
  <si>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</si>
  <si>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</si>
  <si>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</si>
  <si>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</si>
  <si>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</si>
  <si>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</si>
  <si>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</si>
  <si>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</si>
  <si>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</si>
  <si>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</si>
  <si>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</si>
  <si>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</si>
  <si>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</si>
  <si>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</si>
  <si>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</si>
  <si>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</si>
  <si>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</si>
  <si>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</si>
  <si>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</si>
  <si>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</si>
  <si>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</si>
  <si>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</si>
  <si>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</si>
  <si>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</si>
  <si>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</si>
  <si>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</si>
  <si>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</si>
  <si>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</si>
  <si>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</si>
  <si>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</si>
  <si>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</si>
  <si>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</si>
  <si>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</si>
  <si>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</si>
  <si>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</si>
  <si>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</si>
  <si>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</si>
  <si>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</si>
  <si>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</si>
  <si>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</si>
  <si>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</si>
  <si>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</si>
  <si>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</si>
  <si>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</si>
  <si>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</si>
  <si>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</si>
  <si>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</si>
  <si>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</si>
  <si>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</si>
  <si>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</si>
  <si>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</si>
  <si>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</si>
  <si>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</si>
  <si>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</si>
  <si>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</si>
  <si>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</si>
  <si>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</si>
  <si>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</si>
  <si>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</si>
  <si>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</si>
  <si>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</si>
  <si>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</si>
  <si>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</si>
  <si>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</si>
  <si>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</si>
  <si>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</si>
  <si>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</si>
  <si>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</si>
  <si>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</si>
  <si>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</si>
  <si>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</si>
  <si>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</si>
  <si>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</si>
  <si>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</si>
  <si>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</si>
  <si>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</si>
  <si>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</si>
  <si>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</si>
  <si>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</si>
  <si>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</si>
  <si>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</si>
  <si>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</si>
  <si>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</si>
  <si>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</si>
  <si>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</si>
  <si>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</si>
  <si>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</si>
  <si>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</si>
  <si>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</si>
  <si>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</si>
  <si>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</si>
  <si>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</si>
  <si>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</si>
  <si>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</si>
  <si>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</si>
  <si>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</si>
  <si>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</si>
  <si>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</si>
  <si>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</si>
  <si>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</si>
  <si>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</si>
  <si>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</si>
  <si>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</si>
  <si>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</si>
  <si>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</si>
  <si>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</si>
  <si>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</si>
  <si>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</si>
  <si>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</si>
  <si>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</si>
  <si>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</si>
  <si>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</si>
  <si>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</si>
  <si>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</si>
  <si>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</si>
  <si>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</si>
  <si>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</si>
  <si>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</si>
  <si>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</si>
  <si>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</si>
  <si>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</si>
  <si>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</si>
  <si>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</si>
  <si>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</si>
  <si>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</si>
  <si>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</si>
  <si>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</si>
  <si>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</si>
  <si>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</si>
  <si>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</si>
  <si>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</si>
  <si>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</si>
  <si>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</si>
  <si>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</si>
  <si>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</si>
  <si>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</si>
  <si>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</si>
  <si>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</si>
  <si>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</si>
  <si>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</si>
  <si>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</si>
  <si>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</si>
  <si>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</si>
  <si>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</si>
  <si>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</si>
  <si>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</si>
  <si>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</si>
  <si>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</si>
  <si>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</si>
  <si>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</si>
  <si>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</si>
  <si>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</si>
  <si>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</si>
  <si>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</si>
  <si>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</si>
  <si>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</si>
  <si>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</si>
  <si>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</si>
  <si>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</si>
  <si>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</si>
  <si>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</si>
  <si>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</si>
  <si>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</si>
  <si>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</si>
  <si>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</si>
  <si>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</si>
  <si>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</si>
  <si>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</si>
  <si>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</si>
  <si>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</si>
  <si>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</si>
  <si>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</si>
  <si>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</si>
  <si>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</si>
  <si>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</si>
  <si>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</si>
  <si>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</si>
  <si>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</si>
  <si>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</si>
  <si>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</si>
  <si>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</si>
  <si>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</si>
  <si>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</si>
  <si>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</si>
  <si>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</si>
  <si>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</si>
  <si>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</si>
  <si>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</si>
  <si>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</si>
  <si>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</si>
  <si>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</si>
  <si>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</si>
  <si>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</si>
  <si>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</si>
  <si>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</si>
  <si>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</si>
  <si>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</si>
  <si>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</si>
  <si>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</si>
  <si>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</si>
  <si>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</si>
  <si>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</si>
  <si>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</si>
  <si>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</si>
  <si>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</si>
  <si>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</si>
  <si>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</si>
  <si>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</si>
  <si>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</si>
  <si>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</si>
  <si>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</si>
  <si>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</si>
  <si>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</si>
  <si>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</si>
  <si>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</si>
  <si>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</si>
  <si>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</si>
  <si>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</si>
  <si>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</si>
  <si>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</si>
  <si>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</si>
  <si>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</si>
  <si>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</si>
  <si>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</si>
  <si>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</si>
  <si>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</si>
  <si>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</si>
  <si>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</si>
  <si>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</si>
  <si>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</si>
  <si>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</si>
  <si>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</si>
  <si>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</si>
  <si>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</si>
  <si>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</si>
  <si>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</si>
  <si>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</si>
  <si>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</si>
  <si>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</si>
  <si>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</si>
  <si>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</si>
  <si>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</si>
  <si>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</si>
  <si>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</si>
  <si>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</si>
  <si>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</si>
  <si>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</si>
  <si>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</si>
  <si>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</si>
  <si>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</si>
  <si>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</si>
  <si>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</si>
  <si>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</si>
  <si>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</si>
  <si>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</si>
  <si>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</si>
  <si>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</si>
  <si>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</si>
  <si>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</si>
  <si>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</si>
  <si>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</si>
  <si>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</si>
  <si>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</si>
  <si>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</si>
  <si>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</si>
  <si>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</si>
  <si>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</si>
  <si>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</si>
  <si>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</si>
  <si>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</si>
  <si>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</si>
  <si>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</si>
  <si>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</si>
  <si>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</si>
  <si>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</si>
  <si>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</si>
  <si>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</si>
  <si>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</si>
  <si>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</si>
  <si>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</si>
  <si>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</si>
  <si>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</si>
  <si>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</si>
  <si>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</si>
  <si>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</si>
  <si>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</si>
  <si>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</si>
  <si>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</si>
  <si>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</si>
  <si>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</si>
  <si>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</si>
  <si>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</si>
  <si>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</si>
  <si>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</si>
  <si>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</si>
  <si>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</si>
  <si>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</si>
  <si>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</si>
  <si>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</si>
  <si>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</si>
  <si>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</si>
  <si>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</si>
  <si>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</si>
  <si>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</si>
  <si>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</si>
  <si>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</si>
  <si>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</si>
  <si>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</si>
  <si>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</si>
  <si>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</si>
  <si>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</si>
  <si>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</si>
  <si>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</si>
  <si>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</si>
  <si>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</si>
  <si>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</si>
  <si>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</si>
  <si>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</si>
  <si>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</si>
  <si>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</si>
  <si>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</si>
  <si>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</si>
  <si>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</si>
  <si>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</si>
  <si>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</si>
  <si>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</si>
  <si>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</si>
  <si>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</si>
  <si>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</si>
  <si>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</si>
  <si>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</si>
  <si>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</si>
  <si>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</si>
  <si>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</si>
  <si>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</si>
  <si>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</si>
  <si>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</si>
  <si>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</si>
  <si>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</si>
  <si>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</si>
  <si>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</si>
  <si>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</si>
  <si>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</si>
  <si>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</si>
  <si>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</si>
  <si>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</si>
  <si>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</si>
  <si>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</si>
  <si>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</si>
  <si>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</si>
  <si>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</si>
  <si>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</si>
  <si>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</si>
  <si>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</si>
  <si>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</si>
  <si>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</si>
  <si>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</si>
  <si>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</si>
  <si>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</si>
  <si>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</si>
  <si>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</si>
  <si>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</si>
  <si>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</si>
  <si>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</si>
  <si>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</si>
  <si>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</si>
  <si>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</si>
  <si>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</si>
  <si>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</si>
  <si>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</si>
  <si>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</si>
  <si>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</si>
  <si>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</si>
  <si>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</si>
  <si>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</si>
  <si>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</si>
  <si>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</si>
  <si>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</si>
  <si>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</si>
  <si>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</si>
  <si>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</si>
  <si>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</si>
  <si>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</si>
  <si>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</si>
  <si>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</si>
  <si>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</si>
  <si>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</si>
  <si>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</si>
  <si>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</si>
  <si>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</si>
  <si>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</si>
  <si>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</si>
  <si>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</si>
  <si>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</si>
  <si>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</si>
  <si>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</si>
  <si>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</si>
  <si>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</si>
  <si>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</si>
  <si>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</si>
  <si>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</si>
  <si>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</si>
  <si>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</si>
  <si>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</si>
  <si>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</si>
  <si>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</si>
  <si>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</si>
  <si>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</si>
  <si>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</si>
  <si>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</si>
  <si>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</si>
  <si>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</si>
  <si>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</si>
  <si>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</si>
  <si>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</si>
  <si>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</si>
  <si>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</si>
  <si>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</si>
  <si>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</si>
  <si>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</si>
  <si>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</si>
  <si>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</si>
  <si>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</si>
  <si>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</si>
  <si>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</si>
  <si>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</si>
  <si>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</si>
  <si>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</si>
  <si>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</si>
  <si>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</si>
  <si>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</si>
  <si>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</si>
  <si>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</si>
  <si>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</si>
  <si>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</si>
  <si>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</si>
  <si>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</si>
  <si>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</si>
  <si>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</si>
  <si>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</si>
  <si>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</si>
  <si>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</si>
  <si>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</si>
  <si>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</si>
  <si>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</si>
  <si>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</si>
  <si>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</si>
  <si>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</si>
  <si>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</si>
  <si>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</si>
  <si>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</si>
  <si>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</si>
  <si>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</si>
  <si>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</si>
  <si>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</si>
  <si>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</si>
  <si>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</si>
  <si>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</si>
  <si>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</si>
  <si>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</si>
  <si>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</si>
  <si>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</si>
  <si>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</si>
  <si>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</si>
  <si>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</si>
  <si>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</si>
  <si>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</si>
  <si>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</si>
  <si>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</si>
  <si>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</si>
  <si>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</si>
  <si>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</si>
  <si>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</si>
  <si>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</si>
  <si>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</si>
  <si>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</si>
  <si>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</si>
  <si>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</si>
  <si>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</si>
  <si>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</si>
  <si>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</si>
  <si>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</si>
  <si>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</si>
  <si>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</si>
  <si>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</si>
  <si>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</si>
  <si>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</si>
  <si>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</si>
  <si>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</si>
  <si>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</si>
  <si>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</si>
  <si>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</si>
  <si>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</si>
  <si>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</si>
  <si>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</si>
  <si>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</si>
  <si>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</si>
  <si>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</si>
  <si>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</si>
  <si>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</si>
  <si>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</si>
  <si>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</si>
  <si>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</si>
  <si>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</si>
  <si>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</si>
  <si>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</si>
  <si>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</si>
  <si>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</si>
  <si>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</si>
  <si>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</si>
  <si>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</si>
  <si>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</si>
  <si>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</si>
  <si>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</si>
  <si>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</si>
  <si>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</si>
  <si>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</si>
  <si>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</si>
  <si>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</si>
  <si>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</si>
  <si>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</si>
  <si>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</si>
  <si>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</si>
  <si>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</si>
  <si>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</si>
  <si>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</si>
  <si>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</si>
  <si>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</si>
  <si>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</si>
  <si>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</si>
  <si>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</si>
  <si>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</si>
  <si>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</si>
  <si>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</si>
  <si>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</si>
  <si>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</si>
  <si>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</si>
  <si>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</si>
  <si>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</si>
  <si>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</si>
  <si>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</si>
  <si>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</si>
  <si>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</si>
  <si>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</si>
  <si>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</si>
  <si>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</si>
  <si>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</si>
  <si>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</si>
  <si>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</si>
  <si>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</si>
  <si>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</si>
  <si>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</si>
  <si>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</si>
  <si>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</si>
  <si>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</si>
  <si>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</si>
  <si>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</si>
  <si>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</si>
  <si>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</si>
  <si>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</si>
  <si>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</si>
  <si>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</si>
  <si>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</si>
  <si>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</si>
  <si>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</si>
  <si>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</si>
  <si>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</si>
  <si>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</si>
  <si>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</si>
  <si>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</si>
  <si>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</si>
  <si>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</si>
  <si>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</si>
  <si>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</si>
  <si>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</si>
  <si>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</si>
  <si>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</si>
  <si>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</si>
  <si>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</si>
  <si>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</si>
  <si>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</si>
  <si>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</si>
  <si>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</si>
  <si>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</si>
  <si>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</si>
  <si>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</si>
  <si>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</si>
  <si>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</si>
  <si>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</si>
  <si>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</si>
  <si>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</si>
  <si>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</si>
  <si>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</si>
  <si>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</si>
  <si>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</si>
  <si>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</si>
  <si>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</si>
  <si>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</si>
  <si>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</si>
  <si>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</si>
  <si>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</si>
  <si>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</si>
  <si>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</si>
  <si>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</si>
  <si>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</si>
  <si>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</si>
  <si>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</si>
  <si>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</si>
  <si>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</si>
  <si>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</si>
  <si>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</si>
  <si>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</si>
  <si>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</si>
  <si>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</si>
  <si>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</si>
  <si>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</si>
  <si>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</si>
  <si>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</si>
  <si>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</si>
  <si>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</si>
  <si>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</si>
  <si>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</si>
  <si>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</si>
  <si>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</si>
  <si>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</si>
  <si>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</si>
  <si>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</si>
  <si>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</si>
  <si>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</si>
  <si>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</si>
  <si>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</si>
  <si>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</si>
  <si>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</si>
  <si>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</si>
  <si>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</si>
  <si>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</si>
  <si>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</si>
  <si>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</si>
  <si>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</si>
  <si>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</si>
  <si>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</si>
  <si>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</si>
  <si>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</si>
  <si>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</si>
  <si>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</si>
  <si>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</si>
  <si>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</si>
  <si>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</si>
  <si>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</si>
  <si>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</si>
  <si>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</si>
  <si>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</si>
  <si>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</si>
  <si>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</si>
  <si>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</si>
  <si>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</si>
  <si>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</si>
  <si>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</si>
  <si>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</si>
  <si>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</si>
  <si>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</si>
  <si>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</si>
  <si>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</si>
  <si>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</si>
  <si>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</si>
  <si>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</si>
  <si>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</si>
  <si>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</si>
  <si>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</si>
  <si>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</si>
  <si>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</si>
  <si>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</si>
  <si>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</si>
  <si>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</si>
  <si>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</si>
  <si>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</si>
  <si>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</si>
  <si>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</si>
  <si>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</si>
  <si>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</si>
  <si>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</si>
  <si>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</si>
  <si>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</si>
  <si>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</si>
  <si>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</si>
  <si>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</si>
  <si>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</si>
  <si>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</si>
  <si>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</si>
  <si>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</si>
  <si>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</si>
  <si>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</si>
  <si>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</si>
  <si>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</si>
  <si>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</si>
  <si>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</si>
  <si>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</si>
  <si>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</si>
  <si>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</si>
  <si>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</si>
  <si>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</si>
  <si>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</si>
  <si>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</si>
  <si>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</si>
  <si>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</si>
  <si>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</si>
  <si>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</si>
  <si>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</si>
  <si>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</si>
  <si>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</si>
  <si>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</si>
  <si>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</si>
  <si>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</si>
  <si>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</si>
  <si>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</si>
  <si>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</si>
  <si>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</si>
  <si>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</si>
  <si>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</si>
  <si>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</si>
  <si>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</si>
  <si>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</si>
  <si>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</si>
  <si>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</si>
  <si>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</si>
  <si>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</si>
  <si>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</si>
  <si>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</si>
  <si>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</si>
  <si>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</si>
  <si>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</si>
  <si>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</si>
  <si>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</si>
  <si>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</si>
  <si>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</si>
  <si>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</si>
  <si>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</si>
  <si>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</si>
  <si>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</si>
  <si>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</si>
  <si>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</si>
  <si>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</si>
  <si>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</si>
  <si>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</si>
  <si>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</si>
  <si>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</si>
  <si>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</si>
  <si>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</si>
  <si>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</si>
  <si>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</si>
  <si>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</si>
  <si>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</si>
  <si>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</si>
  <si>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</si>
  <si>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</si>
  <si>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</si>
  <si>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</si>
  <si>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</si>
  <si>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</si>
  <si>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</si>
  <si>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</si>
  <si>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</si>
  <si>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</si>
  <si>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</si>
  <si>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</si>
  <si>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</si>
  <si>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</si>
  <si>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</si>
  <si>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</si>
  <si>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</si>
  <si>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</si>
  <si>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</si>
  <si>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</si>
  <si>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</si>
  <si>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</si>
  <si>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</si>
  <si>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</si>
  <si>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</si>
  <si>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</si>
  <si>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</si>
  <si>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</si>
  <si>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</si>
  <si>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</si>
  <si>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</si>
  <si>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</si>
  <si>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</si>
  <si>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</si>
  <si>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</si>
  <si>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</si>
  <si>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</si>
  <si>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</si>
  <si>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</si>
  <si>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</si>
  <si>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</si>
  <si>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</si>
  <si>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</si>
  <si>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</si>
  <si>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</si>
  <si>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</si>
  <si>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</si>
  <si>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</si>
  <si>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</si>
  <si>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</si>
  <si>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</si>
  <si>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</si>
  <si>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</si>
  <si>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</si>
  <si>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</si>
  <si>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</si>
  <si>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</si>
  <si>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</si>
  <si>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</si>
  <si>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</si>
  <si>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</si>
  <si>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</si>
  <si>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</si>
  <si>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</si>
  <si>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</si>
  <si>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</si>
  <si>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</si>
  <si>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</si>
  <si>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</si>
  <si>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</si>
  <si>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</si>
  <si>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</si>
  <si>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</si>
  <si>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</si>
  <si>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</si>
  <si>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</si>
  <si>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</si>
  <si>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</si>
  <si>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</si>
  <si>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</si>
  <si>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</si>
  <si>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</si>
  <si>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</si>
  <si>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</si>
  <si>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</si>
  <si>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</si>
  <si>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</si>
  <si>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</si>
  <si>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</si>
  <si>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</si>
  <si>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</si>
  <si>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</si>
  <si>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</si>
  <si>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</si>
  <si>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</si>
  <si>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</si>
  <si>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</si>
  <si>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</si>
  <si>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</si>
  <si>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</si>
  <si>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</si>
  <si>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</si>
  <si>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</si>
  <si>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</si>
  <si>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</si>
  <si>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</si>
  <si>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</si>
  <si>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</si>
  <si>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</si>
  <si>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</si>
  <si>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</si>
  <si>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</si>
  <si>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</si>
  <si>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</si>
  <si>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</si>
  <si>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</si>
  <si>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</si>
  <si>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</si>
  <si>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</si>
  <si>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</si>
  <si>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</si>
  <si>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</si>
  <si>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</si>
  <si>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</si>
  <si>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</si>
  <si>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</si>
  <si>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</si>
  <si>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</si>
  <si>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</si>
  <si>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</si>
  <si>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</si>
  <si>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</si>
  <si>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</si>
  <si>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</si>
  <si>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</si>
  <si>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</si>
  <si>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</si>
  <si>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</si>
  <si>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</si>
  <si>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</si>
  <si>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</si>
  <si>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</si>
  <si>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</si>
  <si>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</si>
  <si>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</si>
  <si>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</si>
  <si>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</si>
  <si>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</si>
  <si>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</si>
  <si>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</si>
  <si>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</si>
  <si>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</si>
  <si>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</si>
  <si>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</si>
  <si>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</si>
  <si>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</si>
  <si>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</si>
  <si>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</si>
  <si>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</si>
  <si>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</si>
  <si>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</si>
  <si>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</si>
  <si>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</si>
  <si>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</si>
  <si>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</si>
  <si>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</si>
  <si>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</si>
  <si>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</si>
  <si>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</si>
  <si>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</si>
  <si>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</si>
  <si>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</si>
  <si>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</si>
  <si>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</si>
  <si>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</si>
  <si>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</si>
  <si>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</si>
  <si>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</si>
  <si>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</si>
  <si>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</si>
  <si>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</si>
  <si>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</si>
  <si>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</si>
  <si>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</si>
  <si>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</si>
  <si>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</si>
  <si>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</si>
  <si>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</si>
  <si>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</si>
  <si>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</si>
  <si>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</si>
  <si>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</si>
  <si>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</si>
  <si>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</si>
  <si>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</si>
  <si>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</si>
  <si>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</si>
  <si>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</si>
  <si>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</si>
  <si>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</si>
  <si>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</si>
  <si>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</si>
  <si>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</si>
  <si>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</si>
  <si>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</si>
  <si>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</si>
  <si>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</si>
  <si>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</si>
  <si>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</si>
  <si>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</si>
  <si>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</si>
  <si>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</si>
  <si>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</si>
  <si>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</si>
  <si>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</si>
  <si>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</si>
  <si>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</si>
  <si>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</si>
  <si>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</si>
  <si>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</si>
  <si>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</si>
  <si>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</si>
  <si>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</si>
  <si>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</si>
  <si>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</si>
  <si>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</si>
  <si>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</si>
  <si>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</si>
  <si>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</si>
  <si>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</si>
  <si>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</si>
  <si>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</si>
  <si>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</si>
  <si>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</si>
  <si>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</si>
  <si>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</si>
  <si>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</si>
  <si>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</si>
  <si>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</si>
  <si>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</si>
  <si>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</si>
  <si>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</si>
  <si>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</si>
  <si>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</si>
  <si>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</si>
  <si>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</si>
  <si>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</si>
  <si>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</si>
  <si>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</si>
  <si>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</si>
  <si>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</si>
  <si>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</si>
  <si>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</si>
  <si>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</si>
  <si>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</si>
  <si>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</si>
  <si>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</si>
  <si>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</si>
  <si>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</si>
  <si>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</si>
  <si>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</si>
  <si>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</si>
  <si>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</si>
  <si>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</si>
  <si>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</si>
  <si>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</si>
  <si>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</si>
  <si>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</si>
  <si>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</si>
  <si>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</si>
  <si>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</si>
  <si>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</si>
  <si>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</si>
  <si>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</si>
  <si>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</si>
  <si>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</si>
  <si>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</si>
  <si>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</si>
  <si>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</si>
  <si>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</si>
  <si>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</si>
  <si>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</si>
  <si>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</si>
  <si>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</si>
  <si>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</si>
  <si>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</si>
  <si>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</si>
  <si>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</si>
  <si>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</si>
  <si>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</si>
  <si>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</si>
  <si>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</si>
  <si>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</si>
  <si>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</si>
  <si>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</si>
  <si>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</si>
  <si>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</si>
  <si>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</si>
  <si>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</si>
  <si>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</si>
  <si>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</si>
  <si>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</si>
  <si>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</si>
  <si>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</si>
  <si>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</si>
  <si>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</si>
  <si>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</si>
  <si>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</si>
  <si>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</si>
  <si>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</si>
  <si>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</si>
  <si>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</si>
  <si>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</si>
  <si>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</si>
  <si>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</si>
  <si>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</si>
  <si>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</si>
  <si>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</si>
  <si>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</si>
  <si>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</si>
  <si>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</si>
  <si>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</si>
  <si>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</si>
  <si>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</si>
  <si>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</si>
  <si>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</si>
  <si>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</si>
  <si>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</si>
  <si>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</si>
  <si>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</si>
  <si>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</si>
  <si>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</si>
  <si>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</si>
  <si>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</si>
  <si>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</si>
  <si>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</si>
  <si>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</si>
  <si>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</si>
  <si>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</si>
  <si>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</si>
  <si>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</si>
  <si>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</si>
  <si>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</si>
  <si>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</si>
  <si>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</si>
  <si>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</si>
  <si>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</si>
  <si>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</si>
  <si>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</si>
  <si>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</si>
  <si>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</si>
  <si>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</si>
  <si>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</si>
  <si>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</si>
  <si>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</si>
  <si>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</si>
  <si>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</si>
  <si>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</si>
  <si>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</si>
  <si>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</si>
  <si>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</si>
  <si>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</si>
  <si>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</si>
  <si>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</si>
  <si>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</si>
  <si>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</si>
  <si>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</si>
  <si>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</si>
  <si>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</si>
  <si>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</si>
  <si>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</si>
  <si>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</si>
  <si>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</si>
  <si>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</si>
  <si>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</si>
  <si>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</si>
  <si>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</si>
  <si>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</si>
  <si>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</si>
  <si>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</si>
  <si>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</si>
  <si>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</si>
  <si>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</si>
  <si>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</si>
  <si>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</si>
  <si>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</si>
  <si>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</si>
  <si>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</si>
  <si>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</si>
  <si>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</si>
  <si>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</si>
  <si>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</si>
  <si>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</si>
  <si>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</si>
  <si>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</si>
  <si>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</si>
  <si>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</si>
  <si>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</si>
  <si>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</si>
  <si>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</si>
  <si>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</si>
  <si>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</si>
  <si>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</si>
  <si>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</si>
  <si>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</si>
  <si>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</si>
  <si>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</si>
  <si>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</si>
  <si>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</si>
  <si>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</si>
  <si>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</si>
  <si>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</si>
  <si>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</si>
  <si>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</si>
  <si>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</si>
  <si>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</si>
  <si>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</si>
  <si>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</si>
  <si>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</si>
  <si>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</si>
  <si>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</si>
  <si>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</si>
  <si>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</si>
  <si>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</si>
  <si>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</si>
  <si>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</si>
  <si>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</si>
  <si>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</si>
  <si>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</si>
  <si>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</si>
  <si>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</si>
  <si>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</si>
  <si>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</si>
  <si>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</si>
  <si>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</si>
  <si>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</si>
  <si>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</si>
  <si>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</si>
  <si>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</si>
  <si>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</si>
  <si>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</si>
  <si>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</si>
  <si>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</si>
  <si>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</si>
  <si>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</si>
  <si>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</si>
  <si>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</si>
  <si>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</si>
  <si>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</si>
  <si>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</si>
  <si>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</si>
  <si>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</si>
  <si>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</si>
  <si>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</si>
  <si>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</si>
  <si>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</si>
  <si>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</si>
  <si>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</si>
  <si>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</si>
  <si>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</si>
  <si>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</si>
  <si>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</si>
  <si>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</si>
  <si>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</si>
  <si>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</si>
  <si>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</si>
  <si>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</si>
  <si>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</si>
  <si>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</si>
  <si>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</si>
  <si>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</si>
  <si>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</si>
  <si>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</si>
  <si>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</si>
  <si>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</si>
  <si>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</si>
  <si>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</si>
  <si>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</si>
  <si>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</si>
  <si>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</si>
  <si>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</si>
  <si>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</si>
  <si>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</si>
  <si>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</si>
  <si>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</si>
  <si>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</si>
  <si>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</si>
  <si>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</si>
  <si>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</si>
  <si>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</si>
  <si>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</si>
  <si>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</si>
  <si>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</si>
  <si>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</si>
  <si>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</si>
  <si>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</si>
  <si>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</si>
  <si>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</si>
  <si>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</si>
  <si>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</si>
  <si>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</si>
  <si>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</si>
  <si>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</si>
  <si>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</si>
  <si>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</si>
  <si>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</si>
  <si>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</si>
  <si>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</si>
  <si>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</si>
  <si>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</si>
  <si>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</si>
  <si>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</si>
  <si>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</si>
  <si>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</si>
  <si>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</si>
  <si>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</si>
  <si>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</si>
  <si>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</si>
  <si>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</si>
  <si>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</si>
  <si>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</si>
  <si>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</si>
  <si>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</si>
  <si>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</si>
  <si>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</si>
  <si>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</si>
  <si>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</si>
  <si>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</si>
  <si>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</si>
  <si>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</si>
  <si>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</si>
  <si>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</si>
  <si>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</si>
  <si>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</si>
  <si>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</si>
  <si>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</si>
  <si>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</si>
  <si>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</si>
  <si>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</si>
  <si>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</si>
  <si>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</si>
  <si>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</si>
  <si>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</si>
  <si>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</si>
  <si>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</si>
  <si>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</si>
  <si>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</si>
  <si>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</si>
  <si>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</si>
  <si>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</si>
  <si>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</si>
  <si>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</si>
  <si>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</si>
  <si>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</si>
  <si>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</si>
  <si>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</si>
  <si>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</si>
  <si>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</si>
  <si>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</si>
  <si>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</si>
  <si>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</si>
  <si>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</si>
  <si>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</si>
  <si>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</si>
  <si>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</si>
  <si>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</si>
  <si>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</si>
  <si>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</si>
  <si>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</si>
  <si>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</si>
  <si>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</si>
  <si>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</si>
  <si>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</si>
  <si>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</si>
  <si>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</si>
  <si>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</si>
  <si>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</si>
  <si>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</si>
  <si>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</si>
  <si>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</si>
  <si>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</si>
  <si>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</si>
  <si>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</si>
  <si>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</si>
  <si>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</si>
  <si>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</si>
  <si>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</si>
  <si>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</si>
  <si>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</si>
  <si>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</si>
  <si>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</si>
  <si>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</si>
  <si>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</si>
  <si>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</si>
  <si>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</si>
  <si>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</si>
  <si>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</si>
  <si>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</si>
  <si>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</si>
  <si>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</si>
  <si>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</si>
  <si>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</si>
  <si>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</si>
  <si>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</si>
  <si>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</si>
  <si>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</si>
  <si>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</si>
  <si>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</si>
  <si>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</si>
  <si>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</si>
  <si>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</si>
  <si>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</si>
  <si>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</si>
  <si>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</si>
  <si>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</si>
  <si>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</si>
  <si>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</si>
  <si>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</si>
  <si>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</si>
  <si>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</si>
  <si>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</si>
  <si>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</si>
  <si>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</si>
  <si>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</si>
  <si>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</si>
  <si>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</si>
  <si>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</si>
  <si>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</si>
  <si>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</si>
  <si>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</si>
  <si>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</si>
  <si>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</si>
  <si>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</si>
  <si>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</si>
  <si>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</si>
  <si>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</si>
  <si>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</si>
  <si>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</si>
  <si>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</si>
  <si>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</si>
  <si>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</si>
  <si>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</si>
  <si>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</si>
  <si>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</si>
  <si>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</si>
  <si>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</si>
  <si>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</si>
  <si>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</si>
  <si>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</si>
  <si>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</si>
  <si>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</si>
  <si>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</si>
  <si>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</si>
  <si>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</si>
  <si>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</si>
  <si>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</si>
  <si>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</si>
  <si>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</si>
  <si>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</si>
  <si>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</si>
  <si>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</si>
  <si>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</si>
  <si>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</si>
  <si>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</si>
  <si>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</si>
  <si>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</si>
  <si>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</si>
  <si>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</si>
  <si>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</si>
  <si>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</si>
  <si>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</si>
  <si>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</si>
  <si>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</si>
  <si>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</si>
  <si>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</si>
  <si>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</si>
  <si>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</si>
  <si>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</si>
  <si>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</si>
  <si>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</si>
  <si>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</si>
  <si>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</si>
  <si>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</si>
  <si>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</si>
  <si>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</si>
  <si>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</si>
  <si>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</si>
  <si>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</si>
  <si>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</si>
  <si>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</si>
  <si>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</si>
  <si>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</si>
  <si>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</si>
  <si>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</si>
  <si>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</si>
  <si>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</si>
  <si>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</si>
  <si>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</si>
  <si>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</si>
  <si>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</si>
  <si>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</si>
  <si>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</si>
  <si>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</si>
  <si>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</si>
  <si>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</si>
  <si>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</si>
  <si>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</si>
  <si>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</si>
  <si>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</si>
  <si>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</si>
  <si>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</si>
  <si>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</si>
  <si>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</si>
  <si>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</si>
  <si>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</si>
  <si>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</si>
  <si>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</si>
  <si>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</si>
  <si>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</si>
  <si>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</si>
  <si>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</si>
  <si>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</si>
  <si>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</si>
  <si>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</si>
  <si>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</si>
  <si>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</si>
  <si>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</si>
  <si>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</si>
  <si>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</si>
  <si>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</si>
  <si>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</si>
  <si>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</si>
  <si>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</si>
  <si>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</si>
  <si>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</si>
  <si>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</si>
  <si>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</si>
  <si>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</si>
  <si>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</si>
  <si>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</si>
  <si>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</si>
  <si>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</si>
  <si>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</si>
  <si>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</si>
  <si>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</si>
  <si>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</si>
  <si>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</si>
  <si>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</si>
  <si>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</si>
  <si>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</si>
  <si>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</si>
  <si>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</si>
  <si>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</si>
  <si>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</si>
  <si>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</si>
  <si>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</si>
  <si>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</si>
  <si>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</si>
  <si>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</si>
  <si>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</si>
  <si>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</si>
  <si>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</si>
  <si>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</si>
  <si>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</si>
  <si>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</si>
  <si>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</si>
  <si>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</si>
  <si>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</si>
  <si>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</si>
  <si>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</si>
  <si>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</si>
  <si>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</si>
  <si>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</si>
  <si>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</si>
  <si>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</si>
  <si>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</si>
  <si>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</si>
  <si>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</si>
  <si>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</si>
  <si>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</si>
  <si>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</si>
  <si>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</si>
  <si>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</si>
  <si>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</si>
  <si>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</si>
  <si>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</si>
  <si>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</si>
  <si>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</si>
  <si>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</si>
  <si>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</si>
  <si>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</si>
  <si>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</si>
  <si>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</si>
  <si>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</si>
  <si>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</si>
  <si>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</si>
  <si>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</si>
  <si>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</si>
  <si>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</si>
  <si>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</si>
  <si>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</si>
  <si>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</si>
  <si>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</si>
  <si>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</si>
  <si>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</si>
  <si>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</si>
  <si>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</si>
  <si>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</si>
  <si>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</si>
  <si>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</si>
  <si>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</si>
  <si>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</si>
  <si>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</si>
  <si>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</si>
  <si>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</si>
  <si>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</si>
  <si>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</si>
  <si>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</si>
  <si>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</si>
  <si>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</si>
  <si>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</si>
  <si>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</si>
  <si>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</si>
  <si>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</si>
  <si>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</si>
  <si>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</si>
  <si>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</si>
  <si>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</si>
  <si>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</si>
  <si>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</si>
  <si>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</si>
  <si>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</si>
  <si>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</si>
  <si>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</si>
  <si>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</si>
  <si>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</si>
  <si>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</si>
  <si>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</si>
  <si>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</si>
  <si>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</si>
  <si>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</si>
  <si>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</si>
  <si>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</si>
  <si>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</si>
  <si>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</si>
  <si>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</si>
  <si>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</si>
  <si>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</si>
  <si>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</si>
  <si>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</si>
  <si>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</si>
  <si>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</si>
  <si>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</si>
  <si>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</si>
  <si>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</si>
  <si>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</si>
  <si>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</si>
  <si>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</si>
  <si>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</si>
  <si>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</si>
  <si>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</si>
  <si>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</si>
  <si>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</si>
  <si>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</si>
  <si>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</si>
  <si>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</si>
  <si>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</si>
  <si>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</si>
  <si>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</si>
  <si>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</si>
  <si>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</si>
  <si>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</si>
  <si>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</si>
  <si>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</si>
  <si>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</si>
  <si>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</si>
  <si>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</si>
  <si>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</si>
  <si>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</si>
  <si>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</si>
  <si>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</si>
  <si>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</si>
  <si>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</si>
  <si>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</si>
  <si>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</si>
  <si>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</si>
  <si>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</si>
  <si>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</si>
  <si>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</si>
  <si>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</si>
  <si>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</si>
  <si>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</si>
  <si>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</si>
  <si>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</si>
  <si>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</si>
  <si>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</si>
  <si>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</si>
  <si>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</si>
  <si>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</si>
  <si>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</si>
  <si>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</si>
  <si>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</si>
  <si>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</si>
  <si>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</si>
  <si>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</si>
  <si>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</si>
  <si>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</si>
  <si>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</si>
  <si>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</si>
  <si>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</si>
  <si>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</si>
  <si>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</si>
  <si>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</si>
  <si>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</si>
  <si>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</si>
  <si>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</si>
  <si>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</si>
  <si>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</si>
  <si>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</si>
  <si>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</si>
  <si>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</si>
  <si>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</si>
  <si>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</si>
  <si>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</si>
  <si>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</si>
  <si>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</si>
  <si>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</si>
  <si>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</si>
  <si>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</si>
  <si>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</si>
  <si>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</si>
  <si>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</si>
  <si>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</si>
  <si>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</si>
  <si>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</si>
  <si>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</si>
  <si>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</si>
  <si>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</si>
  <si>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</si>
  <si>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</si>
  <si>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</si>
  <si>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</si>
  <si>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</si>
  <si>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</si>
  <si>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</si>
  <si>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</si>
  <si>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</si>
  <si>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</si>
  <si>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</si>
  <si>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</si>
  <si>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</si>
  <si>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</si>
  <si>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</si>
  <si>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</si>
  <si>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</si>
  <si>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</si>
  <si>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</si>
  <si>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</si>
  <si>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</si>
  <si>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</si>
  <si>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</si>
  <si>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</si>
  <si>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</si>
  <si>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</si>
  <si>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</si>
  <si>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</si>
  <si>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</si>
  <si>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</si>
  <si>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</si>
  <si>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</si>
  <si>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</si>
  <si>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</si>
  <si>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</si>
  <si>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</si>
  <si>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</si>
  <si>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</si>
  <si>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</si>
  <si>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</si>
  <si>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</si>
  <si>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</si>
  <si>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</si>
  <si>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</si>
  <si>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</si>
  <si>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</si>
  <si>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</si>
  <si>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</si>
  <si>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</si>
  <si>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</si>
  <si>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</si>
  <si>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</si>
  <si>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</si>
  <si>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</si>
  <si>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</si>
  <si>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</si>
  <si>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</si>
  <si>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</si>
  <si>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</si>
  <si>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</si>
  <si>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</si>
  <si>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</si>
  <si>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</si>
  <si>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</si>
  <si>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</si>
  <si>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</si>
  <si>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</si>
  <si>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</si>
  <si>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</si>
  <si>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</si>
  <si>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</si>
  <si>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</si>
  <si>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</si>
  <si>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</si>
  <si>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</si>
  <si>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</si>
  <si>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</si>
  <si>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</si>
  <si>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</si>
  <si>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</si>
  <si>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</si>
  <si>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</si>
  <si>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</si>
  <si>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</si>
  <si>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</si>
  <si>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</si>
  <si>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</si>
  <si>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</si>
  <si>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</si>
  <si>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</si>
  <si>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</si>
  <si>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</si>
  <si>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</si>
  <si>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</si>
  <si>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</si>
  <si>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</si>
  <si>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</si>
  <si>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</si>
  <si>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</si>
  <si>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</si>
  <si>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</si>
  <si>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</si>
  <si>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</si>
  <si>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</si>
  <si>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</si>
  <si>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</si>
  <si>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</si>
  <si>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</si>
  <si>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</si>
  <si>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</si>
  <si>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</si>
  <si>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</si>
  <si>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</si>
  <si>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</si>
  <si>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</si>
  <si>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</si>
  <si>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</si>
  <si>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</si>
  <si>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</si>
  <si>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</si>
  <si>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</si>
  <si>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</si>
  <si>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</si>
  <si>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</si>
  <si>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</si>
  <si>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</si>
  <si>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</si>
  <si>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</si>
  <si>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</si>
  <si>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</si>
  <si>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</si>
  <si>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</si>
  <si>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</si>
  <si>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</si>
  <si>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</si>
  <si>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</si>
  <si>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</si>
  <si>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</si>
  <si>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</si>
  <si>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</si>
  <si>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</si>
  <si>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</si>
  <si>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</si>
  <si>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</si>
  <si>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</si>
  <si>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</si>
  <si>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</si>
  <si>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</si>
  <si>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</si>
  <si>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</si>
  <si>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</si>
  <si>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</si>
  <si>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</si>
  <si>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</si>
  <si>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</si>
  <si>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</si>
  <si>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</si>
  <si>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</si>
  <si>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</si>
  <si>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</si>
  <si>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</si>
  <si>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</si>
  <si>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</si>
  <si>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</si>
  <si>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</si>
  <si>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</si>
  <si>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</si>
  <si>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</si>
  <si>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</si>
  <si>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</si>
  <si>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</si>
  <si>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</si>
  <si>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</si>
  <si>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</si>
  <si>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</si>
  <si>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</si>
  <si>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</si>
  <si>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</si>
  <si>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</si>
  <si>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</si>
  <si>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</si>
  <si>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</si>
  <si>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</si>
  <si>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</si>
  <si>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</si>
  <si>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</si>
  <si>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</si>
  <si>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</si>
  <si>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</si>
  <si>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</si>
  <si>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</si>
  <si>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</si>
  <si>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</si>
  <si>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</si>
  <si>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</si>
  <si>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</si>
  <si>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</si>
  <si>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</si>
  <si>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</si>
  <si>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</si>
  <si>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</si>
  <si>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</si>
  <si>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</si>
  <si>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</si>
  <si>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</si>
  <si>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</si>
  <si>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</si>
  <si>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</si>
  <si>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</si>
  <si>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</si>
  <si>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</si>
  <si>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</si>
  <si>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</si>
  <si>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</si>
  <si>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</si>
  <si>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</si>
  <si>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</si>
  <si>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</si>
  <si>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</si>
  <si>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</si>
  <si>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</si>
  <si>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</si>
  <si>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</si>
  <si>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</si>
  <si>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</si>
  <si>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</si>
  <si>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</si>
  <si>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</si>
  <si>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</si>
  <si>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</si>
  <si>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</si>
  <si>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</si>
  <si>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</si>
  <si>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</si>
  <si>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</si>
  <si>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</si>
  <si>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</si>
  <si>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</si>
  <si>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</si>
  <si>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</si>
  <si>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</si>
  <si>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</si>
  <si>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</si>
  <si>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</si>
  <si>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</si>
  <si>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</si>
  <si>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</si>
  <si>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</si>
  <si>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</si>
  <si>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</si>
  <si>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</si>
  <si>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</si>
  <si>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</si>
  <si>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</si>
  <si>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</si>
  <si>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</si>
  <si>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</si>
  <si>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</si>
  <si>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</si>
  <si>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</si>
  <si>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</si>
  <si>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</si>
  <si>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</si>
  <si>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</si>
  <si>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</si>
  <si>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</si>
  <si>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</si>
  <si>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</si>
  <si>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</si>
  <si>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</si>
  <si>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</si>
  <si>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</si>
  <si>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</si>
  <si>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</si>
  <si>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</si>
  <si>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</si>
  <si>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</si>
  <si>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</si>
  <si>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</si>
  <si>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</si>
  <si>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</si>
  <si>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</si>
  <si>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</si>
  <si>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</si>
  <si>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</si>
  <si>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</si>
  <si>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</si>
  <si>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</si>
  <si>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</si>
  <si>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</si>
  <si>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</si>
  <si>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</si>
  <si>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</si>
  <si>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</si>
  <si>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</si>
  <si>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</si>
  <si>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</si>
  <si>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</si>
  <si>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</si>
  <si>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</si>
  <si>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</si>
  <si>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</si>
  <si>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</si>
  <si>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</si>
  <si>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</si>
  <si>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</si>
  <si>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</si>
  <si>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</si>
  <si>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</si>
  <si>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</si>
  <si>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</si>
  <si>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</si>
  <si>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</si>
  <si>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</si>
  <si>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</si>
  <si>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</si>
  <si>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</si>
  <si>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</si>
  <si>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</si>
  <si>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</si>
  <si>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</si>
  <si>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</si>
  <si>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</si>
  <si>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</si>
  <si>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</si>
  <si>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</si>
  <si>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</si>
  <si>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</si>
  <si>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</si>
  <si>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</si>
  <si>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</si>
  <si>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</si>
  <si>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</si>
  <si>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</si>
  <si>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</si>
  <si>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</si>
  <si>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</si>
  <si>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</si>
  <si>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</si>
  <si>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</si>
  <si>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</si>
  <si>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</si>
  <si>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</si>
  <si>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</si>
  <si>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</si>
  <si>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</si>
  <si>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</si>
  <si>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</si>
  <si>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</si>
  <si>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</si>
  <si>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</si>
  <si>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</si>
  <si>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</si>
  <si>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</si>
  <si>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</si>
  <si>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</si>
  <si>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</si>
  <si>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</si>
  <si>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</si>
  <si>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</si>
  <si>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</si>
  <si>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</si>
  <si>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</si>
  <si>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</si>
  <si>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</si>
  <si>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</si>
  <si>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</si>
  <si>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</si>
  <si>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</si>
  <si>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</si>
  <si>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</si>
  <si>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</si>
  <si>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</si>
  <si>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</si>
  <si>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</si>
  <si>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</si>
  <si>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</si>
  <si>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</si>
  <si>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</si>
  <si>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</si>
  <si>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</si>
  <si>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</si>
  <si>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</si>
  <si>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</si>
  <si>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</si>
  <si>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</si>
  <si>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</si>
  <si>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</si>
  <si>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</si>
  <si>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</si>
  <si>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</si>
  <si>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</si>
  <si>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</si>
  <si>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</si>
  <si>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</si>
  <si>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</si>
  <si>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</si>
  <si>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</si>
  <si>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</si>
  <si>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</si>
  <si>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</si>
  <si>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</si>
  <si>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</si>
  <si>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</si>
  <si>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</si>
  <si>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</si>
  <si>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</si>
  <si>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</si>
  <si>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</si>
  <si>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</si>
  <si>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</si>
  <si>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</si>
  <si>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</si>
  <si>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</si>
  <si>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</si>
  <si>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</si>
  <si>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</si>
  <si>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</si>
  <si>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</si>
  <si>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</si>
  <si>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</si>
  <si>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</si>
  <si>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</si>
  <si>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</si>
  <si>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</si>
  <si>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</si>
  <si>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</si>
  <si>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</si>
  <si>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</si>
  <si>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</si>
  <si>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</si>
  <si>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</si>
  <si>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</si>
  <si>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</si>
  <si>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</si>
  <si>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</si>
  <si>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</si>
  <si>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</si>
  <si>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</si>
  <si>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</si>
  <si>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</si>
  <si>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</si>
  <si>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</si>
  <si>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</si>
  <si>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</si>
  <si>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</si>
  <si>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</si>
  <si>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</si>
  <si>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</si>
  <si>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</si>
  <si>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</si>
  <si>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</si>
  <si>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</si>
  <si>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</si>
  <si>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</si>
  <si>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</si>
  <si>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</si>
  <si>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</si>
  <si>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</si>
  <si>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</si>
  <si>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</si>
  <si>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</si>
  <si>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</si>
  <si>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</si>
  <si>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</si>
  <si>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</si>
  <si>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</si>
  <si>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</si>
  <si>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</si>
  <si>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</si>
  <si>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</si>
  <si>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</si>
  <si>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</si>
  <si>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</si>
  <si>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</si>
  <si>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</si>
  <si>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</si>
  <si>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</si>
  <si>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</si>
  <si>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</si>
  <si>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</si>
  <si>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</si>
  <si>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</si>
  <si>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</si>
  <si>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</si>
  <si>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</si>
  <si>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</si>
  <si>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</si>
  <si>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</si>
  <si>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</si>
  <si>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</si>
  <si>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</si>
  <si>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</si>
  <si>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</si>
  <si>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</si>
  <si>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</si>
  <si>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</si>
  <si>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</si>
  <si>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</si>
  <si>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</si>
  <si>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</si>
  <si>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</si>
  <si>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</si>
  <si>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</si>
  <si>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</si>
  <si>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</si>
  <si>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</si>
  <si>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</si>
  <si>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</si>
  <si>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</si>
  <si>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</si>
  <si>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</si>
  <si>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</si>
  <si>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</si>
  <si>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</si>
  <si>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</si>
  <si>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</si>
  <si>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</si>
  <si>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</si>
  <si>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</si>
  <si>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</si>
  <si>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</si>
  <si>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</si>
  <si>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</si>
  <si>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</si>
  <si>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</si>
  <si>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</si>
  <si>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</si>
  <si>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</si>
  <si>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</si>
  <si>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</si>
  <si>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</si>
  <si>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</si>
  <si>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</si>
  <si>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</si>
  <si>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</si>
  <si>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</si>
  <si>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</si>
  <si>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</si>
  <si>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</si>
  <si>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</si>
  <si>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</si>
  <si>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</si>
  <si>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</si>
  <si>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</si>
  <si>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</si>
  <si>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</si>
  <si>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</si>
  <si>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</si>
  <si>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</si>
  <si>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</si>
  <si>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</si>
  <si>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</si>
  <si>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</si>
  <si>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</si>
  <si>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</si>
  <si>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</si>
  <si>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</si>
  <si>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</si>
  <si>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</si>
  <si>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</si>
  <si>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</si>
  <si>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</si>
  <si>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</si>
  <si>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</si>
  <si>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</si>
  <si>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</si>
  <si>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</si>
  <si>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</si>
  <si>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</si>
  <si>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</si>
  <si>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</si>
  <si>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</si>
  <si>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</si>
  <si>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</si>
  <si>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</si>
  <si>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</si>
  <si>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</si>
  <si>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</si>
  <si>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</si>
  <si>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</si>
  <si>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</si>
  <si>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</si>
  <si>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</si>
  <si>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</si>
  <si>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</si>
  <si>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</si>
  <si>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</si>
  <si>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</si>
  <si>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</si>
  <si>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</si>
  <si>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</si>
  <si>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</si>
  <si>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</si>
  <si>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</si>
  <si>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</si>
  <si>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</si>
  <si>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</si>
  <si>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</si>
  <si>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</si>
  <si>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</si>
  <si>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</si>
  <si>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</si>
  <si>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</si>
  <si>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</si>
  <si>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</si>
  <si>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</si>
  <si>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</si>
  <si>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</si>
  <si>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</si>
  <si>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</si>
  <si>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</si>
  <si>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</si>
  <si>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</si>
  <si>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</si>
  <si>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</si>
  <si>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</si>
  <si>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</si>
  <si>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</si>
  <si>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</si>
  <si>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</si>
  <si>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</si>
  <si>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</si>
  <si>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</si>
  <si>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</si>
  <si>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</si>
  <si>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</si>
  <si>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</si>
  <si>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</si>
  <si>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</si>
  <si>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</si>
  <si>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</si>
  <si>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</si>
  <si>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</si>
  <si>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</si>
  <si>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</si>
  <si>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</si>
  <si>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</si>
  <si>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</si>
  <si>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</si>
  <si>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</si>
  <si>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</si>
  <si>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</si>
  <si>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</si>
  <si>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</si>
  <si>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</si>
  <si>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</si>
  <si>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</si>
  <si>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</si>
  <si>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</si>
  <si>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</si>
  <si>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</si>
  <si>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</si>
  <si>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</si>
  <si>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</si>
  <si>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</si>
  <si>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</si>
  <si>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</si>
  <si>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</si>
  <si>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</si>
  <si>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</si>
  <si>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</si>
  <si>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</si>
  <si>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</si>
  <si>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</si>
  <si>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</si>
  <si>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</si>
  <si>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</si>
  <si>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</si>
  <si>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</si>
  <si>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</si>
  <si>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</si>
  <si>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</si>
  <si>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</si>
  <si>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</si>
  <si>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</si>
  <si>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</si>
  <si>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</si>
  <si>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</si>
  <si>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</si>
  <si>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</si>
  <si>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</si>
  <si>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</si>
  <si>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</si>
  <si>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</si>
  <si>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</si>
  <si>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</si>
  <si>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</si>
  <si>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</si>
  <si>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</si>
  <si>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</si>
  <si>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</si>
  <si>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</si>
  <si>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</si>
  <si>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</si>
  <si>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</si>
  <si>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</si>
  <si>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</si>
  <si>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</si>
  <si>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</si>
  <si>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</si>
  <si>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</si>
  <si>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</si>
  <si>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</si>
  <si>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</si>
  <si>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</si>
  <si>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</si>
  <si>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</si>
  <si>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</si>
  <si>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</si>
  <si>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</si>
  <si>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</si>
  <si>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</si>
  <si>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</si>
  <si>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</si>
  <si>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</si>
  <si>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</si>
  <si>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</si>
  <si>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</si>
  <si>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</si>
  <si>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</si>
  <si>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</si>
  <si>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</si>
  <si>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</si>
  <si>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</si>
  <si>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</si>
  <si>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</si>
  <si>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</si>
  <si>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</si>
  <si>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</si>
  <si>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</si>
  <si>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</si>
  <si>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</si>
  <si>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</si>
  <si>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</si>
  <si>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</si>
  <si>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</si>
  <si>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</si>
  <si>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</si>
  <si>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</si>
  <si>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</si>
  <si>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</si>
  <si>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</si>
  <si>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</si>
  <si>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</si>
  <si>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</si>
  <si>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</si>
  <si>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</si>
  <si>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</si>
  <si>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</si>
  <si>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</si>
  <si>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</si>
  <si>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</si>
  <si>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</si>
  <si>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</si>
  <si>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</si>
  <si>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</si>
  <si>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</si>
  <si>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</si>
  <si>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</si>
  <si>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</si>
  <si>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</si>
  <si>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</si>
  <si>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</si>
  <si>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</si>
  <si>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</si>
  <si>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</si>
  <si>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</si>
  <si>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</si>
  <si>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</si>
  <si>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</si>
  <si>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</si>
  <si>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</si>
  <si>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</si>
  <si>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</si>
  <si>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</si>
  <si>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</si>
  <si>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</si>
  <si>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</si>
  <si>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</si>
  <si>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</si>
  <si>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</si>
  <si>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</si>
  <si>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</si>
  <si>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</si>
  <si>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</si>
  <si>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</si>
  <si>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</si>
  <si>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</si>
  <si>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</si>
  <si>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</si>
  <si>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</si>
  <si>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</si>
  <si>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</si>
  <si>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</si>
  <si>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</si>
  <si>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</si>
  <si>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</si>
  <si>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</si>
  <si>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</si>
  <si>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</si>
  <si>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</si>
  <si>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</si>
  <si>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</si>
  <si>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</si>
  <si>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</si>
  <si>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</si>
  <si>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</si>
  <si>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</si>
  <si>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</si>
  <si>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</si>
  <si>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</si>
  <si>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</si>
  <si>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</si>
  <si>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</si>
  <si>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</si>
  <si>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</si>
  <si>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</si>
  <si>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</si>
  <si>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</si>
  <si>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</si>
  <si>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</si>
  <si>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</si>
  <si>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</si>
  <si>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</si>
  <si>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</si>
  <si>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</si>
  <si>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</si>
  <si>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</si>
  <si>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</si>
  <si>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</si>
  <si>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</si>
  <si>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</si>
  <si>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</si>
  <si>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</si>
  <si>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</si>
  <si>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</si>
  <si>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</si>
  <si>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</si>
  <si>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</si>
  <si>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</si>
  <si>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</si>
  <si>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</si>
  <si>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</si>
  <si>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</si>
  <si>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</si>
  <si>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</si>
  <si>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</si>
  <si>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</si>
  <si>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</si>
  <si>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</si>
  <si>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</si>
  <si>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</si>
  <si>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</si>
  <si>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</si>
  <si>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</si>
  <si>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</si>
  <si>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</si>
  <si>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</si>
  <si>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</si>
  <si>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</si>
  <si>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</si>
  <si>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</si>
  <si>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</si>
  <si>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</si>
  <si>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</si>
  <si>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</si>
  <si>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</si>
  <si>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</si>
  <si>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</si>
  <si>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</si>
  <si>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</si>
  <si>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</si>
  <si>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</si>
  <si>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</si>
  <si>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</si>
  <si>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</si>
  <si>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</si>
  <si>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</si>
  <si>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</si>
  <si>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</si>
  <si>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</si>
  <si>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</si>
  <si>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</si>
  <si>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</si>
  <si>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</si>
  <si>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</si>
  <si>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</si>
  <si>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</si>
  <si>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</si>
  <si>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</si>
  <si>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</si>
  <si>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</si>
  <si>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</si>
  <si>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</si>
  <si>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</si>
  <si>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</si>
  <si>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</si>
  <si>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</si>
  <si>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</si>
  <si>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</si>
  <si>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</si>
  <si>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</si>
  <si>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</si>
  <si>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</si>
  <si>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</si>
  <si>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</si>
  <si>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</si>
  <si>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</si>
  <si>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</si>
  <si>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</si>
  <si>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</si>
  <si>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</si>
  <si>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</si>
  <si>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</si>
  <si>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</si>
  <si>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</si>
  <si>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</si>
  <si>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</si>
  <si>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</si>
  <si>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</si>
  <si>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</si>
  <si>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</si>
  <si>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</si>
  <si>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</si>
  <si>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</si>
  <si>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</si>
  <si>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</si>
  <si>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</si>
  <si>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</si>
  <si>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</si>
  <si>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</si>
  <si>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</si>
  <si>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</si>
  <si>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</si>
  <si>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</si>
  <si>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</si>
  <si>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</si>
  <si>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</si>
  <si>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</si>
  <si>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</si>
  <si>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</si>
  <si>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</si>
  <si>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</si>
  <si>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</si>
  <si>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</si>
  <si>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</si>
  <si>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</si>
  <si>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</si>
  <si>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</si>
  <si>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</si>
  <si>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</si>
  <si>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</si>
  <si>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</si>
  <si>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</si>
  <si>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</si>
  <si>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</si>
  <si>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</si>
  <si>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</si>
  <si>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</si>
  <si>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</si>
  <si>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</si>
  <si>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</si>
  <si>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</si>
  <si>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</si>
  <si>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</si>
  <si>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</si>
  <si>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</si>
  <si>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</si>
  <si>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</si>
  <si>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</si>
  <si>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</si>
  <si>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</si>
  <si>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</si>
  <si>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</si>
  <si>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</si>
  <si>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</si>
  <si>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</si>
  <si>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</si>
  <si>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</si>
  <si>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</si>
  <si>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</si>
  <si>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</si>
  <si>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</si>
  <si>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</si>
  <si>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</si>
  <si>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</si>
  <si>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</si>
  <si>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</si>
  <si>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</si>
  <si>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</si>
  <si>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</si>
  <si>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</si>
  <si>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</si>
  <si>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</si>
  <si>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</si>
  <si>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</si>
  <si>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</si>
  <si>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</si>
  <si>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</si>
  <si>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</si>
  <si>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</si>
  <si>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</si>
  <si>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</si>
  <si>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</si>
  <si>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</si>
  <si>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</si>
  <si>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</si>
  <si>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</si>
  <si>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</si>
  <si>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</si>
  <si>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</si>
  <si>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</si>
  <si>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</si>
  <si>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</si>
  <si>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</si>
  <si>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</si>
  <si>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</si>
  <si>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</si>
  <si>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</si>
  <si>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</si>
  <si>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</si>
  <si>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</si>
  <si>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</si>
  <si>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</si>
  <si>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</si>
  <si>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</si>
  <si>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</si>
  <si>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</si>
  <si>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</si>
  <si>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</si>
  <si>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</si>
  <si>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</si>
  <si>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</si>
  <si>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</si>
  <si>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</si>
  <si>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</si>
  <si>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</si>
  <si>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</si>
  <si>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</si>
  <si>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</si>
  <si>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</si>
  <si>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</si>
  <si>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</si>
  <si>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</si>
  <si>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</si>
  <si>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</si>
  <si>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</si>
  <si>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</si>
  <si>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</si>
  <si>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</si>
  <si>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</si>
  <si>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</si>
  <si>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</si>
  <si>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</si>
  <si>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</si>
  <si>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</si>
  <si>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</si>
  <si>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</si>
  <si>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</si>
  <si>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</si>
  <si>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</si>
  <si>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</si>
  <si>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</si>
  <si>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</si>
  <si>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</si>
  <si>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</si>
  <si>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</si>
  <si>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</si>
  <si>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</si>
  <si>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</si>
  <si>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</si>
  <si>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</si>
  <si>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</si>
  <si>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</si>
  <si>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</si>
  <si>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</si>
  <si>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</si>
  <si>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</si>
  <si>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</si>
  <si>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</si>
  <si>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</si>
  <si>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</si>
  <si>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</si>
  <si>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</si>
  <si>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</si>
  <si>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</si>
  <si>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</si>
  <si>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</si>
  <si>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</si>
  <si>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</si>
  <si>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</si>
  <si>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</si>
  <si>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</si>
  <si>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</si>
  <si>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</si>
  <si>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</si>
  <si>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</si>
  <si>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</si>
  <si>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</si>
  <si>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</si>
  <si>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</si>
  <si>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</si>
  <si>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</si>
  <si>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</si>
  <si>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</si>
  <si>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</si>
  <si>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</si>
  <si>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</si>
  <si>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</si>
  <si>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</si>
  <si>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</si>
  <si>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</si>
  <si>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</si>
  <si>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</si>
  <si>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</si>
  <si>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</si>
  <si>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</si>
  <si>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</si>
  <si>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</si>
  <si>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</si>
  <si>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</si>
  <si>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</si>
  <si>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</si>
  <si>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</si>
  <si>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</si>
  <si>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</si>
  <si>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</si>
  <si>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</si>
  <si>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</si>
  <si>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</si>
  <si>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</si>
  <si>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</si>
  <si>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</si>
  <si>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</si>
  <si>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</si>
  <si>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</si>
  <si>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</si>
  <si>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</si>
  <si>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</si>
  <si>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</si>
  <si>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</si>
  <si>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</si>
  <si>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</si>
  <si>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</si>
  <si>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</si>
  <si>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</si>
  <si>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</si>
  <si>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</si>
  <si>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</si>
  <si>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</si>
  <si>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</si>
  <si>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</si>
  <si>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</si>
  <si>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</si>
  <si>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</si>
  <si>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</si>
  <si>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</si>
  <si>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</si>
  <si>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</si>
  <si>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</si>
  <si>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</si>
  <si>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</si>
  <si>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</si>
  <si>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</si>
  <si>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</si>
  <si>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</si>
  <si>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</si>
  <si>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</si>
  <si>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</si>
  <si>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</si>
  <si>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</si>
  <si>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</si>
  <si>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</si>
  <si>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</si>
  <si>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</si>
  <si>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</si>
  <si>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</si>
  <si>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</si>
  <si>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</si>
  <si>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</si>
  <si>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</si>
  <si>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</si>
  <si>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</si>
  <si>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</si>
  <si>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</si>
  <si>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</si>
  <si>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</si>
  <si>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</si>
  <si>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</si>
  <si>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</si>
  <si>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</si>
  <si>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</si>
  <si>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</si>
  <si>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</si>
  <si>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</si>
  <si>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</si>
  <si>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</si>
  <si>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</si>
  <si>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</si>
  <si>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</si>
  <si>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</si>
  <si>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</si>
  <si>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</si>
  <si>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</si>
  <si>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</si>
  <si>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</si>
  <si>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</si>
  <si>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</si>
  <si>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</si>
  <si>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</si>
  <si>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</si>
  <si>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</si>
  <si>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</si>
  <si>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</si>
  <si>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</si>
  <si>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</si>
  <si>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</si>
  <si>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</si>
  <si>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</si>
  <si>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</si>
  <si>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</si>
  <si>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</si>
  <si>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</si>
  <si>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</si>
  <si>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</si>
  <si>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</si>
  <si>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</si>
  <si>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</si>
  <si>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</si>
  <si>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</si>
  <si>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</si>
  <si>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</si>
  <si>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</si>
  <si>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</si>
  <si>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</si>
  <si>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</si>
  <si>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</si>
  <si>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</si>
  <si>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</si>
  <si>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</si>
  <si>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</si>
  <si>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</si>
  <si>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</si>
  <si>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</si>
  <si>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</si>
  <si>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</si>
  <si>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</si>
  <si>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</si>
  <si>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</si>
  <si>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</si>
  <si>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</si>
  <si>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</si>
  <si>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</si>
  <si>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</si>
  <si>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</si>
  <si>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</si>
  <si>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</si>
  <si>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</si>
  <si>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</si>
  <si>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</si>
  <si>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</si>
  <si>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</si>
  <si>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</si>
  <si>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</si>
  <si>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</si>
  <si>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</si>
  <si>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</si>
  <si>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</si>
  <si>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</si>
  <si>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</si>
  <si>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</si>
  <si>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</si>
  <si>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</si>
  <si>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</si>
  <si>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</si>
  <si>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</si>
  <si>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</si>
  <si>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</si>
  <si>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</si>
  <si>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</si>
  <si>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</si>
  <si>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</si>
  <si>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</si>
  <si>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</si>
  <si>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</si>
  <si>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</si>
  <si>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</si>
  <si>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</si>
  <si>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</si>
  <si>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</si>
  <si>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</si>
  <si>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</si>
  <si>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</si>
  <si>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</si>
  <si>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</si>
  <si>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</si>
  <si>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</si>
  <si>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</si>
  <si>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</si>
  <si>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</si>
  <si>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</si>
  <si>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</si>
  <si>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</si>
  <si>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</si>
  <si>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</si>
  <si>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</si>
  <si>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</si>
  <si>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</si>
  <si>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</si>
  <si>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</si>
  <si>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</si>
  <si>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</si>
  <si>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</si>
  <si>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</si>
  <si>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</si>
  <si>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</si>
  <si>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</si>
  <si>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</si>
  <si>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</si>
  <si>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</si>
  <si>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</si>
  <si>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</si>
  <si>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</si>
  <si>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</si>
  <si>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</si>
  <si>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</si>
  <si>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</si>
  <si>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</si>
  <si>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</si>
  <si>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</si>
  <si>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</si>
  <si>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</si>
  <si>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</si>
  <si>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</si>
  <si>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</si>
  <si>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</si>
  <si>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</si>
  <si>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</si>
  <si>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</si>
  <si>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</si>
  <si>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</si>
  <si>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</si>
  <si>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</si>
  <si>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</si>
  <si>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</si>
  <si>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</si>
  <si>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</si>
  <si>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</si>
  <si>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</si>
  <si>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</si>
  <si>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</si>
  <si>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</si>
  <si>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</si>
  <si>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</si>
  <si>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</si>
  <si>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</si>
  <si>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</si>
  <si>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</si>
  <si>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</si>
  <si>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</si>
  <si>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</si>
  <si>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</si>
  <si>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</si>
  <si>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</si>
  <si>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</si>
  <si>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</si>
  <si>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</si>
  <si>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</si>
  <si>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</si>
  <si>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</si>
  <si>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</si>
  <si>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</si>
  <si>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</si>
  <si>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</si>
  <si>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</si>
  <si>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</si>
  <si>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</si>
  <si>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</si>
  <si>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</si>
  <si>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</si>
  <si>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</si>
  <si>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</si>
  <si>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</si>
  <si>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</si>
  <si>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</si>
  <si>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</si>
  <si>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</si>
  <si>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</si>
  <si>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</si>
  <si>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</si>
  <si>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</si>
  <si>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</si>
  <si>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</si>
  <si>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</si>
  <si>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</si>
  <si>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</si>
  <si>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</si>
  <si>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</si>
  <si>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</si>
  <si>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</si>
  <si>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</si>
  <si>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</si>
  <si>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</si>
  <si>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</si>
  <si>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</si>
  <si>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</si>
  <si>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</si>
  <si>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</si>
  <si>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</si>
  <si>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</si>
  <si>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</si>
  <si>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</si>
  <si>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</si>
  <si>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</si>
  <si>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</si>
  <si>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</si>
  <si>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</si>
  <si>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</si>
  <si>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</si>
  <si>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</si>
  <si>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</si>
  <si>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</si>
  <si>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</si>
  <si>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</si>
  <si>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</si>
  <si>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</si>
  <si>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</si>
  <si>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</si>
  <si>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</si>
  <si>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</si>
  <si>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</si>
  <si>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</si>
  <si>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</si>
  <si>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</si>
  <si>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</si>
  <si>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</si>
  <si>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</si>
  <si>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</si>
  <si>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</si>
  <si>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</si>
  <si>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</si>
  <si>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</si>
  <si>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</si>
  <si>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</si>
  <si>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</si>
  <si>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</si>
  <si>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</si>
  <si>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</si>
  <si>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</si>
  <si>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</si>
  <si>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</si>
  <si>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</si>
  <si>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</si>
  <si>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</si>
  <si>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</si>
  <si>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</si>
  <si>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</si>
  <si>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</si>
  <si>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</si>
  <si>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</si>
  <si>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</si>
  <si>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</si>
  <si>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</si>
  <si>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</si>
  <si>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</si>
  <si>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</si>
  <si>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</si>
  <si>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</si>
  <si>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</si>
  <si>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</si>
  <si>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</si>
  <si>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</si>
  <si>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</si>
  <si>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</si>
  <si>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</si>
  <si>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</si>
  <si>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</si>
  <si>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</si>
  <si>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</si>
  <si>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</si>
  <si>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</si>
  <si>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</si>
  <si>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</si>
  <si>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</si>
  <si>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</si>
  <si>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</si>
  <si>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</si>
  <si>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</si>
  <si>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</si>
  <si>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</si>
  <si>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</si>
  <si>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</si>
  <si>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</si>
  <si>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</si>
  <si>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</si>
  <si>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</si>
  <si>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</si>
  <si>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</si>
  <si>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</si>
  <si>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</si>
  <si>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</si>
  <si>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</si>
  <si>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</si>
  <si>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</si>
  <si>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</si>
  <si>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</si>
  <si>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</si>
  <si>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</si>
  <si>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</si>
  <si>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</si>
  <si>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</si>
  <si>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</si>
  <si>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</si>
  <si>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</si>
  <si>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</si>
  <si>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</si>
  <si>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</si>
  <si>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</si>
  <si>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</si>
  <si>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</si>
  <si>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</si>
  <si>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</si>
  <si>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</si>
  <si>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</si>
  <si>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</si>
  <si>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</si>
  <si>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</si>
  <si>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</si>
  <si>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</si>
  <si>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</si>
  <si>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</si>
  <si>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</si>
  <si>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</si>
  <si>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</si>
  <si>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</si>
  <si>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</si>
  <si>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</si>
  <si>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</si>
  <si>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</si>
  <si>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</si>
  <si>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</si>
  <si>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</si>
  <si>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</si>
  <si>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</si>
  <si>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</si>
  <si>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</si>
  <si>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</si>
  <si>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</si>
  <si>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</si>
  <si>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</si>
  <si>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</si>
  <si>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</si>
  <si>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</si>
  <si>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</si>
  <si>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</si>
  <si>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</si>
  <si>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</si>
  <si>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</si>
  <si>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</si>
  <si>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</si>
  <si>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</si>
  <si>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</si>
  <si>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</si>
  <si>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</si>
  <si>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</si>
  <si>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</si>
  <si>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</si>
  <si>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</si>
  <si>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</si>
  <si>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</si>
  <si>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</si>
  <si>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</si>
  <si>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</si>
  <si>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</si>
  <si>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</si>
  <si>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</si>
  <si>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</si>
  <si>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</si>
  <si>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</si>
  <si>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</si>
  <si>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</si>
  <si>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</si>
  <si>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</si>
  <si>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</si>
  <si>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</si>
  <si>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</si>
  <si>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</si>
  <si>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</si>
  <si>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</si>
  <si>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</si>
  <si>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</si>
  <si>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</si>
  <si>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</si>
  <si>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</si>
  <si>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</si>
  <si>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</si>
  <si>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</si>
  <si>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</si>
  <si>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</si>
  <si>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</si>
  <si>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</si>
  <si>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</si>
  <si>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</si>
  <si>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</si>
  <si>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</si>
  <si>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</si>
  <si>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</si>
  <si>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</si>
  <si>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</si>
  <si>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</si>
  <si>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</si>
  <si>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</si>
  <si>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</si>
  <si>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</si>
  <si>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</si>
  <si>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</si>
  <si>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</si>
  <si>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</si>
  <si>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</si>
  <si>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</si>
  <si>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</si>
  <si>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</si>
  <si>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</si>
  <si>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</si>
  <si>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</si>
  <si>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</si>
  <si>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</si>
  <si>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</si>
  <si>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</si>
  <si>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</si>
  <si>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</si>
  <si>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</si>
  <si>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</si>
  <si>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</si>
  <si>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</si>
  <si>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</si>
  <si>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</si>
  <si>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</si>
  <si>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</si>
  <si>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</si>
  <si>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</si>
  <si>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</si>
  <si>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</si>
  <si>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</si>
  <si>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</si>
  <si>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</si>
  <si>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</si>
  <si>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</si>
  <si>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</si>
  <si>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</si>
  <si>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</si>
  <si>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</si>
  <si>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</si>
  <si>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</si>
  <si>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</si>
  <si>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</si>
  <si>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</si>
  <si>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</si>
  <si>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</si>
  <si>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</si>
  <si>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</si>
  <si>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</si>
  <si>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</si>
  <si>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</si>
  <si>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</si>
  <si>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</si>
  <si>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</si>
  <si>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</si>
  <si>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</si>
  <si>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</si>
  <si>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</si>
  <si>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</si>
  <si>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</si>
  <si>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</si>
  <si>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</si>
  <si>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</si>
  <si>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</si>
  <si>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</si>
  <si>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</si>
  <si>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</si>
  <si>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</si>
  <si>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</si>
  <si>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</si>
  <si>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</si>
  <si>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</si>
  <si>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</si>
  <si>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</si>
  <si>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</si>
  <si>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</si>
  <si>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</si>
  <si>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</si>
  <si>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</si>
  <si>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</si>
  <si>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</si>
  <si>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</si>
  <si>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</si>
  <si>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</si>
  <si>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</si>
  <si>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</si>
  <si>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</si>
  <si>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</si>
  <si>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</si>
  <si>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</si>
  <si>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</si>
  <si>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</si>
  <si>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</si>
  <si>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</si>
  <si>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</si>
  <si>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</si>
  <si>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</si>
  <si>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</si>
  <si>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</si>
  <si>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</si>
  <si>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</si>
  <si>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</si>
  <si>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</si>
  <si>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</si>
  <si>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</si>
  <si>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</si>
  <si>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</si>
  <si>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</si>
  <si>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</si>
  <si>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</si>
  <si>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</si>
  <si>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</si>
  <si>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</si>
  <si>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</si>
  <si>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</si>
  <si>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</si>
  <si>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</si>
  <si>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</si>
  <si>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</si>
  <si>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</si>
  <si>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</si>
  <si>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</si>
  <si>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</si>
  <si>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</si>
  <si>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</si>
  <si>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</si>
  <si>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</si>
  <si>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</si>
  <si>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</si>
  <si>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</si>
  <si>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</si>
  <si>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</si>
  <si>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</si>
  <si>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</si>
  <si>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</si>
  <si>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</si>
  <si>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</si>
  <si>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</si>
  <si>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</si>
  <si>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</si>
  <si>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</si>
  <si>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</si>
  <si>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</si>
  <si>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</si>
  <si>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</si>
  <si>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</si>
  <si>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</si>
  <si>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</si>
  <si>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</si>
  <si>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</si>
  <si>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</si>
  <si>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</si>
  <si>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</si>
  <si>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</si>
  <si>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</si>
  <si>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</si>
  <si>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</si>
  <si>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</si>
  <si>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</si>
  <si>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</si>
  <si>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</si>
  <si>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</si>
  <si>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</si>
  <si>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</si>
  <si>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</si>
  <si>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</si>
  <si>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</si>
  <si>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</si>
  <si>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</si>
  <si>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</si>
  <si>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</si>
  <si>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</si>
  <si>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</si>
  <si>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</si>
  <si>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</si>
  <si>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</si>
  <si>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</si>
  <si>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</si>
  <si>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</si>
  <si>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</si>
  <si>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</si>
  <si>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</si>
  <si>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</si>
  <si>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</si>
  <si>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</si>
  <si>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</si>
  <si>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</si>
  <si>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</si>
  <si>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</si>
  <si>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</si>
  <si>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</si>
  <si>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</si>
  <si>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</si>
  <si>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</si>
  <si>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</si>
  <si>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</si>
  <si>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</si>
  <si>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</si>
  <si>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</si>
  <si>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</si>
  <si>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</si>
  <si>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</si>
  <si>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</si>
  <si>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</si>
  <si>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</si>
  <si>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</si>
  <si>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</si>
  <si>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</si>
  <si>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</si>
  <si>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</si>
  <si>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</si>
  <si>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</si>
  <si>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</si>
  <si>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</si>
  <si>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</si>
  <si>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</si>
  <si>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</si>
  <si>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</si>
  <si>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</si>
  <si>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</si>
  <si>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</si>
  <si>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</si>
  <si>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</si>
  <si>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</si>
  <si>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</si>
  <si>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</si>
  <si>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</si>
  <si>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</si>
  <si>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</si>
  <si>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</si>
  <si>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</si>
  <si>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</si>
  <si>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</si>
  <si>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</si>
  <si>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</si>
  <si>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</si>
  <si>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</si>
  <si>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</si>
  <si>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</si>
  <si>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</si>
  <si>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</si>
  <si>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</si>
  <si>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</si>
  <si>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</si>
  <si>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</si>
  <si>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</si>
  <si>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</si>
  <si>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</si>
  <si>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</si>
  <si>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</si>
  <si>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</si>
  <si>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</si>
  <si>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</si>
  <si>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</si>
  <si>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</si>
  <si>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</si>
  <si>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</si>
  <si>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</si>
  <si>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</si>
  <si>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</si>
  <si>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</si>
  <si>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</si>
  <si>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</si>
  <si>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</si>
  <si>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</si>
  <si>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</si>
  <si>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</si>
  <si>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</si>
  <si>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</si>
  <si>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</si>
  <si>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</si>
  <si>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</si>
  <si>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</si>
  <si>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</si>
  <si>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</si>
  <si>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</si>
  <si>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</si>
  <si>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</si>
  <si>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</si>
  <si>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</si>
  <si>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</si>
  <si>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</si>
  <si>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</si>
  <si>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</si>
  <si>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</si>
  <si>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</si>
  <si>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</si>
  <si>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</si>
  <si>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</si>
  <si>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</si>
  <si>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</si>
  <si>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</si>
  <si>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</si>
  <si>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</si>
  <si>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</si>
  <si>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</si>
  <si>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</si>
  <si>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</si>
  <si>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</si>
  <si>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</si>
  <si>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</si>
  <si>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</si>
  <si>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</si>
  <si>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</si>
  <si>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</si>
  <si>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</si>
  <si>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</si>
  <si>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</si>
  <si>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</si>
  <si>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</si>
  <si>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</si>
  <si>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</si>
  <si>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</si>
  <si>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</si>
  <si>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</si>
  <si>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</si>
  <si>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</si>
  <si>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</si>
  <si>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</si>
  <si>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</si>
  <si>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</si>
  <si>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</si>
  <si>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</si>
  <si>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</si>
  <si>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</si>
  <si>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</si>
  <si>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</si>
  <si>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</si>
  <si>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</si>
  <si>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</si>
  <si>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</si>
  <si>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</si>
  <si>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</si>
  <si>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</si>
  <si>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</si>
  <si>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</si>
  <si>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</si>
  <si>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</si>
  <si>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</si>
  <si>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</si>
  <si>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</si>
  <si>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</si>
  <si>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</si>
  <si>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</si>
  <si>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</si>
  <si>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</si>
  <si>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</si>
  <si>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</si>
  <si>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</si>
  <si>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</si>
  <si>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</si>
  <si>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</si>
  <si>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</si>
  <si>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</si>
  <si>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</si>
  <si>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</si>
  <si>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</si>
  <si>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</si>
  <si>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</si>
  <si>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</si>
  <si>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</si>
  <si>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</si>
  <si>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</si>
  <si>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</si>
  <si>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</si>
  <si>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</si>
  <si>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</si>
  <si>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</si>
  <si>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</si>
  <si>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</si>
  <si>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</si>
  <si>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</si>
  <si>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</si>
  <si>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</si>
  <si>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</si>
  <si>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</si>
  <si>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</si>
  <si>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</si>
  <si>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</si>
  <si>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</si>
  <si>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</si>
  <si>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</si>
  <si>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</si>
  <si>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</si>
  <si>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</si>
  <si>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</si>
  <si>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</si>
  <si>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</si>
  <si>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</si>
  <si>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</si>
  <si>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</si>
  <si>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</si>
  <si>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</si>
  <si>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</si>
  <si>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</si>
  <si>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</si>
  <si>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</si>
  <si>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</si>
  <si>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</si>
  <si>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</si>
  <si>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</si>
  <si>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</si>
  <si>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</si>
  <si>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</si>
  <si>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</si>
  <si>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</si>
  <si>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</si>
  <si>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</si>
  <si>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</si>
  <si>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</si>
  <si>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</si>
  <si>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</si>
  <si>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</si>
  <si>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</si>
  <si>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</si>
  <si>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</si>
  <si>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</si>
  <si>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</si>
  <si>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</si>
  <si>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</si>
  <si>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</si>
  <si>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</si>
  <si>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</si>
  <si>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</si>
  <si>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</si>
  <si>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</si>
  <si>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</si>
  <si>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</si>
  <si>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</si>
  <si>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</si>
  <si>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</si>
  <si>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</si>
  <si>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</si>
  <si>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</si>
  <si>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</si>
  <si>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</si>
  <si>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</si>
  <si>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</si>
  <si>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</si>
  <si>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</si>
  <si>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</si>
  <si>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</si>
  <si>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</si>
  <si>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</si>
  <si>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</si>
  <si>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</si>
  <si>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</si>
  <si>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</si>
  <si>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</si>
  <si>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</si>
  <si>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</si>
  <si>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</si>
  <si>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</si>
  <si>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</si>
  <si>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</si>
  <si>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</si>
  <si>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</si>
  <si>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</si>
  <si>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</si>
  <si>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</si>
  <si>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</si>
  <si>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</si>
  <si>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</si>
  <si>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</si>
  <si>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</si>
  <si>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</si>
  <si>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</si>
  <si>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</si>
  <si>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</si>
  <si>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</si>
  <si>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</si>
  <si>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</si>
  <si>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</si>
  <si>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</si>
  <si>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</si>
  <si>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</si>
  <si>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</si>
  <si>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</si>
  <si>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</si>
  <si>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</si>
  <si>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</si>
  <si>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</si>
  <si>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</si>
  <si>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</si>
  <si>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</si>
  <si>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</si>
  <si>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</si>
  <si>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</si>
  <si>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</si>
  <si>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</si>
  <si>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</si>
  <si>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</si>
  <si>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</si>
  <si>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</si>
  <si>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</si>
  <si>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</si>
  <si>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</si>
  <si>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</si>
  <si>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</si>
  <si>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</si>
  <si>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</si>
  <si>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</si>
  <si>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</si>
  <si>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</si>
  <si>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</si>
  <si>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</si>
  <si>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</si>
  <si>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</si>
  <si>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</si>
  <si>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</si>
  <si>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</si>
  <si>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</si>
  <si>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</si>
  <si>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</si>
  <si>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</si>
  <si>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</si>
  <si>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</si>
  <si>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</si>
  <si>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</si>
  <si>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</si>
  <si>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</si>
  <si>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</si>
  <si>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</si>
  <si>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</si>
  <si>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</si>
  <si>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</si>
  <si>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</si>
  <si>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</si>
  <si>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</si>
  <si>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</si>
  <si>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</si>
  <si>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</si>
  <si>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</si>
  <si>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</si>
  <si>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</si>
  <si>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</si>
  <si>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</si>
  <si>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</si>
  <si>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</si>
  <si>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</si>
  <si>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</si>
  <si>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</si>
  <si>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</si>
  <si>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</si>
  <si>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</si>
  <si>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</si>
  <si>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</si>
  <si>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</si>
  <si>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</si>
  <si>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</si>
  <si>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</si>
  <si>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</si>
  <si>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</si>
  <si>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</si>
  <si>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</si>
  <si>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</si>
  <si>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</si>
  <si>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</si>
  <si>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</si>
  <si>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</si>
  <si>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</si>
  <si>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</si>
  <si>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</si>
  <si>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</si>
  <si>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</si>
  <si>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</si>
  <si>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</si>
  <si>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</si>
  <si>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</si>
  <si>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</si>
  <si>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</si>
  <si>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</si>
  <si>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</si>
  <si>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</si>
  <si>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</si>
  <si>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</si>
  <si>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</si>
  <si>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</si>
  <si>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</si>
  <si>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</si>
  <si>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</si>
  <si>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</si>
  <si>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</si>
  <si>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</si>
  <si>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</si>
  <si>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</si>
  <si>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</si>
  <si>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</si>
  <si>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</si>
  <si>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</si>
  <si>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</si>
  <si>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</si>
  <si>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</si>
  <si>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</si>
  <si>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</si>
  <si>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</si>
  <si>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</si>
  <si>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</si>
  <si>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</si>
  <si>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</si>
  <si>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</si>
  <si>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</si>
  <si>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</si>
  <si>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</si>
  <si>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</si>
  <si>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</si>
  <si>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</si>
  <si>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</si>
  <si>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</si>
  <si>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</si>
  <si>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</si>
  <si>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</si>
  <si>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</si>
  <si>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</si>
  <si>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</si>
  <si>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</si>
  <si>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</si>
  <si>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</si>
  <si>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</si>
  <si>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</si>
  <si>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</si>
  <si>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</si>
  <si>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</si>
  <si>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</si>
  <si>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</si>
  <si>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</si>
  <si>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</si>
  <si>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</si>
  <si>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</si>
  <si>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</si>
  <si>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</si>
  <si>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</si>
  <si>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</si>
  <si>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</si>
  <si>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</si>
  <si>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</si>
  <si>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</si>
  <si>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</si>
  <si>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</si>
  <si>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</si>
  <si>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</si>
  <si>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</si>
  <si>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</si>
  <si>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</si>
  <si>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</si>
  <si>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</si>
  <si>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</si>
  <si>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</si>
  <si>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</si>
  <si>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</si>
  <si>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</si>
  <si>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</si>
  <si>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</si>
  <si>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</si>
  <si>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</si>
  <si>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</si>
  <si>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</si>
  <si>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</si>
  <si>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</si>
  <si>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</si>
  <si>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</si>
  <si>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</si>
  <si>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</si>
  <si>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</si>
  <si>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</si>
  <si>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</si>
  <si>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</si>
  <si>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</si>
  <si>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</si>
  <si>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</si>
  <si>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</si>
  <si>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</si>
  <si>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</si>
  <si>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</si>
  <si>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</si>
  <si>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</si>
  <si>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</si>
  <si>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</si>
  <si>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</si>
  <si>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</si>
  <si>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</si>
  <si>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</si>
  <si>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</si>
  <si>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</si>
  <si>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</si>
  <si>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</si>
  <si>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</si>
  <si>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</si>
  <si>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</si>
  <si>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</si>
  <si>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</si>
  <si>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</si>
  <si>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</si>
  <si>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</si>
  <si>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</si>
  <si>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</si>
  <si>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</si>
  <si>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</si>
  <si>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</si>
  <si>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</si>
  <si>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</si>
  <si>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</si>
  <si>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</si>
  <si>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</si>
  <si>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</si>
  <si>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</si>
  <si>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</si>
  <si>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</si>
  <si>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</si>
  <si>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</si>
  <si>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</si>
  <si>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</si>
  <si>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</si>
  <si>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</si>
  <si>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</si>
  <si>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</si>
  <si>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</si>
  <si>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</si>
  <si>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</si>
  <si>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</si>
  <si>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</si>
  <si>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</si>
  <si>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</si>
  <si>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</si>
  <si>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</si>
  <si>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</si>
  <si>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</si>
  <si>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</si>
  <si>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</si>
  <si>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</si>
  <si>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</si>
  <si>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</si>
  <si>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</si>
  <si>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</si>
  <si>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</si>
  <si>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</si>
  <si>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</si>
  <si>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</si>
  <si>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</si>
  <si>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</si>
  <si>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</si>
  <si>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</si>
  <si>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</si>
  <si>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</si>
  <si>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</si>
  <si>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</si>
  <si>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</si>
  <si>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</si>
  <si>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</si>
  <si>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</si>
  <si>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</si>
  <si>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</si>
  <si>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</si>
  <si>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</si>
  <si>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</si>
  <si>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</si>
  <si>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</si>
  <si>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</si>
  <si>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</si>
  <si>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</si>
  <si>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</si>
  <si>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</si>
  <si>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</si>
  <si>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</si>
  <si>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</si>
  <si>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</si>
  <si>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</si>
  <si>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</si>
  <si>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</si>
  <si>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</si>
  <si>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</si>
  <si>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</si>
  <si>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</si>
  <si>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</si>
  <si>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</si>
  <si>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</si>
  <si>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</si>
  <si>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</si>
  <si>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</si>
  <si>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</si>
  <si>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</si>
  <si>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</si>
  <si>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</si>
  <si>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</si>
  <si>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</si>
  <si>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</si>
  <si>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</si>
  <si>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</si>
  <si>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</si>
  <si>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</si>
  <si>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</si>
  <si>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</si>
  <si>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</si>
  <si>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</si>
  <si>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</si>
  <si>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</si>
  <si>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</si>
  <si>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</si>
  <si>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</si>
  <si>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</si>
  <si>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</si>
  <si>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</si>
  <si>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</si>
  <si>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</si>
  <si>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</si>
  <si>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</si>
  <si>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</si>
  <si>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</si>
  <si>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</si>
  <si>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</si>
  <si>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</si>
  <si>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</si>
  <si>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</si>
  <si>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</si>
  <si>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</si>
  <si>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</si>
  <si>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</si>
  <si>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</si>
  <si>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</si>
  <si>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</si>
  <si>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</si>
  <si>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</si>
  <si>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</si>
  <si>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</si>
  <si>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</si>
  <si>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</si>
  <si>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</si>
  <si>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</si>
  <si>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</si>
  <si>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</si>
  <si>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</si>
  <si>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</si>
  <si>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</si>
  <si>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</si>
  <si>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</si>
  <si>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</si>
  <si>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</si>
  <si>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</si>
  <si>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</si>
  <si>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</si>
  <si>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</si>
  <si>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</si>
  <si>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</si>
  <si>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</si>
  <si>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</si>
  <si>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</si>
  <si>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</si>
  <si>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</si>
  <si>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</si>
  <si>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</si>
  <si>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</si>
  <si>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</si>
  <si>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</si>
  <si>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</si>
  <si>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</si>
  <si>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</si>
  <si>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</si>
  <si>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</si>
  <si>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</si>
  <si>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</si>
  <si>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</si>
  <si>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</si>
  <si>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</si>
  <si>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</si>
  <si>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</si>
  <si>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</si>
  <si>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</si>
  <si>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</si>
  <si>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</si>
  <si>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</si>
  <si>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</si>
  <si>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</si>
  <si>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</si>
  <si>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</si>
  <si>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</si>
  <si>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</si>
  <si>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</si>
  <si>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</si>
  <si>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</si>
  <si>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</si>
  <si>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</si>
  <si>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</si>
  <si>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</si>
  <si>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</si>
  <si>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</si>
  <si>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</si>
  <si>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</si>
  <si>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</si>
  <si>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</si>
  <si>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</si>
  <si>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</si>
  <si>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</si>
  <si>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</si>
  <si>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</si>
  <si>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</si>
  <si>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</si>
  <si>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</si>
  <si>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</si>
  <si>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</si>
  <si>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</si>
  <si>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</si>
  <si>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</si>
  <si>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</si>
  <si>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</si>
  <si>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</si>
  <si>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</si>
  <si>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</si>
  <si>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</si>
  <si>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</si>
  <si>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</si>
  <si>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</si>
  <si>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</si>
  <si>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</si>
  <si>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</si>
  <si>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</si>
  <si>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</si>
  <si>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</si>
  <si>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</si>
  <si>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</si>
  <si>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</si>
  <si>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</si>
  <si>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</si>
  <si>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</si>
  <si>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</si>
  <si>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</si>
  <si>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</si>
  <si>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</si>
  <si>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</si>
  <si>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</si>
  <si>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</si>
  <si>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</si>
  <si>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</si>
  <si>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</si>
  <si>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</si>
  <si>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</si>
  <si>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</si>
  <si>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</si>
  <si>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</si>
  <si>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</si>
  <si>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</si>
  <si>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</si>
  <si>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</si>
  <si>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</si>
  <si>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</si>
  <si>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</si>
  <si>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</si>
  <si>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</si>
  <si>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</si>
  <si>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</si>
  <si>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</si>
  <si>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</si>
  <si>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</si>
  <si>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</si>
  <si>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</si>
  <si>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</si>
  <si>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</si>
  <si>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</si>
  <si>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</si>
  <si>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</si>
  <si>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</si>
  <si>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</si>
  <si>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</si>
  <si>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</si>
  <si>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</si>
  <si>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</si>
  <si>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</si>
  <si>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</si>
  <si>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</si>
  <si>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</si>
  <si>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</si>
  <si>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</si>
  <si>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</si>
  <si>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</si>
  <si>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</si>
  <si>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</si>
  <si>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</si>
  <si>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</si>
  <si>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</si>
  <si>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</si>
  <si>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</si>
  <si>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</si>
  <si>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</si>
  <si>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</si>
  <si>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</si>
  <si>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</si>
  <si>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</si>
  <si>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</si>
  <si>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</si>
  <si>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</si>
  <si>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</si>
  <si>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</si>
  <si>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</si>
  <si>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</si>
  <si>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</si>
  <si>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</si>
  <si>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</si>
  <si>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</si>
  <si>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</si>
  <si>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</si>
  <si>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</si>
  <si>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</si>
  <si>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</si>
  <si>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</si>
  <si>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</si>
  <si>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</si>
  <si>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</si>
  <si>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</si>
  <si>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</si>
  <si>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</si>
  <si>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</si>
  <si>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</si>
  <si>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</si>
  <si>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</si>
  <si>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</si>
  <si>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</si>
  <si>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</si>
  <si>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</si>
  <si>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</si>
  <si>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</si>
  <si>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</si>
  <si>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</si>
  <si>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</si>
  <si>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</si>
  <si>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</si>
  <si>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</si>
  <si>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</si>
  <si>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</si>
  <si>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</si>
  <si>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</si>
  <si>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</si>
  <si>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</si>
  <si>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</si>
  <si>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</si>
  <si>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</si>
  <si>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</si>
  <si>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</si>
  <si>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</si>
  <si>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</si>
  <si>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</si>
  <si>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</si>
  <si>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</si>
  <si>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</si>
  <si>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</si>
  <si>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</si>
  <si>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</si>
  <si>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</si>
  <si>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</si>
  <si>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</si>
  <si>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</si>
  <si>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</si>
  <si>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</si>
  <si>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</si>
  <si>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</si>
  <si>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</si>
  <si>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</si>
  <si>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</si>
  <si>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</si>
  <si>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</si>
  <si>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</si>
  <si>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</si>
  <si>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</si>
  <si>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</si>
  <si>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</si>
  <si>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</si>
  <si>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</si>
  <si>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</si>
  <si>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</si>
  <si>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</si>
  <si>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</si>
  <si>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</si>
  <si>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</si>
  <si>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</si>
  <si>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</si>
  <si>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</si>
  <si>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</si>
  <si>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</si>
  <si>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</si>
  <si>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</si>
  <si>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</si>
  <si>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</si>
  <si>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</si>
  <si>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</si>
  <si>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</si>
  <si>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</si>
  <si>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</si>
  <si>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</si>
  <si>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</si>
  <si>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</si>
  <si>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</si>
  <si>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</si>
  <si>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</si>
  <si>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</si>
  <si>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</si>
  <si>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</si>
  <si>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</si>
  <si>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</si>
  <si>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</si>
  <si>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</si>
  <si>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</si>
  <si>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</si>
  <si>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</si>
  <si>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</si>
  <si>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</si>
  <si>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</si>
  <si>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</si>
  <si>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</si>
  <si>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</si>
  <si>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</si>
  <si>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</si>
  <si>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</si>
  <si>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</si>
  <si>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</si>
  <si>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</si>
  <si>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</si>
  <si>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</si>
  <si>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</si>
  <si>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</si>
  <si>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</si>
  <si>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</si>
  <si>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</si>
  <si>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</si>
  <si>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</si>
  <si>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</si>
  <si>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</si>
  <si>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</si>
  <si>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</si>
  <si>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</si>
  <si>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</si>
  <si>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</si>
  <si>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</si>
  <si>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</si>
  <si>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</si>
  <si>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</si>
  <si>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</si>
  <si>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</si>
  <si>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</si>
  <si>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</si>
  <si>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</si>
  <si>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</si>
  <si>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</si>
  <si>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</si>
  <si>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</si>
  <si>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</si>
  <si>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</si>
  <si>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</si>
  <si>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</si>
  <si>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</si>
  <si>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</si>
  <si>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</si>
  <si>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</si>
  <si>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</si>
  <si>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</si>
  <si>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</si>
  <si>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</si>
  <si>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</si>
  <si>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</si>
  <si>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</si>
  <si>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</si>
  <si>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</si>
  <si>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</si>
  <si>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</si>
  <si>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</si>
  <si>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</si>
  <si>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</si>
  <si>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</si>
  <si>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</si>
  <si>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</si>
  <si>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</si>
  <si>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</si>
  <si>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</si>
  <si>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</si>
  <si>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</si>
  <si>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</si>
  <si>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</si>
  <si>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</si>
  <si>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</si>
  <si>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</si>
  <si>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</si>
  <si>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</si>
  <si>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</si>
  <si>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</si>
  <si>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</si>
  <si>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</si>
  <si>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</si>
  <si>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</si>
  <si>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</si>
  <si>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</si>
  <si>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</si>
  <si>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</si>
  <si>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</si>
  <si>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</si>
  <si>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</si>
  <si>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</si>
  <si>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</si>
  <si>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</si>
  <si>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</si>
  <si>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</si>
  <si>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</si>
  <si>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</si>
  <si>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</si>
  <si>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</si>
  <si>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</si>
  <si>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</si>
  <si>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</si>
  <si>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</si>
  <si>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</si>
  <si>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</si>
  <si>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</si>
  <si>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</si>
  <si>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</si>
  <si>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</si>
  <si>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</si>
  <si>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</si>
  <si>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</si>
  <si>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</si>
  <si>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</si>
  <si>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</si>
  <si>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</si>
  <si>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</si>
  <si>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</si>
  <si>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</si>
  <si>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</si>
  <si>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</si>
  <si>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</si>
  <si>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</si>
  <si>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</si>
  <si>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</si>
  <si>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</si>
  <si>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</si>
  <si>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</si>
  <si>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</si>
  <si>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</si>
  <si>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</si>
  <si>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</si>
  <si>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</si>
  <si>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</si>
  <si>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</si>
  <si>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</si>
  <si>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</si>
  <si>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</si>
  <si>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</si>
  <si>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</si>
  <si>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</si>
  <si>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</si>
  <si>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</si>
  <si>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</si>
  <si>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</si>
  <si>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</si>
  <si>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</si>
  <si>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</si>
  <si>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</si>
  <si>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</si>
  <si>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</si>
  <si>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</si>
  <si>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</si>
  <si>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</si>
  <si>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</si>
  <si>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</si>
  <si>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</si>
  <si>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</si>
  <si>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</si>
  <si>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</si>
  <si>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</si>
  <si>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</si>
  <si>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</si>
  <si>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</si>
  <si>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</si>
  <si>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</si>
  <si>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</si>
  <si>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</si>
  <si>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</si>
  <si>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</si>
  <si>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</si>
  <si>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</si>
  <si>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</si>
  <si>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</si>
  <si>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</si>
  <si>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</si>
  <si>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</si>
  <si>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</si>
  <si>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</si>
  <si>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</si>
  <si>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</si>
  <si>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</si>
  <si>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</si>
  <si>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</si>
  <si>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</si>
  <si>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</si>
  <si>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</si>
  <si>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</si>
  <si>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</si>
  <si>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</si>
  <si>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</si>
  <si>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</si>
  <si>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</si>
  <si>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</si>
  <si>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</si>
  <si>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</si>
  <si>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</si>
  <si>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</si>
  <si>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</si>
  <si>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</si>
  <si>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</si>
  <si>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</si>
  <si>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</si>
  <si>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</si>
  <si>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</si>
  <si>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</si>
  <si>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</si>
  <si>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</si>
  <si>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</si>
  <si>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</si>
  <si>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</si>
  <si>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</si>
  <si>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</si>
  <si>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</si>
  <si>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</si>
  <si>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</si>
  <si>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</si>
  <si>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</si>
  <si>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</si>
  <si>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</si>
  <si>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</si>
  <si>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</si>
  <si>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</si>
  <si>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</si>
  <si>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</si>
  <si>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</si>
  <si>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</si>
  <si>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</si>
  <si>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</si>
  <si>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</si>
  <si>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</si>
  <si>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</si>
  <si>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</si>
  <si>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</si>
  <si>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</si>
  <si>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</si>
  <si>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</si>
  <si>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</si>
  <si>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</si>
  <si>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</si>
  <si>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</si>
  <si>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</si>
  <si>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</si>
  <si>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</si>
  <si>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</si>
  <si>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</si>
  <si>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</si>
  <si>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</si>
  <si>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</si>
  <si>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</si>
  <si>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</si>
  <si>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</si>
  <si>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</si>
  <si>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</si>
  <si>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</si>
  <si>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</si>
  <si>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</si>
  <si>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</si>
  <si>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</si>
  <si>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</si>
  <si>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</si>
  <si>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</si>
  <si>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</si>
  <si>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</si>
  <si>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</si>
  <si>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</si>
  <si>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</si>
  <si>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</si>
  <si>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</si>
  <si>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</si>
  <si>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</si>
  <si>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</si>
  <si>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</si>
  <si>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</si>
  <si>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</si>
  <si>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</si>
  <si>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</si>
  <si>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</si>
  <si>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</si>
  <si>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</si>
  <si>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</si>
  <si>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</si>
  <si>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</si>
  <si>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</si>
  <si>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</si>
  <si>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</si>
  <si>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</si>
  <si>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</si>
  <si>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</si>
  <si>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</si>
  <si>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</si>
  <si>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</si>
  <si>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</si>
  <si>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</si>
  <si>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</si>
  <si>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</si>
  <si>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</si>
  <si>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</si>
  <si>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</si>
  <si>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</si>
  <si>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</si>
  <si>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</si>
  <si>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</si>
  <si>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</si>
  <si>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</si>
  <si>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</si>
  <si>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</si>
  <si>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</si>
  <si>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</si>
  <si>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</si>
  <si>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</si>
  <si>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</si>
  <si>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</si>
  <si>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</si>
  <si>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</si>
  <si>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</si>
  <si>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</si>
  <si>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</si>
  <si>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</si>
  <si>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</si>
  <si>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</si>
  <si>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</si>
  <si>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</si>
  <si>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</si>
  <si>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</si>
  <si>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</si>
  <si>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</si>
  <si>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</si>
  <si>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</si>
  <si>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</si>
  <si>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</si>
  <si>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</si>
  <si>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</si>
  <si>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</si>
  <si>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</si>
  <si>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</si>
  <si>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</si>
  <si>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</si>
  <si>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</si>
  <si>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</si>
  <si>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</si>
  <si>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</si>
  <si>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</si>
  <si>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</si>
  <si>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</si>
  <si>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</si>
  <si>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</si>
  <si>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</si>
  <si>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</si>
  <si>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</si>
  <si>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</si>
  <si>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</si>
  <si>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</si>
  <si>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</si>
  <si>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</si>
  <si>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</si>
  <si>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</si>
  <si>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</si>
  <si>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</si>
  <si>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</si>
  <si>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</si>
  <si>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</si>
  <si>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</si>
  <si>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</si>
  <si>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</si>
  <si>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</si>
  <si>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</si>
  <si>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</si>
  <si>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</si>
  <si>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</si>
  <si>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</si>
  <si>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</si>
  <si>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</si>
  <si>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</si>
  <si>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</si>
  <si>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</si>
  <si>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</si>
  <si>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</si>
  <si>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</si>
  <si>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</si>
  <si>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</si>
  <si>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</si>
  <si>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</si>
  <si>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</si>
  <si>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</si>
  <si>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</si>
  <si>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</si>
  <si>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</si>
  <si>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</si>
  <si>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</si>
  <si>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</si>
  <si>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</si>
  <si>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</si>
  <si>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</si>
  <si>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</si>
  <si>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</si>
  <si>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</si>
  <si>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</si>
  <si>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</si>
  <si>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</si>
  <si>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</si>
  <si>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</si>
  <si>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</si>
  <si>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</si>
  <si>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</si>
  <si>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</si>
  <si>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</si>
  <si>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</si>
  <si>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</si>
  <si>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</si>
  <si>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</si>
  <si>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</si>
  <si>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</si>
  <si>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</si>
  <si>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</si>
  <si>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</si>
  <si>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</si>
  <si>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</si>
  <si>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</si>
  <si>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</si>
  <si>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</si>
  <si>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</si>
  <si>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</si>
  <si>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</si>
  <si>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</si>
  <si>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</si>
  <si>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</si>
  <si>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</si>
  <si>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</si>
  <si>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</si>
  <si>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</si>
  <si>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</si>
  <si>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</si>
  <si>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</si>
  <si>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</si>
  <si>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</si>
  <si>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</si>
  <si>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</si>
  <si>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</si>
  <si>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</si>
  <si>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</si>
  <si>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</si>
  <si>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</si>
  <si>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</si>
  <si>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</si>
  <si>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</si>
  <si>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</si>
  <si>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</si>
  <si>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</si>
  <si>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</si>
  <si>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</si>
  <si>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</si>
  <si>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</si>
  <si>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</si>
  <si>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</si>
  <si>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</si>
  <si>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</si>
  <si>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</si>
  <si>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</si>
  <si>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</si>
  <si>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</si>
  <si>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</si>
  <si>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</si>
  <si>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</si>
  <si>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</si>
  <si>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</si>
  <si>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</si>
  <si>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</si>
  <si>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</si>
  <si>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</si>
  <si>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</si>
  <si>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</si>
  <si>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</si>
  <si>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</si>
  <si>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</si>
  <si>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</si>
  <si>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</si>
  <si>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</si>
  <si>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</si>
  <si>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</si>
  <si>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</si>
  <si>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</si>
  <si>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</si>
  <si>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</si>
  <si>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</si>
  <si>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</si>
  <si>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</si>
  <si>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</si>
  <si>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</si>
  <si>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</si>
  <si>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</si>
  <si>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</si>
  <si>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</si>
  <si>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</si>
  <si>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</si>
  <si>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</si>
  <si>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</si>
  <si>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</si>
  <si>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</si>
  <si>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</si>
  <si>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</si>
  <si>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</si>
  <si>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</si>
  <si>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</si>
  <si>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</si>
  <si>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</si>
  <si>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</si>
  <si>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</si>
  <si>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</si>
  <si>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</si>
  <si>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</si>
  <si>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</si>
  <si>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</si>
  <si>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</si>
  <si>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</si>
  <si>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</si>
  <si>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</si>
  <si>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</si>
  <si>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</si>
  <si>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</si>
  <si>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</si>
  <si>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</si>
  <si>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</si>
  <si>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</si>
  <si>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</si>
  <si>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</si>
  <si>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</si>
  <si>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</si>
  <si>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</si>
  <si>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</si>
  <si>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</si>
  <si>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</si>
  <si>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</si>
  <si>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</si>
  <si>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</si>
  <si>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</si>
  <si>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</si>
  <si>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</si>
  <si>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</si>
  <si>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</si>
  <si>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</si>
  <si>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</si>
  <si>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</si>
  <si>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</si>
  <si>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</si>
  <si>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</si>
  <si>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</si>
  <si>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</si>
  <si>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</si>
  <si>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</si>
  <si>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</si>
  <si>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</si>
  <si>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</si>
  <si>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</si>
  <si>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</si>
  <si>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</si>
  <si>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</si>
  <si>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</si>
  <si>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</si>
  <si>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</si>
  <si>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</si>
  <si>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</si>
  <si>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</si>
  <si>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</si>
  <si>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</si>
  <si>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</si>
  <si>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</si>
  <si>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</si>
  <si>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</si>
  <si>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</si>
  <si>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</si>
  <si>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</si>
  <si>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</si>
  <si>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</si>
  <si>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</si>
  <si>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</si>
  <si>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</si>
  <si>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</si>
  <si>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</si>
  <si>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</si>
  <si>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</si>
  <si>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</si>
  <si>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</si>
  <si>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</si>
  <si>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</si>
  <si>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</si>
  <si>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</si>
  <si>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</si>
  <si>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</si>
  <si>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</si>
  <si>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</si>
  <si>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</si>
  <si>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</si>
  <si>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</si>
  <si>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</si>
  <si>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</si>
  <si>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</si>
  <si>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</si>
  <si>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</si>
  <si>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</si>
  <si>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</si>
  <si>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</si>
  <si>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</si>
  <si>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</si>
  <si>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</si>
  <si>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</si>
  <si>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</si>
  <si>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</si>
  <si>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</si>
  <si>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</si>
  <si>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</si>
  <si>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</si>
  <si>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</si>
  <si>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</si>
  <si>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</si>
  <si>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</si>
  <si>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자체테스트 (군산항 2부두 23번 선석)</t>
    <phoneticPr fontId="2" type="noConversion"/>
  </si>
  <si>
    <t>박성용(헬기)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</si>
  <si>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</si>
  <si>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</si>
  <si>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</si>
  <si>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</si>
  <si>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</si>
  <si>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</si>
  <si>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</si>
  <si>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</si>
  <si>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</si>
  <si>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</si>
  <si>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</si>
  <si>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</si>
  <si>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TPS(1), 동아(2)</t>
    <phoneticPr fontId="2" type="noConversion"/>
  </si>
  <si>
    <t>우신(2)</t>
    <phoneticPr fontId="2" type="noConversion"/>
  </si>
  <si>
    <t>이시맥</t>
    <phoneticPr fontId="2" type="noConversion"/>
  </si>
  <si>
    <t>0160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</si>
  <si>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</si>
  <si>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</si>
  <si>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</si>
  <si>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</si>
  <si>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</si>
  <si>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</si>
  <si>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</si>
  <si>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</si>
  <si>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</si>
  <si>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</si>
  <si>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</si>
  <si>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</si>
  <si>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</si>
  <si>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</si>
  <si>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</si>
  <si>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</si>
  <si>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</si>
  <si>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</si>
  <si>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</si>
  <si>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</si>
  <si>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</si>
  <si>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</si>
  <si>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</si>
  <si>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</si>
  <si>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</si>
  <si>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</si>
  <si>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</si>
  <si>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</si>
  <si>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</si>
  <si>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</si>
  <si>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</si>
  <si>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</si>
  <si>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</si>
  <si>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</si>
  <si>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</si>
  <si>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</si>
  <si>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</si>
  <si>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</si>
  <si>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</si>
  <si>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범양(1), TPS(1)</t>
    <phoneticPr fontId="2" type="noConversion"/>
  </si>
  <si>
    <t>범양(1), 우신(1), 동아(2)</t>
    <phoneticPr fontId="2" type="noConversion"/>
  </si>
  <si>
    <t>승조원 교육 (9명 참석) 잠수함공장 5층 소교육장 / 09:30 ~ 실기/이론</t>
    <phoneticPr fontId="2" type="noConversion"/>
  </si>
  <si>
    <t>? , 서한교</t>
    <phoneticPr fontId="2" type="noConversion"/>
  </si>
  <si>
    <t>HIO(1), 동아(2)</t>
    <phoneticPr fontId="2" type="noConversion"/>
  </si>
  <si>
    <t>이시맥, 박해식</t>
    <phoneticPr fontId="2" type="noConversion"/>
  </si>
  <si>
    <t>HIO(1), 우신(1)</t>
    <phoneticPr fontId="2" type="noConversion"/>
  </si>
  <si>
    <t>자체테스트, 검사준비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</si>
  <si>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</si>
  <si>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</si>
  <si>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</si>
  <si>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</si>
  <si>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</si>
  <si>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</si>
  <si>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</si>
  <si>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</si>
  <si>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</si>
  <si>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</si>
  <si>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</si>
  <si>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</si>
  <si>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</si>
  <si>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</si>
  <si>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</si>
  <si>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</si>
  <si>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</si>
  <si>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</si>
  <si>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</si>
  <si>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</si>
  <si>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</si>
  <si>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</si>
  <si>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</si>
  <si>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</si>
  <si>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</si>
  <si>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</si>
  <si>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</si>
  <si>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작동불량</t>
    <phoneticPr fontId="2" type="noConversion"/>
  </si>
  <si>
    <t>고장 이상 램프 작동 불량, YARD 전장팀과 결선 확인/점검/조치 (10시), STW 검사준비</t>
    <phoneticPr fontId="2" type="noConversion"/>
  </si>
  <si>
    <t>고장 이상 램프 작동 불량, YARD 전장팀과 결선 확인/점검/조치 (10시), STW 검사준비</t>
    <phoneticPr fontId="2" type="noConversion"/>
  </si>
  <si>
    <t>32주</t>
    <phoneticPr fontId="2" type="noConversion"/>
  </si>
  <si>
    <t>사전 점검 (군산항 2부두 23번 선석) / 배관설치 / 모든 유압라인 덴소테이핑 요청</t>
    <phoneticPr fontId="2" type="noConversion"/>
  </si>
  <si>
    <t>코멘트조치(HPU 밸브 &amp; 모터 명판 부착, 가이드로프 8개, 샤클 2개 공급, 그리스니플추가(화기))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</si>
</sst>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8"/>
  <sheetViews>
    <sheetView showGridLines="0" tabSelected="1" topLeftCell="A559" zoomScaleNormal="100" workbookViewId="0">
      <selection activeCell="G562" sqref="G56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6374</v>
      </c>
      <c r="L525" s="459" t="s">
        <v>6702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81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81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3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6708</v>
      </c>
      <c r="D553" s="4" t="s">
        <v>151</v>
      </c>
      <c r="E553" s="786" t="s">
        <v>6710</v>
      </c>
      <c r="F553" s="786">
        <v>7065</v>
      </c>
      <c r="G553" s="16" t="s">
        <v>145</v>
      </c>
      <c r="H553" s="789" t="s">
        <v>6707</v>
      </c>
      <c r="I553" s="786" t="s">
        <v>6312</v>
      </c>
      <c r="J553" s="786"/>
      <c r="K553" s="277" t="s">
        <v>6734</v>
      </c>
      <c r="L553" s="16">
        <v>9080</v>
      </c>
      <c r="M553" s="8">
        <v>1</v>
      </c>
      <c r="N553" s="786"/>
      <c r="O553" s="431"/>
      <c r="P553" s="786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6" t="s">
        <v>202</v>
      </c>
      <c r="J554" s="786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6" t="s">
        <v>6758</v>
      </c>
    </row>
    <row r="555" spans="1:16" s="17" customFormat="1" ht="33" customHeight="1">
      <c r="A555" s="595"/>
      <c r="B555" s="399">
        <v>46245</v>
      </c>
      <c r="C555" s="4" t="s">
        <v>6708</v>
      </c>
      <c r="D555" s="4" t="s">
        <v>151</v>
      </c>
      <c r="E555" s="786" t="s">
        <v>6710</v>
      </c>
      <c r="F555" s="786">
        <v>7065</v>
      </c>
      <c r="G555" s="16" t="s">
        <v>145</v>
      </c>
      <c r="H555" s="789" t="s">
        <v>6707</v>
      </c>
      <c r="I555" s="786" t="s">
        <v>6312</v>
      </c>
      <c r="J555" s="786"/>
      <c r="K555" s="277" t="s">
        <v>6734</v>
      </c>
      <c r="L555" s="16">
        <v>9080</v>
      </c>
      <c r="M555" s="8">
        <v>1</v>
      </c>
      <c r="N555" s="786" t="s">
        <v>6733</v>
      </c>
      <c r="O555" s="431"/>
      <c r="P555" s="786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6787</v>
      </c>
      <c r="G556" s="459" t="s">
        <v>150</v>
      </c>
      <c r="H556" s="453" t="s">
        <v>6739</v>
      </c>
      <c r="I556" s="786" t="s">
        <v>120</v>
      </c>
      <c r="J556" s="786"/>
      <c r="K556" s="125" t="s">
        <v>181</v>
      </c>
      <c r="L556" s="16" t="s">
        <v>6786</v>
      </c>
      <c r="M556" s="8">
        <v>1</v>
      </c>
      <c r="N556" s="786"/>
      <c r="O556" s="431"/>
      <c r="P556" s="786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6797</v>
      </c>
      <c r="I557" s="786" t="s">
        <v>168</v>
      </c>
      <c r="J557" s="786" t="s">
        <v>6796</v>
      </c>
      <c r="K557" s="125" t="s">
        <v>181</v>
      </c>
      <c r="L557" s="16" t="s">
        <v>6735</v>
      </c>
      <c r="M557" s="8">
        <v>2</v>
      </c>
      <c r="N557" s="786" t="s">
        <v>6738</v>
      </c>
      <c r="O557" s="430" t="s">
        <v>6804</v>
      </c>
      <c r="P557" s="786"/>
    </row>
    <row r="558" spans="1:16" s="17" customFormat="1" ht="33" customHeight="1">
      <c r="A558" s="595"/>
      <c r="B558" s="399">
        <v>46246</v>
      </c>
      <c r="C558" s="4" t="s">
        <v>6708</v>
      </c>
      <c r="D558" s="4" t="s">
        <v>151</v>
      </c>
      <c r="E558" s="786" t="s">
        <v>6710</v>
      </c>
      <c r="F558" s="786">
        <v>7065</v>
      </c>
      <c r="G558" s="16" t="s">
        <v>145</v>
      </c>
      <c r="H558" s="789" t="s">
        <v>6707</v>
      </c>
      <c r="I558" s="786" t="s">
        <v>6312</v>
      </c>
      <c r="J558" s="786"/>
      <c r="K558" s="277" t="s">
        <v>6734</v>
      </c>
      <c r="L558" s="16">
        <v>9080</v>
      </c>
      <c r="M558" s="8">
        <v>1</v>
      </c>
      <c r="N558" s="788"/>
      <c r="O558" s="430"/>
      <c r="P558" s="786"/>
    </row>
    <row r="559" spans="1:16" s="17" customFormat="1" ht="33" customHeight="1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6798</v>
      </c>
      <c r="I559" s="786"/>
      <c r="J559" s="786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6803</v>
      </c>
      <c r="P559" s="786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6" t="s">
        <v>4168</v>
      </c>
      <c r="J560" s="786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6801</v>
      </c>
      <c r="P560" s="786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6809</v>
      </c>
      <c r="I561" s="789" t="s">
        <v>6816</v>
      </c>
      <c r="J561" s="786" t="s">
        <v>6679</v>
      </c>
      <c r="K561" s="125" t="s">
        <v>6736</v>
      </c>
      <c r="L561" s="16" t="s">
        <v>4379</v>
      </c>
      <c r="M561" s="8">
        <v>4</v>
      </c>
      <c r="N561" s="788"/>
      <c r="O561" s="430" t="s">
        <v>6802</v>
      </c>
      <c r="P561" s="786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6" t="s">
        <v>6817</v>
      </c>
      <c r="J562" s="786" t="s">
        <v>6819</v>
      </c>
      <c r="K562" s="125" t="s">
        <v>15</v>
      </c>
      <c r="L562" s="16" t="s">
        <v>33</v>
      </c>
      <c r="M562" s="8">
        <v>4</v>
      </c>
      <c r="N562" s="788"/>
      <c r="O562" s="430" t="s">
        <v>6799</v>
      </c>
      <c r="P562" s="786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6820</v>
      </c>
      <c r="I563" s="786" t="s">
        <v>6521</v>
      </c>
      <c r="J563" s="786" t="s">
        <v>6819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6"/>
    </row>
    <row r="564" spans="1:16" s="17" customFormat="1" ht="33" customHeight="1">
      <c r="A564" s="595"/>
      <c r="B564" s="399">
        <v>46247</v>
      </c>
      <c r="C564" s="4" t="s">
        <v>6708</v>
      </c>
      <c r="D564" s="4" t="s">
        <v>151</v>
      </c>
      <c r="E564" s="786" t="s">
        <v>6710</v>
      </c>
      <c r="F564" s="786">
        <v>7065</v>
      </c>
      <c r="G564" s="16" t="s">
        <v>145</v>
      </c>
      <c r="H564" s="789" t="s">
        <v>6707</v>
      </c>
      <c r="I564" s="786" t="s">
        <v>6312</v>
      </c>
      <c r="J564" s="786"/>
      <c r="K564" s="277" t="s">
        <v>6734</v>
      </c>
      <c r="L564" s="16">
        <v>9080</v>
      </c>
      <c r="M564" s="8">
        <v>1</v>
      </c>
      <c r="N564" s="788"/>
      <c r="O564" s="430"/>
      <c r="P564" s="786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6788</v>
      </c>
      <c r="E565" s="786" t="s">
        <v>1787</v>
      </c>
      <c r="F565" s="786" t="s">
        <v>6789</v>
      </c>
      <c r="G565" s="16" t="s">
        <v>6793</v>
      </c>
      <c r="H565" s="789" t="s">
        <v>6794</v>
      </c>
      <c r="I565" s="786"/>
      <c r="J565" s="786" t="s">
        <v>6785</v>
      </c>
      <c r="K565" s="277" t="s">
        <v>6795</v>
      </c>
      <c r="L565" s="16" t="s">
        <v>6765</v>
      </c>
      <c r="M565" s="8">
        <v>2</v>
      </c>
      <c r="N565" s="788"/>
      <c r="O565" s="430" t="s">
        <v>5835</v>
      </c>
      <c r="P565" s="786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6" t="s">
        <v>6836</v>
      </c>
      <c r="F566" s="786" t="s">
        <v>6837</v>
      </c>
      <c r="G566" s="16" t="s">
        <v>6821</v>
      </c>
      <c r="H566" s="789" t="s">
        <v>6863</v>
      </c>
      <c r="I566" s="786" t="s">
        <v>6838</v>
      </c>
      <c r="J566" s="786" t="s">
        <v>641</v>
      </c>
      <c r="K566" s="277" t="s">
        <v>6792</v>
      </c>
      <c r="L566" s="16" t="s">
        <v>6762</v>
      </c>
      <c r="M566" s="8">
        <v>3</v>
      </c>
      <c r="N566" s="788"/>
      <c r="O566" s="430"/>
      <c r="P566" s="786"/>
    </row>
    <row r="567" spans="1:16" s="17" customFormat="1" ht="33" customHeight="1">
      <c r="A567" s="595"/>
      <c r="B567" s="399">
        <v>46248</v>
      </c>
      <c r="C567" s="4" t="s">
        <v>21</v>
      </c>
      <c r="D567" s="4" t="s">
        <v>6788</v>
      </c>
      <c r="E567" s="786" t="s">
        <v>1787</v>
      </c>
      <c r="F567" s="786" t="s">
        <v>6789</v>
      </c>
      <c r="G567" s="16" t="s">
        <v>6790</v>
      </c>
      <c r="H567" s="789" t="s">
        <v>6805</v>
      </c>
      <c r="I567" s="786"/>
      <c r="J567" s="786" t="s">
        <v>6791</v>
      </c>
      <c r="K567" s="277" t="s">
        <v>6792</v>
      </c>
      <c r="L567" s="16" t="s">
        <v>6777</v>
      </c>
      <c r="M567" s="8">
        <v>1</v>
      </c>
      <c r="N567" s="788"/>
      <c r="O567" s="430" t="s">
        <v>6800</v>
      </c>
      <c r="P567" s="786"/>
    </row>
    <row r="568" spans="1:16" s="17" customFormat="1" ht="33" customHeight="1">
      <c r="A568" s="595"/>
      <c r="B568" s="399">
        <v>46248</v>
      </c>
      <c r="C568" s="4" t="s">
        <v>6708</v>
      </c>
      <c r="D568" s="4" t="s">
        <v>151</v>
      </c>
      <c r="E568" s="786" t="s">
        <v>6710</v>
      </c>
      <c r="F568" s="786">
        <v>7065</v>
      </c>
      <c r="G568" s="16" t="s">
        <v>145</v>
      </c>
      <c r="H568" s="789" t="s">
        <v>6707</v>
      </c>
      <c r="I568" s="786" t="s">
        <v>6312</v>
      </c>
      <c r="J568" s="786"/>
      <c r="K568" s="277" t="s">
        <v>6734</v>
      </c>
      <c r="L568" s="16">
        <v>9080</v>
      </c>
      <c r="M568" s="8">
        <v>1</v>
      </c>
      <c r="N568" s="788"/>
      <c r="O568" s="430"/>
      <c r="P568" s="786" t="s">
        <v>6758</v>
      </c>
    </row>
    <row r="569" spans="1:16" s="17" customFormat="1" ht="33" customHeight="1">
      <c r="A569" s="596"/>
      <c r="B569" s="369">
        <v>46249</v>
      </c>
      <c r="C569" s="4" t="s">
        <v>21</v>
      </c>
      <c r="D569" s="4" t="s">
        <v>14</v>
      </c>
      <c r="E569" s="786" t="s">
        <v>6836</v>
      </c>
      <c r="F569" s="786" t="s">
        <v>6837</v>
      </c>
      <c r="G569" s="16" t="s">
        <v>6821</v>
      </c>
      <c r="H569" s="789" t="s">
        <v>6863</v>
      </c>
      <c r="I569" s="786" t="s">
        <v>6838</v>
      </c>
      <c r="J569" s="786" t="s">
        <v>641</v>
      </c>
      <c r="K569" s="277" t="s">
        <v>6792</v>
      </c>
      <c r="L569" s="16" t="s">
        <v>6762</v>
      </c>
      <c r="M569" s="8">
        <v>3</v>
      </c>
      <c r="N569" s="788"/>
      <c r="O569" s="430"/>
      <c r="P569" s="786"/>
    </row>
    <row r="570" spans="1:16" s="17" customFormat="1" ht="33" customHeight="1">
      <c r="A570" s="1082" t="s">
        <v>6744</v>
      </c>
      <c r="B570" s="763" t="s">
        <v>6576</v>
      </c>
      <c r="C570" s="272" t="s">
        <v>21</v>
      </c>
      <c r="D570" s="272" t="s">
        <v>14</v>
      </c>
      <c r="E570" s="765" t="s">
        <v>211</v>
      </c>
      <c r="F570" s="765" t="s">
        <v>5754</v>
      </c>
      <c r="G570" s="766" t="s">
        <v>18</v>
      </c>
      <c r="H570" s="764" t="s">
        <v>6773</v>
      </c>
      <c r="I570" s="765"/>
      <c r="J570" s="764"/>
      <c r="K570" s="767"/>
      <c r="L570" s="766"/>
      <c r="M570" s="768"/>
      <c r="N570" s="769"/>
      <c r="O570" s="774"/>
      <c r="P570" s="786"/>
    </row>
    <row r="571" spans="1:16" s="17" customFormat="1" ht="33" customHeight="1">
      <c r="A571" s="1081"/>
      <c r="B571" s="763" t="s">
        <v>6576</v>
      </c>
      <c r="C571" s="272" t="s">
        <v>21</v>
      </c>
      <c r="D571" s="272" t="s">
        <v>6753</v>
      </c>
      <c r="E571" s="764" t="s">
        <v>6754</v>
      </c>
      <c r="F571" s="765" t="s">
        <v>6750</v>
      </c>
      <c r="G571" s="766" t="s">
        <v>6751</v>
      </c>
      <c r="H571" s="764" t="s">
        <v>6752</v>
      </c>
      <c r="I571" s="765"/>
      <c r="J571" s="764"/>
      <c r="K571" s="767"/>
      <c r="L571" s="766"/>
      <c r="M571" s="768"/>
      <c r="N571" s="769"/>
      <c r="O571" s="774"/>
      <c r="P571" s="786"/>
    </row>
    <row r="572" spans="1:16" s="17" customFormat="1" ht="33" customHeight="1">
      <c r="A572" s="1081"/>
      <c r="B572" s="763" t="s">
        <v>6576</v>
      </c>
      <c r="C572" s="272" t="s">
        <v>21</v>
      </c>
      <c r="D572" s="272" t="s">
        <v>14</v>
      </c>
      <c r="E572" s="765" t="s">
        <v>107</v>
      </c>
      <c r="F572" s="765" t="s">
        <v>3386</v>
      </c>
      <c r="G572" s="766" t="s">
        <v>102</v>
      </c>
      <c r="H572" s="764" t="s">
        <v>6835</v>
      </c>
      <c r="I572" s="765"/>
      <c r="J572" s="765"/>
      <c r="K572" s="767"/>
      <c r="L572" s="766"/>
      <c r="M572" s="768"/>
      <c r="N572" s="765"/>
      <c r="O572" s="790" t="s">
        <v>6743</v>
      </c>
      <c r="P572" s="786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786"/>
      <c r="F574" s="786"/>
      <c r="G574" s="16"/>
      <c r="H574" s="404" t="s">
        <v>6768</v>
      </c>
      <c r="I574" s="786"/>
      <c r="J574" s="786"/>
      <c r="K574" s="277"/>
      <c r="L574" s="16"/>
      <c r="M574" s="8"/>
      <c r="N574" s="31"/>
      <c r="O574" s="431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786" t="s">
        <v>1893</v>
      </c>
      <c r="F575" s="786" t="s">
        <v>4939</v>
      </c>
      <c r="G575" s="16" t="s">
        <v>482</v>
      </c>
      <c r="H575" s="125" t="s">
        <v>3466</v>
      </c>
      <c r="I575" s="786" t="s">
        <v>202</v>
      </c>
      <c r="J575" s="786"/>
      <c r="K575" s="277" t="s">
        <v>6764</v>
      </c>
      <c r="L575" s="16" t="s">
        <v>4550</v>
      </c>
      <c r="M575" s="8">
        <v>1</v>
      </c>
      <c r="N575" s="786"/>
      <c r="O575" s="431"/>
      <c r="P575" s="786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6682</v>
      </c>
      <c r="E576" s="31" t="s">
        <v>6684</v>
      </c>
      <c r="F576" s="31" t="s">
        <v>6685</v>
      </c>
      <c r="G576" s="16" t="s">
        <v>6683</v>
      </c>
      <c r="H576" s="193" t="s">
        <v>6687</v>
      </c>
      <c r="I576" s="786" t="s">
        <v>6818</v>
      </c>
      <c r="J576" s="789" t="s">
        <v>6759</v>
      </c>
      <c r="K576" s="125" t="s">
        <v>6763</v>
      </c>
      <c r="L576" s="16" t="s">
        <v>6762</v>
      </c>
      <c r="M576" s="8">
        <v>2</v>
      </c>
      <c r="N576" s="31"/>
      <c r="O576" s="431"/>
      <c r="P576" s="31"/>
    </row>
    <row r="577" spans="1:16" s="17" customFormat="1" ht="33" customHeight="1">
      <c r="A577" s="595"/>
      <c r="B577" s="399">
        <v>46252</v>
      </c>
      <c r="C577" s="4" t="s">
        <v>6708</v>
      </c>
      <c r="D577" s="4" t="s">
        <v>151</v>
      </c>
      <c r="E577" s="786" t="s">
        <v>6710</v>
      </c>
      <c r="F577" s="786">
        <v>7065</v>
      </c>
      <c r="G577" s="16" t="s">
        <v>145</v>
      </c>
      <c r="H577" s="789" t="s">
        <v>6707</v>
      </c>
      <c r="I577" s="786" t="s">
        <v>6312</v>
      </c>
      <c r="J577" s="786"/>
      <c r="K577" s="277" t="s">
        <v>209</v>
      </c>
      <c r="L577" s="16">
        <v>9080</v>
      </c>
      <c r="M577" s="8">
        <v>1</v>
      </c>
      <c r="N577" s="786"/>
      <c r="O577" s="431"/>
      <c r="P577" s="786"/>
    </row>
    <row r="578" spans="1:16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6774</v>
      </c>
      <c r="I578" s="31"/>
      <c r="J578" s="789" t="s">
        <v>6824</v>
      </c>
      <c r="K578" s="125" t="s">
        <v>6775</v>
      </c>
      <c r="L578" s="16" t="s">
        <v>6778</v>
      </c>
      <c r="M578" s="8">
        <v>4</v>
      </c>
      <c r="N578" s="31"/>
      <c r="O578" s="431"/>
      <c r="P578" s="31"/>
    </row>
    <row r="579" spans="1:16" s="17" customFormat="1" ht="33" customHeight="1">
      <c r="A579" s="595"/>
      <c r="B579" s="399">
        <v>46253</v>
      </c>
      <c r="C579" s="4" t="s">
        <v>21</v>
      </c>
      <c r="D579" s="4" t="s">
        <v>14</v>
      </c>
      <c r="E579" s="786" t="s">
        <v>225</v>
      </c>
      <c r="F579" s="786" t="s">
        <v>3736</v>
      </c>
      <c r="G579" s="16" t="s">
        <v>3286</v>
      </c>
      <c r="H579" s="789" t="s">
        <v>6776</v>
      </c>
      <c r="I579" s="786" t="s">
        <v>3661</v>
      </c>
      <c r="J579" s="789" t="s">
        <v>6827</v>
      </c>
      <c r="K579" s="125" t="s">
        <v>6775</v>
      </c>
      <c r="L579" s="16" t="s">
        <v>6761</v>
      </c>
      <c r="M579" s="8">
        <v>4</v>
      </c>
      <c r="N579" s="786"/>
      <c r="O579" s="431"/>
      <c r="P579" s="786"/>
    </row>
    <row r="580" spans="1:16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786" t="s">
        <v>107</v>
      </c>
      <c r="F580" s="789" t="s">
        <v>6749</v>
      </c>
      <c r="G580" s="16" t="s">
        <v>376</v>
      </c>
      <c r="H580" s="789" t="s">
        <v>6825</v>
      </c>
      <c r="I580" s="786" t="s">
        <v>6826</v>
      </c>
      <c r="J580" s="789"/>
      <c r="K580" s="125" t="s">
        <v>6748</v>
      </c>
      <c r="L580" s="16" t="s">
        <v>4550</v>
      </c>
      <c r="M580" s="8">
        <v>2</v>
      </c>
      <c r="N580" s="786"/>
      <c r="O580" s="430"/>
      <c r="P580" s="786"/>
    </row>
    <row r="581" spans="1:16" s="17" customFormat="1" ht="33" customHeight="1">
      <c r="A581" s="595"/>
      <c r="B581" s="399">
        <v>46253</v>
      </c>
      <c r="C581" s="4" t="s">
        <v>6708</v>
      </c>
      <c r="D581" s="4" t="s">
        <v>151</v>
      </c>
      <c r="E581" s="786" t="s">
        <v>6710</v>
      </c>
      <c r="F581" s="786">
        <v>7065</v>
      </c>
      <c r="G581" s="16" t="s">
        <v>145</v>
      </c>
      <c r="H581" s="789" t="s">
        <v>6707</v>
      </c>
      <c r="I581" s="786" t="s">
        <v>6312</v>
      </c>
      <c r="J581" s="786"/>
      <c r="K581" s="277" t="s">
        <v>209</v>
      </c>
      <c r="L581" s="16">
        <v>9080</v>
      </c>
      <c r="M581" s="8">
        <v>1</v>
      </c>
      <c r="N581" s="786"/>
      <c r="O581" s="431"/>
      <c r="P581" s="786" t="s">
        <v>6767</v>
      </c>
    </row>
    <row r="582" spans="1:16" s="17" customFormat="1" ht="33" customHeight="1">
      <c r="A582" s="595"/>
      <c r="B582" s="399">
        <v>46253</v>
      </c>
      <c r="C582" s="4" t="s">
        <v>21</v>
      </c>
      <c r="D582" s="4" t="s">
        <v>6682</v>
      </c>
      <c r="E582" s="31" t="s">
        <v>6684</v>
      </c>
      <c r="F582" s="31" t="s">
        <v>6685</v>
      </c>
      <c r="G582" s="16" t="s">
        <v>6686</v>
      </c>
      <c r="H582" s="193" t="s">
        <v>6687</v>
      </c>
      <c r="I582" s="31"/>
      <c r="J582" s="193" t="s">
        <v>6781</v>
      </c>
      <c r="K582" s="125" t="s">
        <v>6760</v>
      </c>
      <c r="L582" s="16" t="s">
        <v>6287</v>
      </c>
      <c r="M582" s="8">
        <v>2</v>
      </c>
      <c r="N582" s="422"/>
      <c r="O582" s="430"/>
      <c r="P582" s="31"/>
    </row>
    <row r="583" spans="1:16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786" t="s">
        <v>6704</v>
      </c>
      <c r="F583" s="786" t="s">
        <v>3415</v>
      </c>
      <c r="G583" s="16" t="s">
        <v>23</v>
      </c>
      <c r="H583" s="789" t="s">
        <v>6862</v>
      </c>
      <c r="I583" s="786"/>
      <c r="J583" s="789" t="s">
        <v>6823</v>
      </c>
      <c r="K583" s="125" t="s">
        <v>6764</v>
      </c>
      <c r="L583" s="16" t="s">
        <v>6765</v>
      </c>
      <c r="M583" s="8">
        <v>3</v>
      </c>
      <c r="N583" s="788"/>
      <c r="O583" s="430"/>
      <c r="P583" s="786"/>
    </row>
    <row r="584" spans="1:16" s="17" customFormat="1" ht="33" customHeight="1">
      <c r="A584" s="595"/>
      <c r="B584" s="399">
        <v>46254</v>
      </c>
      <c r="C584" s="4" t="s">
        <v>21</v>
      </c>
      <c r="D584" s="4" t="s">
        <v>14</v>
      </c>
      <c r="E584" s="786" t="s">
        <v>225</v>
      </c>
      <c r="F584" s="786" t="s">
        <v>3736</v>
      </c>
      <c r="G584" s="16" t="s">
        <v>3286</v>
      </c>
      <c r="H584" s="789" t="s">
        <v>6776</v>
      </c>
      <c r="I584" s="786" t="s">
        <v>3661</v>
      </c>
      <c r="J584" s="789" t="s">
        <v>6827</v>
      </c>
      <c r="K584" s="125" t="s">
        <v>6775</v>
      </c>
      <c r="L584" s="16" t="s">
        <v>6761</v>
      </c>
      <c r="M584" s="8">
        <v>4</v>
      </c>
      <c r="N584" s="788"/>
      <c r="O584" s="430"/>
      <c r="P584" s="786"/>
    </row>
    <row r="585" spans="1:16" s="17" customFormat="1" ht="33" customHeight="1">
      <c r="A585" s="595"/>
      <c r="B585" s="399">
        <v>46254</v>
      </c>
      <c r="C585" s="4" t="s">
        <v>6708</v>
      </c>
      <c r="D585" s="4" t="s">
        <v>151</v>
      </c>
      <c r="E585" s="786" t="s">
        <v>6710</v>
      </c>
      <c r="F585" s="786">
        <v>7065</v>
      </c>
      <c r="G585" s="16" t="s">
        <v>145</v>
      </c>
      <c r="H585" s="789" t="s">
        <v>6707</v>
      </c>
      <c r="I585" s="786" t="s">
        <v>6312</v>
      </c>
      <c r="J585" s="786"/>
      <c r="K585" s="277" t="s">
        <v>209</v>
      </c>
      <c r="L585" s="16">
        <v>9080</v>
      </c>
      <c r="M585" s="8">
        <v>1</v>
      </c>
      <c r="N585" s="788"/>
      <c r="O585" s="430"/>
      <c r="P585" s="786"/>
    </row>
    <row r="586" spans="1:16" s="17" customFormat="1" ht="33" customHeight="1">
      <c r="A586" s="595"/>
      <c r="B586" s="399">
        <v>46254</v>
      </c>
      <c r="C586" s="4" t="s">
        <v>21</v>
      </c>
      <c r="D586" s="4" t="s">
        <v>14</v>
      </c>
      <c r="E586" s="786" t="s">
        <v>6704</v>
      </c>
      <c r="F586" s="786" t="s">
        <v>3415</v>
      </c>
      <c r="G586" s="16" t="s">
        <v>23</v>
      </c>
      <c r="H586" s="789" t="s">
        <v>6766</v>
      </c>
      <c r="I586" s="786"/>
      <c r="J586" s="789" t="s">
        <v>6823</v>
      </c>
      <c r="K586" s="125" t="s">
        <v>6764</v>
      </c>
      <c r="L586" s="16" t="s">
        <v>6765</v>
      </c>
      <c r="M586" s="8">
        <v>2</v>
      </c>
      <c r="N586" s="788"/>
      <c r="O586" s="430"/>
      <c r="P586" s="786"/>
    </row>
    <row r="587" spans="1:16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89" t="s">
        <v>6749</v>
      </c>
      <c r="G587" s="16" t="s">
        <v>67</v>
      </c>
      <c r="H587" s="193" t="s">
        <v>6626</v>
      </c>
      <c r="I587" s="31"/>
      <c r="J587" s="193" t="s">
        <v>6746</v>
      </c>
      <c r="K587" s="125" t="s">
        <v>15</v>
      </c>
      <c r="L587" s="16" t="s">
        <v>6747</v>
      </c>
      <c r="M587" s="8">
        <v>1</v>
      </c>
      <c r="N587" s="422"/>
      <c r="O587" s="430" t="s">
        <v>6627</v>
      </c>
      <c r="P587" s="31"/>
    </row>
    <row r="588" spans="1:16" s="17" customFormat="1" ht="33" customHeight="1">
      <c r="A588" s="595"/>
      <c r="B588" s="399">
        <v>46254</v>
      </c>
      <c r="C588" s="4" t="s">
        <v>21</v>
      </c>
      <c r="D588" s="4" t="s">
        <v>6682</v>
      </c>
      <c r="E588" s="31" t="s">
        <v>6684</v>
      </c>
      <c r="F588" s="31" t="s">
        <v>6685</v>
      </c>
      <c r="G588" s="16" t="s">
        <v>6688</v>
      </c>
      <c r="H588" s="193" t="s">
        <v>6755</v>
      </c>
      <c r="I588" s="31"/>
      <c r="J588" s="193" t="s">
        <v>641</v>
      </c>
      <c r="K588" s="125" t="s">
        <v>6763</v>
      </c>
      <c r="L588" s="16" t="s">
        <v>6834</v>
      </c>
      <c r="M588" s="8">
        <v>2</v>
      </c>
      <c r="N588" s="422"/>
      <c r="O588" s="430"/>
      <c r="P588" s="31"/>
    </row>
    <row r="589" spans="1:16" s="17" customFormat="1" ht="33" customHeight="1">
      <c r="A589" s="595"/>
      <c r="B589" s="399">
        <v>46255</v>
      </c>
      <c r="C589" s="4" t="s">
        <v>21</v>
      </c>
      <c r="D589" s="4" t="s">
        <v>14</v>
      </c>
      <c r="E589" s="786" t="s">
        <v>225</v>
      </c>
      <c r="F589" s="786" t="s">
        <v>3736</v>
      </c>
      <c r="G589" s="16" t="s">
        <v>3286</v>
      </c>
      <c r="H589" s="789" t="s">
        <v>6779</v>
      </c>
      <c r="I589" s="786" t="s">
        <v>3661</v>
      </c>
      <c r="J589" s="789" t="s">
        <v>6780</v>
      </c>
      <c r="K589" s="125" t="s">
        <v>15</v>
      </c>
      <c r="L589" s="16" t="s">
        <v>6761</v>
      </c>
      <c r="M589" s="8">
        <v>4</v>
      </c>
      <c r="N589" s="788"/>
      <c r="O589" s="430"/>
      <c r="P589" s="786"/>
    </row>
    <row r="590" spans="1:16" s="17" customFormat="1" ht="33" customHeight="1">
      <c r="A590" s="595"/>
      <c r="B590" s="399">
        <v>46255</v>
      </c>
      <c r="C590" s="4" t="s">
        <v>6708</v>
      </c>
      <c r="D590" s="4" t="s">
        <v>151</v>
      </c>
      <c r="E590" s="786" t="s">
        <v>6710</v>
      </c>
      <c r="F590" s="786">
        <v>7065</v>
      </c>
      <c r="G590" s="16" t="s">
        <v>145</v>
      </c>
      <c r="H590" s="789" t="s">
        <v>6707</v>
      </c>
      <c r="I590" s="786" t="s">
        <v>6312</v>
      </c>
      <c r="J590" s="786"/>
      <c r="K590" s="277" t="s">
        <v>209</v>
      </c>
      <c r="L590" s="16">
        <v>9080</v>
      </c>
      <c r="M590" s="8">
        <v>1</v>
      </c>
      <c r="N590" s="422"/>
      <c r="O590" s="430"/>
      <c r="P590" s="786" t="s">
        <v>6767</v>
      </c>
    </row>
    <row r="591" spans="1:16" s="17" customFormat="1" ht="33" customHeight="1">
      <c r="A591" s="595"/>
      <c r="B591" s="399">
        <v>46255</v>
      </c>
      <c r="C591" s="4"/>
      <c r="D591" s="4"/>
      <c r="E591" s="786"/>
      <c r="F591" s="789"/>
      <c r="G591" s="16"/>
      <c r="H591" s="789"/>
      <c r="I591" s="786"/>
      <c r="J591" s="789"/>
      <c r="K591" s="125"/>
      <c r="L591" s="16"/>
      <c r="M591" s="8"/>
      <c r="N591" s="786"/>
      <c r="O591" s="430" t="s">
        <v>6822</v>
      </c>
      <c r="P591" s="31"/>
    </row>
    <row r="592" spans="1:16" s="17" customFormat="1" ht="33" customHeight="1">
      <c r="A592" s="596"/>
      <c r="B592" s="399">
        <v>46256</v>
      </c>
      <c r="C592" s="4"/>
      <c r="D592" s="4"/>
      <c r="E592" s="291"/>
      <c r="F592" s="31"/>
      <c r="G592" s="16"/>
      <c r="H592" s="193"/>
      <c r="I592" s="31"/>
      <c r="J592" s="31"/>
      <c r="K592" s="125"/>
      <c r="L592" s="16"/>
      <c r="M592" s="8"/>
      <c r="N592" s="31"/>
      <c r="O592" s="432"/>
      <c r="P592" s="31"/>
    </row>
    <row r="593" spans="1:17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7" s="17" customFormat="1" ht="33" customHeight="1">
      <c r="A594" s="594" t="s">
        <v>6332</v>
      </c>
      <c r="B594" s="399">
        <v>46258</v>
      </c>
      <c r="C594" s="4" t="s">
        <v>6726</v>
      </c>
      <c r="D594" s="4" t="s">
        <v>6725</v>
      </c>
      <c r="E594" s="31" t="s">
        <v>6724</v>
      </c>
      <c r="F594" s="31">
        <v>3006</v>
      </c>
      <c r="G594" s="16" t="s">
        <v>6723</v>
      </c>
      <c r="H594" s="193" t="s">
        <v>6729</v>
      </c>
      <c r="I594" s="31"/>
      <c r="J594" s="31" t="s">
        <v>6727</v>
      </c>
      <c r="K594" s="125" t="s">
        <v>6705</v>
      </c>
      <c r="L594" s="16" t="s">
        <v>6728</v>
      </c>
      <c r="M594" s="8">
        <v>1</v>
      </c>
      <c r="N594" s="31"/>
      <c r="O594" s="431"/>
      <c r="P594" s="31"/>
    </row>
    <row r="595" spans="1:17" s="17" customFormat="1" ht="33" customHeight="1">
      <c r="A595" s="595"/>
      <c r="B595" s="399">
        <v>46258</v>
      </c>
      <c r="C595" s="4" t="s">
        <v>6708</v>
      </c>
      <c r="D595" s="4" t="s">
        <v>151</v>
      </c>
      <c r="E595" s="786" t="s">
        <v>6710</v>
      </c>
      <c r="F595" s="786">
        <v>7065</v>
      </c>
      <c r="G595" s="16" t="s">
        <v>145</v>
      </c>
      <c r="H595" s="789" t="s">
        <v>6707</v>
      </c>
      <c r="I595" s="786" t="s">
        <v>6312</v>
      </c>
      <c r="J595" s="786"/>
      <c r="K595" s="277" t="s">
        <v>209</v>
      </c>
      <c r="L595" s="16">
        <v>9080</v>
      </c>
      <c r="M595" s="8">
        <v>1</v>
      </c>
      <c r="N595" s="786"/>
      <c r="O595" s="431"/>
      <c r="P595" s="786"/>
    </row>
    <row r="596" spans="1:17" s="17" customFormat="1" ht="33" customHeight="1">
      <c r="A596" s="595"/>
      <c r="B596" s="399">
        <v>46258</v>
      </c>
      <c r="C596" s="4" t="s">
        <v>21</v>
      </c>
      <c r="D596" s="4" t="s">
        <v>14</v>
      </c>
      <c r="E596" s="786" t="s">
        <v>225</v>
      </c>
      <c r="F596" s="786" t="s">
        <v>3736</v>
      </c>
      <c r="G596" s="16" t="s">
        <v>3286</v>
      </c>
      <c r="H596" s="789" t="s">
        <v>6831</v>
      </c>
      <c r="I596" s="786" t="s">
        <v>6828</v>
      </c>
      <c r="J596" s="786" t="s">
        <v>6829</v>
      </c>
      <c r="K596" s="125" t="s">
        <v>6764</v>
      </c>
      <c r="L596" s="16" t="s">
        <v>6783</v>
      </c>
      <c r="M596" s="8">
        <v>4</v>
      </c>
      <c r="N596" s="786"/>
      <c r="O596" s="431"/>
      <c r="P596" s="786"/>
    </row>
    <row r="597" spans="1:17" s="17" customFormat="1" ht="33" customHeight="1">
      <c r="A597" s="595"/>
      <c r="B597" s="399">
        <v>46258</v>
      </c>
      <c r="C597" s="272" t="s">
        <v>21</v>
      </c>
      <c r="D597" s="272" t="s">
        <v>6753</v>
      </c>
      <c r="E597" s="764" t="s">
        <v>6754</v>
      </c>
      <c r="F597" s="765" t="s">
        <v>6750</v>
      </c>
      <c r="G597" s="766" t="s">
        <v>6751</v>
      </c>
      <c r="H597" s="764" t="s">
        <v>6752</v>
      </c>
      <c r="I597" s="786" t="s">
        <v>168</v>
      </c>
      <c r="J597" s="786" t="s">
        <v>999</v>
      </c>
      <c r="K597" s="125" t="s">
        <v>15</v>
      </c>
      <c r="L597" s="16" t="s">
        <v>4550</v>
      </c>
      <c r="M597" s="8">
        <v>2</v>
      </c>
      <c r="N597" s="786"/>
      <c r="O597" s="431" t="s">
        <v>6853</v>
      </c>
      <c r="P597" s="786"/>
    </row>
    <row r="598" spans="1:17" s="17" customFormat="1" ht="33" customHeight="1">
      <c r="A598" s="595"/>
      <c r="B598" s="399">
        <v>46259</v>
      </c>
      <c r="C598" s="4" t="s">
        <v>6708</v>
      </c>
      <c r="D598" s="4" t="s">
        <v>151</v>
      </c>
      <c r="E598" s="786" t="s">
        <v>6710</v>
      </c>
      <c r="F598" s="786">
        <v>7065</v>
      </c>
      <c r="G598" s="16" t="s">
        <v>145</v>
      </c>
      <c r="H598" s="789" t="s">
        <v>6707</v>
      </c>
      <c r="I598" s="786" t="s">
        <v>6312</v>
      </c>
      <c r="J598" s="786"/>
      <c r="K598" s="277" t="s">
        <v>209</v>
      </c>
      <c r="L598" s="16">
        <v>9080</v>
      </c>
      <c r="M598" s="8">
        <v>1</v>
      </c>
      <c r="N598" s="786"/>
      <c r="O598" s="431"/>
      <c r="P598" s="786"/>
    </row>
    <row r="599" spans="1:17" s="17" customFormat="1" ht="33" customHeight="1">
      <c r="A599" s="595"/>
      <c r="B599" s="399">
        <v>46259</v>
      </c>
      <c r="C599" s="4" t="s">
        <v>21</v>
      </c>
      <c r="D599" s="4" t="s">
        <v>14</v>
      </c>
      <c r="E599" s="786" t="s">
        <v>225</v>
      </c>
      <c r="F599" s="786" t="s">
        <v>3736</v>
      </c>
      <c r="G599" s="16" t="s">
        <v>3286</v>
      </c>
      <c r="H599" s="789" t="s">
        <v>6784</v>
      </c>
      <c r="I599" s="786" t="s">
        <v>6782</v>
      </c>
      <c r="J599" s="786" t="s">
        <v>5606</v>
      </c>
      <c r="K599" s="125" t="s">
        <v>6764</v>
      </c>
      <c r="L599" s="16" t="s">
        <v>6783</v>
      </c>
      <c r="M599" s="8">
        <v>3</v>
      </c>
      <c r="N599" s="786"/>
      <c r="O599" s="431"/>
      <c r="P599" s="786"/>
    </row>
    <row r="600" spans="1:17" s="17" customFormat="1" ht="33" customHeight="1">
      <c r="A600" s="595"/>
      <c r="B600" s="399">
        <v>46259</v>
      </c>
      <c r="C600" s="4" t="s">
        <v>21</v>
      </c>
      <c r="D600" s="4" t="s">
        <v>14</v>
      </c>
      <c r="E600" s="786" t="s">
        <v>225</v>
      </c>
      <c r="F600" s="786" t="s">
        <v>3736</v>
      </c>
      <c r="G600" s="16" t="s">
        <v>3286</v>
      </c>
      <c r="H600" s="789" t="s">
        <v>6830</v>
      </c>
      <c r="I600" s="786" t="s">
        <v>3661</v>
      </c>
      <c r="J600" s="789" t="s">
        <v>6832</v>
      </c>
      <c r="K600" s="125" t="s">
        <v>6764</v>
      </c>
      <c r="L600" s="16" t="s">
        <v>6761</v>
      </c>
      <c r="M600" s="8">
        <v>3</v>
      </c>
      <c r="N600" s="786"/>
      <c r="O600" s="431"/>
      <c r="P600" s="786"/>
    </row>
    <row r="601" spans="1:17" s="17" customFormat="1" ht="33" customHeight="1">
      <c r="A601" s="595"/>
      <c r="B601" s="369">
        <v>46259</v>
      </c>
      <c r="C601" s="4" t="s">
        <v>21</v>
      </c>
      <c r="D601" s="4" t="s">
        <v>14</v>
      </c>
      <c r="E601" s="786" t="s">
        <v>149</v>
      </c>
      <c r="F601" s="786" t="s">
        <v>3415</v>
      </c>
      <c r="G601" s="16" t="s">
        <v>23</v>
      </c>
      <c r="H601" s="789" t="s">
        <v>6347</v>
      </c>
      <c r="I601" s="786" t="s">
        <v>168</v>
      </c>
      <c r="J601" s="786" t="s">
        <v>999</v>
      </c>
      <c r="K601" s="125" t="s">
        <v>15</v>
      </c>
      <c r="L601" s="16" t="s">
        <v>4550</v>
      </c>
      <c r="M601" s="8">
        <v>2</v>
      </c>
      <c r="N601" s="786"/>
      <c r="O601" s="1098"/>
      <c r="P601" s="786"/>
    </row>
    <row r="602" spans="1:17" s="17" customFormat="1" ht="33" customHeight="1">
      <c r="A602" s="595"/>
      <c r="B602" s="399">
        <v>46260</v>
      </c>
      <c r="C602" s="4" t="s">
        <v>6708</v>
      </c>
      <c r="D602" s="4" t="s">
        <v>151</v>
      </c>
      <c r="E602" s="786" t="s">
        <v>6710</v>
      </c>
      <c r="F602" s="786">
        <v>7065</v>
      </c>
      <c r="G602" s="16" t="s">
        <v>145</v>
      </c>
      <c r="H602" s="789" t="s">
        <v>6707</v>
      </c>
      <c r="I602" s="786" t="s">
        <v>6312</v>
      </c>
      <c r="J602" s="786"/>
      <c r="K602" s="277" t="s">
        <v>209</v>
      </c>
      <c r="L602" s="16">
        <v>9080</v>
      </c>
      <c r="M602" s="8">
        <v>1</v>
      </c>
      <c r="N602" s="786"/>
      <c r="O602" s="431"/>
      <c r="P602" s="786"/>
    </row>
    <row r="603" spans="1:17" s="17" customFormat="1" ht="33" customHeight="1">
      <c r="A603" s="595"/>
      <c r="B603" s="399">
        <v>46260</v>
      </c>
      <c r="C603" s="4" t="s">
        <v>21</v>
      </c>
      <c r="D603" s="4" t="s">
        <v>14</v>
      </c>
      <c r="E603" s="786" t="s">
        <v>225</v>
      </c>
      <c r="F603" s="786" t="s">
        <v>3736</v>
      </c>
      <c r="G603" s="16" t="s">
        <v>3286</v>
      </c>
      <c r="H603" s="789" t="s">
        <v>4135</v>
      </c>
      <c r="I603" s="786" t="s">
        <v>6833</v>
      </c>
      <c r="J603" s="789" t="s">
        <v>6832</v>
      </c>
      <c r="K603" s="125" t="s">
        <v>6764</v>
      </c>
      <c r="L603" s="16" t="s">
        <v>6761</v>
      </c>
      <c r="M603" s="8">
        <v>4</v>
      </c>
      <c r="N603" s="786"/>
      <c r="O603" s="431"/>
      <c r="P603" s="786"/>
    </row>
    <row r="604" spans="1:17" s="17" customFormat="1" ht="33" customHeight="1">
      <c r="A604" s="595"/>
      <c r="B604" s="399">
        <v>46260</v>
      </c>
      <c r="C604" s="4" t="s">
        <v>21</v>
      </c>
      <c r="D604" s="4" t="s">
        <v>14</v>
      </c>
      <c r="E604" s="786" t="s">
        <v>149</v>
      </c>
      <c r="F604" s="786" t="s">
        <v>3415</v>
      </c>
      <c r="G604" s="16" t="s">
        <v>23</v>
      </c>
      <c r="H604" s="789" t="s">
        <v>6745</v>
      </c>
      <c r="I604" s="31" t="s">
        <v>168</v>
      </c>
      <c r="J604" s="786" t="s">
        <v>999</v>
      </c>
      <c r="K604" s="125" t="s">
        <v>15</v>
      </c>
      <c r="L604" s="16" t="s">
        <v>6765</v>
      </c>
      <c r="M604" s="8">
        <v>2</v>
      </c>
      <c r="N604" s="422"/>
      <c r="O604" s="430"/>
      <c r="P604" s="31"/>
      <c r="Q604" s="17" t="s">
        <v>6732</v>
      </c>
    </row>
    <row r="605" spans="1:17" s="17" customFormat="1" ht="33" customHeight="1">
      <c r="A605" s="595"/>
      <c r="B605" s="399">
        <v>46261</v>
      </c>
      <c r="C605" s="4" t="s">
        <v>6708</v>
      </c>
      <c r="D605" s="4" t="s">
        <v>151</v>
      </c>
      <c r="E605" s="786" t="s">
        <v>6710</v>
      </c>
      <c r="F605" s="786">
        <v>7065</v>
      </c>
      <c r="G605" s="16" t="s">
        <v>145</v>
      </c>
      <c r="H605" s="789" t="s">
        <v>6707</v>
      </c>
      <c r="I605" s="786" t="s">
        <v>6312</v>
      </c>
      <c r="J605" s="786"/>
      <c r="K605" s="277" t="s">
        <v>209</v>
      </c>
      <c r="L605" s="16">
        <v>9080</v>
      </c>
      <c r="M605" s="8">
        <v>1</v>
      </c>
      <c r="N605" s="788"/>
      <c r="O605" s="430"/>
      <c r="P605" s="786"/>
    </row>
    <row r="606" spans="1:17" s="17" customFormat="1" ht="33" customHeight="1">
      <c r="A606" s="595"/>
      <c r="B606" s="399">
        <v>46261</v>
      </c>
      <c r="C606" s="4" t="s">
        <v>21</v>
      </c>
      <c r="D606" s="4" t="s">
        <v>14</v>
      </c>
      <c r="E606" s="786" t="s">
        <v>225</v>
      </c>
      <c r="F606" s="786" t="s">
        <v>3736</v>
      </c>
      <c r="G606" s="16" t="s">
        <v>3286</v>
      </c>
      <c r="H606" s="789" t="s">
        <v>4609</v>
      </c>
      <c r="I606" s="786" t="s">
        <v>6833</v>
      </c>
      <c r="J606" s="789" t="s">
        <v>6832</v>
      </c>
      <c r="K606" s="125" t="s">
        <v>6764</v>
      </c>
      <c r="L606" s="16" t="s">
        <v>6761</v>
      </c>
      <c r="M606" s="8">
        <v>4</v>
      </c>
      <c r="N606" s="422"/>
      <c r="O606" s="430"/>
      <c r="P606" s="31"/>
      <c r="Q606" s="17" t="s">
        <v>6732</v>
      </c>
    </row>
    <row r="607" spans="1:17" s="17" customFormat="1" ht="33" customHeight="1">
      <c r="A607" s="595"/>
      <c r="B607" s="399">
        <v>46262</v>
      </c>
      <c r="C607" s="4" t="s">
        <v>6708</v>
      </c>
      <c r="D607" s="4" t="s">
        <v>151</v>
      </c>
      <c r="E607" s="786" t="s">
        <v>6710</v>
      </c>
      <c r="F607" s="786">
        <v>7065</v>
      </c>
      <c r="G607" s="16" t="s">
        <v>145</v>
      </c>
      <c r="H607" s="789" t="s">
        <v>6707</v>
      </c>
      <c r="I607" s="786" t="s">
        <v>6312</v>
      </c>
      <c r="J607" s="786"/>
      <c r="K607" s="277" t="s">
        <v>209</v>
      </c>
      <c r="L607" s="16">
        <v>9080</v>
      </c>
      <c r="M607" s="8">
        <v>1</v>
      </c>
      <c r="N607" s="788"/>
      <c r="O607" s="430"/>
      <c r="P607" s="786"/>
    </row>
    <row r="608" spans="1:17" s="17" customFormat="1" ht="33" customHeight="1">
      <c r="A608" s="595"/>
      <c r="B608" s="399">
        <v>46262</v>
      </c>
      <c r="C608" s="4"/>
      <c r="D608" s="4"/>
      <c r="E608" s="31"/>
      <c r="F608" s="31"/>
      <c r="G608" s="16"/>
      <c r="H608" s="193"/>
      <c r="I608" s="31"/>
      <c r="J608" s="193"/>
      <c r="K608" s="125"/>
      <c r="L608" s="16"/>
      <c r="M608" s="8"/>
      <c r="N608" s="422"/>
      <c r="O608" s="430"/>
      <c r="P608" s="31"/>
      <c r="Q608" s="17" t="s">
        <v>6732</v>
      </c>
    </row>
    <row r="609" spans="1:16" s="17" customFormat="1" ht="33" customHeight="1">
      <c r="A609" s="596"/>
      <c r="B609" s="399">
        <v>46263</v>
      </c>
      <c r="C609" s="4"/>
      <c r="D609" s="4"/>
      <c r="E609" s="291"/>
      <c r="F609" s="31"/>
      <c r="G609" s="16"/>
      <c r="H609" s="193"/>
      <c r="I609" s="31"/>
      <c r="J609" s="31"/>
      <c r="K609" s="125"/>
      <c r="L609" s="16"/>
      <c r="M609" s="8"/>
      <c r="N609" s="31"/>
      <c r="O609" s="432"/>
      <c r="P609" s="31"/>
    </row>
    <row r="610" spans="1:16" s="17" customFormat="1" ht="33" customHeight="1">
      <c r="A610" s="322" t="s">
        <v>0</v>
      </c>
      <c r="B610" s="323" t="s">
        <v>1</v>
      </c>
      <c r="C610" s="322" t="s">
        <v>2</v>
      </c>
      <c r="D610" s="322" t="s">
        <v>3</v>
      </c>
      <c r="E610" s="322" t="s">
        <v>4</v>
      </c>
      <c r="F610" s="322" t="s">
        <v>5</v>
      </c>
      <c r="G610" s="322" t="s">
        <v>6</v>
      </c>
      <c r="H610" s="324" t="s">
        <v>7</v>
      </c>
      <c r="I610" s="322" t="s">
        <v>8</v>
      </c>
      <c r="J610" s="322" t="s">
        <v>9</v>
      </c>
      <c r="K610" s="325" t="s">
        <v>10</v>
      </c>
      <c r="L610" s="326" t="s">
        <v>11</v>
      </c>
      <c r="M610" s="322" t="s">
        <v>12</v>
      </c>
      <c r="N610" s="327" t="s">
        <v>13</v>
      </c>
      <c r="O610" s="427" t="s">
        <v>63</v>
      </c>
      <c r="P610" s="322" t="s">
        <v>123</v>
      </c>
    </row>
    <row r="611" spans="1:16" s="17" customFormat="1" ht="33" customHeight="1">
      <c r="A611" s="594" t="s">
        <v>6333</v>
      </c>
      <c r="B611" s="399">
        <v>46265</v>
      </c>
      <c r="C611" s="4"/>
      <c r="D611" s="4"/>
      <c r="E611" s="3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>
        <v>46266</v>
      </c>
      <c r="C612" s="4"/>
      <c r="D612" s="4"/>
      <c r="E612" s="291"/>
      <c r="F612" s="31"/>
      <c r="G612" s="16"/>
      <c r="H612" s="193"/>
      <c r="I612" s="31"/>
      <c r="J612" s="31"/>
      <c r="K612" s="125"/>
      <c r="L612" s="16"/>
      <c r="M612" s="8"/>
      <c r="N612" s="31"/>
      <c r="O612" s="431"/>
      <c r="P612" s="31"/>
    </row>
    <row r="613" spans="1:16" s="17" customFormat="1" ht="33" customHeight="1">
      <c r="A613" s="595"/>
      <c r="B613" s="399">
        <v>46267</v>
      </c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>
        <v>46268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5"/>
      <c r="B615" s="399">
        <v>46269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6" s="17" customFormat="1" ht="33" customHeight="1">
      <c r="A616" s="596"/>
      <c r="B616" s="399">
        <v>46270</v>
      </c>
      <c r="C616" s="4"/>
      <c r="D616" s="4"/>
      <c r="E616" s="291"/>
      <c r="F616" s="31"/>
      <c r="G616" s="16"/>
      <c r="H616" s="193"/>
      <c r="I616" s="31"/>
      <c r="J616" s="31"/>
      <c r="K616" s="125"/>
      <c r="L616" s="16"/>
      <c r="M616" s="8"/>
      <c r="N616" s="31"/>
      <c r="O616" s="432"/>
      <c r="P616" s="31"/>
    </row>
    <row r="617" spans="1:16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6" s="17" customFormat="1" ht="33" customHeight="1">
      <c r="A618" s="594" t="s">
        <v>6769</v>
      </c>
      <c r="B618" s="399">
        <v>46272</v>
      </c>
      <c r="C618" s="4"/>
      <c r="D618" s="4"/>
      <c r="E618" s="3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>
        <v>46273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6" s="17" customFormat="1" ht="33" customHeight="1">
      <c r="A620" s="595"/>
      <c r="B620" s="399">
        <v>46274</v>
      </c>
      <c r="C620" s="4"/>
      <c r="D620" s="4"/>
      <c r="E620" s="31"/>
      <c r="F620" s="31"/>
      <c r="G620" s="16"/>
      <c r="H620" s="193"/>
      <c r="I620" s="31"/>
      <c r="J620" s="193"/>
      <c r="K620" s="125"/>
      <c r="L620" s="16"/>
      <c r="M620" s="8"/>
      <c r="N620" s="422"/>
      <c r="O620" s="430"/>
      <c r="P620" s="31"/>
    </row>
    <row r="621" spans="1:16" s="17" customFormat="1" ht="33" customHeight="1">
      <c r="A621" s="595"/>
      <c r="B621" s="399">
        <v>46275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5"/>
      <c r="B622" s="399">
        <v>46276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6" s="17" customFormat="1" ht="33" customHeight="1">
      <c r="A623" s="596"/>
      <c r="B623" s="399">
        <v>46277</v>
      </c>
      <c r="C623" s="4"/>
      <c r="D623" s="4"/>
      <c r="E623" s="291"/>
      <c r="F623" s="31"/>
      <c r="G623" s="16"/>
      <c r="H623" s="193"/>
      <c r="I623" s="31"/>
      <c r="J623" s="31"/>
      <c r="K623" s="125"/>
      <c r="L623" s="16"/>
      <c r="M623" s="8"/>
      <c r="N623" s="31"/>
      <c r="O623" s="432"/>
      <c r="P623" s="31"/>
    </row>
    <row r="624" spans="1:16" s="17" customFormat="1" ht="33" customHeight="1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>
      <c r="A625" s="594" t="s">
        <v>6770</v>
      </c>
      <c r="B625" s="399">
        <v>46279</v>
      </c>
      <c r="C625" s="4"/>
      <c r="D625" s="4"/>
      <c r="E625" s="3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>
        <v>46280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46281</v>
      </c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>
        <v>46282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5"/>
      <c r="B629" s="399">
        <v>46283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6"/>
      <c r="B630" s="399">
        <v>46284</v>
      </c>
      <c r="C630" s="4"/>
      <c r="D630" s="4"/>
      <c r="E630" s="291"/>
      <c r="F630" s="31"/>
      <c r="G630" s="16"/>
      <c r="H630" s="193"/>
      <c r="I630" s="31"/>
      <c r="J630" s="31"/>
      <c r="K630" s="125"/>
      <c r="L630" s="16"/>
      <c r="M630" s="8"/>
      <c r="N630" s="31"/>
      <c r="O630" s="432"/>
      <c r="P630" s="31"/>
    </row>
    <row r="631" spans="1:16" s="17" customFormat="1" ht="33" customHeight="1">
      <c r="A631" s="322" t="s">
        <v>0</v>
      </c>
      <c r="B631" s="323" t="s">
        <v>1</v>
      </c>
      <c r="C631" s="322" t="s">
        <v>2</v>
      </c>
      <c r="D631" s="322" t="s">
        <v>3</v>
      </c>
      <c r="E631" s="322" t="s">
        <v>4</v>
      </c>
      <c r="F631" s="322" t="s">
        <v>5</v>
      </c>
      <c r="G631" s="322" t="s">
        <v>6</v>
      </c>
      <c r="H631" s="324" t="s">
        <v>7</v>
      </c>
      <c r="I631" s="322" t="s">
        <v>8</v>
      </c>
      <c r="J631" s="322" t="s">
        <v>9</v>
      </c>
      <c r="K631" s="325" t="s">
        <v>10</v>
      </c>
      <c r="L631" s="326" t="s">
        <v>11</v>
      </c>
      <c r="M631" s="322" t="s">
        <v>12</v>
      </c>
      <c r="N631" s="327" t="s">
        <v>13</v>
      </c>
      <c r="O631" s="427" t="s">
        <v>63</v>
      </c>
      <c r="P631" s="322" t="s">
        <v>123</v>
      </c>
    </row>
    <row r="632" spans="1:16" s="17" customFormat="1" ht="33" customHeight="1">
      <c r="A632" s="594" t="s">
        <v>6771</v>
      </c>
      <c r="B632" s="399">
        <v>46286</v>
      </c>
      <c r="C632" s="4"/>
      <c r="D632" s="4"/>
      <c r="E632" s="3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>
        <v>46287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>
        <v>46288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>
        <v>46289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>
        <v>46290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 t="s">
        <v>6772</v>
      </c>
      <c r="P636" s="31"/>
    </row>
    <row r="637" spans="1:16" s="17" customFormat="1" ht="33" customHeight="1">
      <c r="A637" s="596"/>
      <c r="B637" s="399">
        <v>46291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2"/>
      <c r="P637" s="31"/>
    </row>
    <row r="638" spans="1:16" s="17" customFormat="1" ht="33" customHeight="1">
      <c r="A638" s="322" t="s">
        <v>0</v>
      </c>
      <c r="B638" s="323" t="s">
        <v>1</v>
      </c>
      <c r="C638" s="322" t="s">
        <v>2</v>
      </c>
      <c r="D638" s="322" t="s">
        <v>3</v>
      </c>
      <c r="E638" s="322" t="s">
        <v>4</v>
      </c>
      <c r="F638" s="322" t="s">
        <v>5</v>
      </c>
      <c r="G638" s="322" t="s">
        <v>6</v>
      </c>
      <c r="H638" s="324" t="s">
        <v>7</v>
      </c>
      <c r="I638" s="322" t="s">
        <v>8</v>
      </c>
      <c r="J638" s="322" t="s">
        <v>9</v>
      </c>
      <c r="K638" s="325" t="s">
        <v>10</v>
      </c>
      <c r="L638" s="326" t="s">
        <v>11</v>
      </c>
      <c r="M638" s="322" t="s">
        <v>12</v>
      </c>
      <c r="N638" s="327" t="s">
        <v>13</v>
      </c>
      <c r="O638" s="427" t="s">
        <v>63</v>
      </c>
      <c r="P638" s="322" t="s">
        <v>123</v>
      </c>
    </row>
    <row r="639" spans="1:16" s="17" customFormat="1" ht="33" customHeight="1">
      <c r="A639" s="594"/>
      <c r="B639" s="399"/>
      <c r="C639" s="4"/>
      <c r="D639" s="4"/>
      <c r="E639" s="3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>
      <c r="A640" s="595"/>
      <c r="B640" s="399"/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/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6"/>
      <c r="B644" s="399"/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2"/>
      <c r="P644" s="31"/>
    </row>
    <row r="645" spans="1:16" s="17" customFormat="1" ht="33" customHeight="1">
      <c r="A645" s="322" t="s">
        <v>0</v>
      </c>
      <c r="B645" s="323" t="s">
        <v>1</v>
      </c>
      <c r="C645" s="322" t="s">
        <v>2</v>
      </c>
      <c r="D645" s="322" t="s">
        <v>3</v>
      </c>
      <c r="E645" s="322" t="s">
        <v>4</v>
      </c>
      <c r="F645" s="322" t="s">
        <v>5</v>
      </c>
      <c r="G645" s="322" t="s">
        <v>6</v>
      </c>
      <c r="H645" s="324" t="s">
        <v>7</v>
      </c>
      <c r="I645" s="322" t="s">
        <v>8</v>
      </c>
      <c r="J645" s="322" t="s">
        <v>9</v>
      </c>
      <c r="K645" s="325" t="s">
        <v>10</v>
      </c>
      <c r="L645" s="326" t="s">
        <v>11</v>
      </c>
      <c r="M645" s="322" t="s">
        <v>12</v>
      </c>
      <c r="N645" s="327" t="s">
        <v>13</v>
      </c>
      <c r="O645" s="427" t="s">
        <v>63</v>
      </c>
      <c r="P645" s="322" t="s">
        <v>123</v>
      </c>
    </row>
    <row r="646" spans="1:16" s="17" customFormat="1" ht="33" customHeight="1">
      <c r="A646" s="594"/>
      <c r="B646" s="399"/>
      <c r="C646" s="4"/>
      <c r="D646" s="4"/>
      <c r="E646" s="3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>
      <c r="A647" s="595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6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2"/>
      <c r="P651" s="31"/>
    </row>
    <row r="652" spans="1:16" s="17" customFormat="1" ht="33" customHeight="1">
      <c r="A652" s="322" t="s">
        <v>0</v>
      </c>
      <c r="B652" s="323" t="s">
        <v>1</v>
      </c>
      <c r="C652" s="322" t="s">
        <v>2</v>
      </c>
      <c r="D652" s="322" t="s">
        <v>3</v>
      </c>
      <c r="E652" s="322" t="s">
        <v>4</v>
      </c>
      <c r="F652" s="322" t="s">
        <v>5</v>
      </c>
      <c r="G652" s="322" t="s">
        <v>6</v>
      </c>
      <c r="H652" s="324" t="s">
        <v>7</v>
      </c>
      <c r="I652" s="322" t="s">
        <v>8</v>
      </c>
      <c r="J652" s="322" t="s">
        <v>9</v>
      </c>
      <c r="K652" s="325" t="s">
        <v>10</v>
      </c>
      <c r="L652" s="326" t="s">
        <v>11</v>
      </c>
      <c r="M652" s="322" t="s">
        <v>12</v>
      </c>
      <c r="N652" s="327" t="s">
        <v>13</v>
      </c>
      <c r="O652" s="427" t="s">
        <v>63</v>
      </c>
      <c r="P652" s="322" t="s">
        <v>123</v>
      </c>
    </row>
    <row r="653" spans="1:16" s="17" customFormat="1" ht="33" customHeight="1">
      <c r="A653" s="594"/>
      <c r="B653" s="399"/>
      <c r="C653" s="4"/>
      <c r="D653" s="4"/>
      <c r="E653" s="3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6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2"/>
      <c r="P658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0" activePane="bottomLeft" state="frozen"/>
      <selection pane="bottomLeft" activeCell="I1607" sqref="I16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6840</v>
      </c>
      <c r="D1600" s="726" t="s">
        <v>219</v>
      </c>
      <c r="E1600" s="632" t="s">
        <v>151</v>
      </c>
      <c r="F1600" s="633" t="s">
        <v>5254</v>
      </c>
      <c r="G1600" s="783" t="s">
        <v>6841</v>
      </c>
      <c r="H1600" s="783" t="s">
        <v>263</v>
      </c>
      <c r="I1600" s="787" t="s">
        <v>6842</v>
      </c>
      <c r="J1600" s="633" t="s">
        <v>737</v>
      </c>
      <c r="K1600" s="787" t="s">
        <v>3035</v>
      </c>
      <c r="L1600" s="703" t="s">
        <v>6843</v>
      </c>
      <c r="M1600" s="784">
        <f>250000*5</f>
        <v>1250000</v>
      </c>
      <c r="N1600" s="26"/>
    </row>
    <row r="1601" spans="1:14" ht="27">
      <c r="A1601" s="1099">
        <v>32</v>
      </c>
      <c r="B1601" s="798"/>
      <c r="C1601" s="399" t="s">
        <v>6846</v>
      </c>
      <c r="D1601" s="726" t="s">
        <v>219</v>
      </c>
      <c r="E1601" s="632" t="s">
        <v>151</v>
      </c>
      <c r="F1601" s="633" t="s">
        <v>5254</v>
      </c>
      <c r="G1601" s="783" t="s">
        <v>5847</v>
      </c>
      <c r="H1601" s="783" t="s">
        <v>6844</v>
      </c>
      <c r="I1601" s="787" t="s">
        <v>6848</v>
      </c>
      <c r="J1601" s="633" t="s">
        <v>6850</v>
      </c>
      <c r="K1601" s="787" t="s">
        <v>3702</v>
      </c>
      <c r="L1601" s="703" t="s">
        <v>6843</v>
      </c>
      <c r="M1601" s="784">
        <f>250000*2</f>
        <v>500000</v>
      </c>
      <c r="N1601" s="26"/>
    </row>
    <row r="1602" spans="1:14" ht="27">
      <c r="A1602" s="1099">
        <v>32</v>
      </c>
      <c r="B1602" s="798"/>
      <c r="C1602" s="399" t="s">
        <v>6847</v>
      </c>
      <c r="D1602" s="726" t="s">
        <v>219</v>
      </c>
      <c r="E1602" s="632" t="s">
        <v>151</v>
      </c>
      <c r="F1602" s="633" t="s">
        <v>5254</v>
      </c>
      <c r="G1602" s="783">
        <v>308</v>
      </c>
      <c r="H1602" s="783" t="s">
        <v>6845</v>
      </c>
      <c r="I1602" s="787" t="s">
        <v>6849</v>
      </c>
      <c r="J1602" s="633" t="s">
        <v>168</v>
      </c>
      <c r="K1602" s="787" t="s">
        <v>4943</v>
      </c>
      <c r="L1602" s="703" t="s">
        <v>6843</v>
      </c>
      <c r="M1602" s="784">
        <f>250000*3</f>
        <v>750000</v>
      </c>
      <c r="N1602" s="26"/>
    </row>
    <row r="1603" spans="1:14" ht="27">
      <c r="A1603" s="1099">
        <v>32</v>
      </c>
      <c r="B1603" s="798"/>
      <c r="C1603" s="399" t="s">
        <v>6854</v>
      </c>
      <c r="D1603" s="726" t="s">
        <v>219</v>
      </c>
      <c r="E1603" s="632" t="s">
        <v>151</v>
      </c>
      <c r="F1603" s="633" t="s">
        <v>5254</v>
      </c>
      <c r="G1603" s="783">
        <v>308</v>
      </c>
      <c r="H1603" s="783" t="s">
        <v>6845</v>
      </c>
      <c r="I1603" s="787" t="s">
        <v>6855</v>
      </c>
      <c r="J1603" s="633" t="s">
        <v>90</v>
      </c>
      <c r="K1603" s="787" t="s">
        <v>6856</v>
      </c>
      <c r="L1603" s="703"/>
      <c r="M1603" s="784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89" t="s">
        <v>6851</v>
      </c>
      <c r="J1604" s="786" t="s">
        <v>168</v>
      </c>
      <c r="K1604" s="786" t="s">
        <v>6796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89" t="s">
        <v>6852</v>
      </c>
      <c r="J1605" s="786" t="s">
        <v>168</v>
      </c>
      <c r="K1605" s="786" t="s">
        <v>6796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6" t="s">
        <v>4168</v>
      </c>
      <c r="K1606" s="786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6756</v>
      </c>
      <c r="I1607" s="453" t="s">
        <v>6820</v>
      </c>
      <c r="J1607" s="786" t="s">
        <v>6521</v>
      </c>
      <c r="K1607" s="786" t="s">
        <v>6819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6788</v>
      </c>
      <c r="F1608" s="786" t="s">
        <v>1787</v>
      </c>
      <c r="G1608" s="786" t="s">
        <v>6789</v>
      </c>
      <c r="H1608" s="16" t="s">
        <v>6793</v>
      </c>
      <c r="I1608" s="789" t="s">
        <v>6794</v>
      </c>
      <c r="J1608" s="786"/>
      <c r="K1608" s="786" t="s">
        <v>6785</v>
      </c>
      <c r="L1608" s="277" t="s">
        <v>6795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6788</v>
      </c>
      <c r="F1609" s="786" t="s">
        <v>1787</v>
      </c>
      <c r="G1609" s="786" t="s">
        <v>6789</v>
      </c>
      <c r="H1609" s="16" t="s">
        <v>6790</v>
      </c>
      <c r="I1609" s="789" t="s">
        <v>6859</v>
      </c>
      <c r="J1609" s="786"/>
      <c r="K1609" s="786" t="s">
        <v>6791</v>
      </c>
      <c r="L1609" s="277" t="s">
        <v>6792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6" t="s">
        <v>6836</v>
      </c>
      <c r="G1610" s="786" t="s">
        <v>6837</v>
      </c>
      <c r="H1610" s="16" t="s">
        <v>6821</v>
      </c>
      <c r="I1610" s="789" t="s">
        <v>6839</v>
      </c>
      <c r="J1610" s="786" t="s">
        <v>6838</v>
      </c>
      <c r="K1610" s="786" t="s">
        <v>641</v>
      </c>
      <c r="L1610" s="277" t="s">
        <v>6792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5550000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1</v>
      </c>
      <c r="C11" s="998">
        <f>'사전품의양식 (12)'!L8</f>
        <v>3250000</v>
      </c>
      <c r="D11" s="998"/>
    </row>
    <row r="12" spans="1:4">
      <c r="A12" s="589" t="s">
        <v>4859</v>
      </c>
      <c r="B12" s="589">
        <v>4</v>
      </c>
      <c r="C12" s="998">
        <f>'사전품의양식 (12)'!L16</f>
        <v>2300000</v>
      </c>
      <c r="D12" s="998"/>
    </row>
    <row r="13" spans="1:4">
      <c r="A13" s="591" t="s">
        <v>53</v>
      </c>
      <c r="B13" s="591">
        <f>SUM(B11:B12)</f>
        <v>5</v>
      </c>
      <c r="C13" s="999">
        <f>SUM(C11:C12)</f>
        <v>5550000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3250000</v>
      </c>
      <c r="C18" s="590">
        <f>C12-C17</f>
        <v>2300000</v>
      </c>
      <c r="D18" s="590">
        <f>SUM(B18:C18)</f>
        <v>5550000</v>
      </c>
    </row>
    <row r="19" spans="1:5">
      <c r="A19" s="591" t="s">
        <v>4861</v>
      </c>
      <c r="B19" s="592">
        <f>SUM(B17:B18)</f>
        <v>3250000</v>
      </c>
      <c r="C19" s="592">
        <f>SUM(C17:C18)</f>
        <v>2300000</v>
      </c>
      <c r="D19" s="592">
        <f>SUM(D17:D18)</f>
        <v>5550000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5"/>
  <sheetViews>
    <sheetView topLeftCell="A2" zoomScale="90" zoomScaleNormal="90" zoomScaleSheetLayoutView="55" workbookViewId="0">
      <selection activeCell="A4" sqref="A4:L16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6861</v>
      </c>
      <c r="B2" s="1003" t="s">
        <v>1</v>
      </c>
      <c r="C2" s="1003" t="s">
        <v>2</v>
      </c>
      <c r="D2" s="1003" t="s">
        <v>3</v>
      </c>
      <c r="E2" s="759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59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6840</v>
      </c>
      <c r="C4" s="726" t="s">
        <v>6657</v>
      </c>
      <c r="D4" s="632" t="s">
        <v>6659</v>
      </c>
      <c r="E4" s="633" t="s">
        <v>6660</v>
      </c>
      <c r="F4" s="645" t="s">
        <v>6841</v>
      </c>
      <c r="G4" s="645" t="s">
        <v>263</v>
      </c>
      <c r="H4" s="634" t="s">
        <v>6842</v>
      </c>
      <c r="I4" s="633" t="s">
        <v>737</v>
      </c>
      <c r="J4" s="634" t="s">
        <v>3035</v>
      </c>
      <c r="K4" s="703" t="s">
        <v>6843</v>
      </c>
      <c r="L4" s="682">
        <f>250000*5</f>
        <v>1250000</v>
      </c>
      <c r="M4" s="646"/>
    </row>
    <row r="5" spans="1:13" s="685" customFormat="1" ht="17.100000000000001" customHeight="1">
      <c r="A5" s="798"/>
      <c r="B5" s="399" t="s">
        <v>6846</v>
      </c>
      <c r="C5" s="726" t="s">
        <v>219</v>
      </c>
      <c r="D5" s="632" t="s">
        <v>151</v>
      </c>
      <c r="E5" s="633" t="s">
        <v>5254</v>
      </c>
      <c r="F5" s="783" t="s">
        <v>5847</v>
      </c>
      <c r="G5" s="783" t="s">
        <v>6844</v>
      </c>
      <c r="H5" s="787" t="s">
        <v>6848</v>
      </c>
      <c r="I5" s="633" t="s">
        <v>6850</v>
      </c>
      <c r="J5" s="787" t="s">
        <v>3702</v>
      </c>
      <c r="K5" s="703" t="s">
        <v>6843</v>
      </c>
      <c r="L5" s="784">
        <f>250000*2</f>
        <v>500000</v>
      </c>
      <c r="M5" s="646"/>
    </row>
    <row r="6" spans="1:13" s="685" customFormat="1" ht="17.100000000000001" customHeight="1">
      <c r="A6" s="798"/>
      <c r="B6" s="399" t="s">
        <v>6847</v>
      </c>
      <c r="C6" s="726" t="s">
        <v>219</v>
      </c>
      <c r="D6" s="632" t="s">
        <v>151</v>
      </c>
      <c r="E6" s="633" t="s">
        <v>5254</v>
      </c>
      <c r="F6" s="783">
        <v>308</v>
      </c>
      <c r="G6" s="783" t="s">
        <v>6845</v>
      </c>
      <c r="H6" s="787" t="s">
        <v>6849</v>
      </c>
      <c r="I6" s="633" t="s">
        <v>168</v>
      </c>
      <c r="J6" s="787" t="s">
        <v>4943</v>
      </c>
      <c r="K6" s="703" t="s">
        <v>6843</v>
      </c>
      <c r="L6" s="784">
        <f>250000*3</f>
        <v>750000</v>
      </c>
      <c r="M6" s="646"/>
    </row>
    <row r="7" spans="1:13" s="685" customFormat="1" ht="17.100000000000001" customHeight="1">
      <c r="A7" s="798"/>
      <c r="B7" s="399" t="s">
        <v>6854</v>
      </c>
      <c r="C7" s="726" t="s">
        <v>219</v>
      </c>
      <c r="D7" s="632" t="s">
        <v>151</v>
      </c>
      <c r="E7" s="633" t="s">
        <v>5254</v>
      </c>
      <c r="F7" s="783">
        <v>308</v>
      </c>
      <c r="G7" s="783" t="s">
        <v>6845</v>
      </c>
      <c r="H7" s="787" t="s">
        <v>6855</v>
      </c>
      <c r="I7" s="633" t="s">
        <v>90</v>
      </c>
      <c r="J7" s="787" t="s">
        <v>6856</v>
      </c>
      <c r="K7" s="703"/>
      <c r="L7" s="784">
        <f>250000*3</f>
        <v>750000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3250000</v>
      </c>
      <c r="M8" s="646"/>
    </row>
    <row r="9" spans="1:13" ht="18" customHeight="1">
      <c r="A9" s="798" t="s">
        <v>21</v>
      </c>
      <c r="B9" s="399">
        <v>46245</v>
      </c>
      <c r="C9" s="3" t="s">
        <v>21</v>
      </c>
      <c r="D9" s="3" t="s">
        <v>14</v>
      </c>
      <c r="E9" s="454" t="s">
        <v>6693</v>
      </c>
      <c r="F9" s="454" t="s">
        <v>5488</v>
      </c>
      <c r="G9" s="459" t="s">
        <v>5428</v>
      </c>
      <c r="H9" s="789" t="s">
        <v>6851</v>
      </c>
      <c r="I9" s="786" t="s">
        <v>168</v>
      </c>
      <c r="J9" s="786" t="s">
        <v>6796</v>
      </c>
      <c r="K9" s="125" t="s">
        <v>15</v>
      </c>
      <c r="L9" s="757">
        <v>250000</v>
      </c>
      <c r="M9" s="646" t="s">
        <v>3461</v>
      </c>
    </row>
    <row r="10" spans="1:13" ht="18" customHeight="1">
      <c r="A10" s="798"/>
      <c r="B10" s="399">
        <v>46246</v>
      </c>
      <c r="C10" s="3" t="s">
        <v>21</v>
      </c>
      <c r="D10" s="3" t="s">
        <v>14</v>
      </c>
      <c r="E10" s="454" t="s">
        <v>6693</v>
      </c>
      <c r="F10" s="454" t="s">
        <v>5488</v>
      </c>
      <c r="G10" s="459" t="s">
        <v>5428</v>
      </c>
      <c r="H10" s="789" t="s">
        <v>6852</v>
      </c>
      <c r="I10" s="786" t="s">
        <v>168</v>
      </c>
      <c r="J10" s="786" t="s">
        <v>6796</v>
      </c>
      <c r="K10" s="125" t="s">
        <v>15</v>
      </c>
      <c r="L10" s="757">
        <v>250000</v>
      </c>
      <c r="M10" s="646" t="s">
        <v>3461</v>
      </c>
    </row>
    <row r="11" spans="1:13" ht="18" customHeight="1">
      <c r="A11" s="798"/>
      <c r="B11" s="399">
        <v>46246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170</v>
      </c>
      <c r="H11" s="453" t="s">
        <v>6681</v>
      </c>
      <c r="I11" s="786" t="s">
        <v>4168</v>
      </c>
      <c r="J11" s="786" t="s">
        <v>3454</v>
      </c>
      <c r="K11" s="125" t="s">
        <v>15</v>
      </c>
      <c r="L11" s="757">
        <v>250000</v>
      </c>
      <c r="M11" s="646" t="s">
        <v>6857</v>
      </c>
    </row>
    <row r="12" spans="1:13" ht="27">
      <c r="A12" s="798"/>
      <c r="B12" s="399">
        <v>46247</v>
      </c>
      <c r="C12" s="3" t="s">
        <v>21</v>
      </c>
      <c r="D12" s="3" t="s">
        <v>14</v>
      </c>
      <c r="E12" s="454" t="s">
        <v>107</v>
      </c>
      <c r="F12" s="454" t="s">
        <v>2959</v>
      </c>
      <c r="G12" s="459" t="s">
        <v>6756</v>
      </c>
      <c r="H12" s="453" t="s">
        <v>6820</v>
      </c>
      <c r="I12" s="786" t="s">
        <v>6521</v>
      </c>
      <c r="J12" s="786" t="s">
        <v>6819</v>
      </c>
      <c r="K12" s="125" t="s">
        <v>15</v>
      </c>
      <c r="L12" s="757">
        <v>250000</v>
      </c>
      <c r="M12" s="646" t="s">
        <v>3461</v>
      </c>
    </row>
    <row r="13" spans="1:13" ht="13.5">
      <c r="A13" s="798"/>
      <c r="B13" s="399">
        <v>46247</v>
      </c>
      <c r="C13" s="4" t="s">
        <v>21</v>
      </c>
      <c r="D13" s="4" t="s">
        <v>6788</v>
      </c>
      <c r="E13" s="786" t="s">
        <v>1787</v>
      </c>
      <c r="F13" s="786" t="s">
        <v>6789</v>
      </c>
      <c r="G13" s="16" t="s">
        <v>6793</v>
      </c>
      <c r="H13" s="789" t="s">
        <v>6794</v>
      </c>
      <c r="I13" s="786"/>
      <c r="J13" s="786" t="s">
        <v>6785</v>
      </c>
      <c r="K13" s="277" t="s">
        <v>6795</v>
      </c>
      <c r="L13" s="757">
        <v>500000</v>
      </c>
      <c r="M13" s="646" t="s">
        <v>6858</v>
      </c>
    </row>
    <row r="14" spans="1:13" ht="27">
      <c r="A14" s="798"/>
      <c r="B14" s="399">
        <v>46248</v>
      </c>
      <c r="C14" s="4" t="s">
        <v>21</v>
      </c>
      <c r="D14" s="4" t="s">
        <v>6788</v>
      </c>
      <c r="E14" s="786" t="s">
        <v>1787</v>
      </c>
      <c r="F14" s="786" t="s">
        <v>6789</v>
      </c>
      <c r="G14" s="16" t="s">
        <v>6790</v>
      </c>
      <c r="H14" s="789" t="s">
        <v>6859</v>
      </c>
      <c r="I14" s="786"/>
      <c r="J14" s="786" t="s">
        <v>6791</v>
      </c>
      <c r="K14" s="277" t="s">
        <v>6792</v>
      </c>
      <c r="L14" s="757">
        <v>300000</v>
      </c>
      <c r="M14" s="646" t="s">
        <v>3461</v>
      </c>
    </row>
    <row r="15" spans="1:13" ht="27">
      <c r="A15" s="798"/>
      <c r="B15" s="369">
        <v>46249</v>
      </c>
      <c r="C15" s="4" t="s">
        <v>21</v>
      </c>
      <c r="D15" s="4" t="s">
        <v>14</v>
      </c>
      <c r="E15" s="786" t="s">
        <v>6836</v>
      </c>
      <c r="F15" s="786" t="s">
        <v>6837</v>
      </c>
      <c r="G15" s="16" t="s">
        <v>6821</v>
      </c>
      <c r="H15" s="789" t="s">
        <v>6839</v>
      </c>
      <c r="I15" s="786" t="s">
        <v>6838</v>
      </c>
      <c r="J15" s="786" t="s">
        <v>641</v>
      </c>
      <c r="K15" s="277" t="s">
        <v>6792</v>
      </c>
      <c r="L15" s="757">
        <v>500000</v>
      </c>
      <c r="M15" s="646" t="s">
        <v>393</v>
      </c>
    </row>
    <row r="16" spans="1:13" ht="17.100000000000001" customHeight="1">
      <c r="A16" s="798"/>
      <c r="B16" s="798" t="s">
        <v>4879</v>
      </c>
      <c r="C16" s="798"/>
      <c r="D16" s="798"/>
      <c r="E16" s="798"/>
      <c r="F16" s="798"/>
      <c r="G16" s="798"/>
      <c r="H16" s="798"/>
      <c r="I16" s="798"/>
      <c r="J16" s="798"/>
      <c r="K16" s="798"/>
      <c r="L16" s="729">
        <f>SUM(L9:L15)</f>
        <v>2300000</v>
      </c>
      <c r="M16" s="646"/>
    </row>
    <row r="17" spans="1:16" ht="25.5" customHeight="1">
      <c r="A17" s="1002" t="s">
        <v>62</v>
      </c>
      <c r="B17" s="1002"/>
      <c r="C17" s="1002"/>
      <c r="D17" s="1002"/>
      <c r="E17" s="1002"/>
      <c r="F17" s="1002"/>
      <c r="G17" s="1002"/>
      <c r="H17" s="1002"/>
      <c r="I17" s="1002"/>
      <c r="J17" s="1002"/>
      <c r="K17" s="1002"/>
      <c r="L17" s="729">
        <f>L8+L16</f>
        <v>5550000</v>
      </c>
      <c r="M17" s="649"/>
    </row>
    <row r="18" spans="1:16" ht="26.25" customHeight="1"/>
    <row r="19" spans="1:16" ht="26.25" hidden="1" customHeight="1"/>
    <row r="20" spans="1:16" ht="25.5" hidden="1" customHeight="1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/>
    <row r="26" spans="1:16" ht="20.100000000000001" hidden="1" customHeight="1">
      <c r="J26" s="687"/>
    </row>
    <row r="29" spans="1:16" ht="28.5" customHeight="1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>
      <c r="A30" s="594" t="s">
        <v>6330</v>
      </c>
      <c r="B30" s="399">
        <v>46244</v>
      </c>
      <c r="C30" s="4" t="s">
        <v>6708</v>
      </c>
      <c r="D30" s="4" t="s">
        <v>151</v>
      </c>
      <c r="E30" s="786" t="s">
        <v>6710</v>
      </c>
      <c r="F30" s="786">
        <v>7065</v>
      </c>
      <c r="G30" s="16" t="s">
        <v>145</v>
      </c>
      <c r="H30" s="789" t="s">
        <v>6707</v>
      </c>
      <c r="I30" s="786" t="s">
        <v>6312</v>
      </c>
      <c r="J30" s="786"/>
      <c r="K30" s="277" t="s">
        <v>209</v>
      </c>
      <c r="L30" s="8">
        <v>1</v>
      </c>
      <c r="M30" s="8"/>
      <c r="N30" s="786"/>
      <c r="O30" s="431"/>
      <c r="P30" s="786"/>
    </row>
    <row r="31" spans="1:16" s="17" customFormat="1" ht="33" customHeight="1">
      <c r="A31" s="595"/>
      <c r="B31" s="399">
        <v>46245</v>
      </c>
      <c r="C31" s="3" t="s">
        <v>21</v>
      </c>
      <c r="D31" s="3" t="s">
        <v>17</v>
      </c>
      <c r="E31" s="454" t="s">
        <v>78</v>
      </c>
      <c r="F31" s="454" t="s">
        <v>1645</v>
      </c>
      <c r="G31" s="459" t="s">
        <v>23</v>
      </c>
      <c r="H31" s="453" t="s">
        <v>6741</v>
      </c>
      <c r="I31" s="786" t="s">
        <v>202</v>
      </c>
      <c r="J31" s="786" t="s">
        <v>3353</v>
      </c>
      <c r="K31" s="125" t="s">
        <v>15</v>
      </c>
      <c r="L31" s="8">
        <v>2</v>
      </c>
      <c r="M31" s="8"/>
      <c r="N31" s="788"/>
      <c r="O31" s="430"/>
      <c r="P31" s="786" t="s">
        <v>6758</v>
      </c>
    </row>
    <row r="32" spans="1:16" s="17" customFormat="1" ht="33" customHeight="1">
      <c r="A32" s="595"/>
      <c r="B32" s="399">
        <v>46245</v>
      </c>
      <c r="C32" s="4" t="s">
        <v>6708</v>
      </c>
      <c r="D32" s="4" t="s">
        <v>151</v>
      </c>
      <c r="E32" s="786" t="s">
        <v>6710</v>
      </c>
      <c r="F32" s="786">
        <v>7065</v>
      </c>
      <c r="G32" s="16" t="s">
        <v>145</v>
      </c>
      <c r="H32" s="789" t="s">
        <v>6707</v>
      </c>
      <c r="I32" s="786" t="s">
        <v>6312</v>
      </c>
      <c r="J32" s="786"/>
      <c r="K32" s="277" t="s">
        <v>209</v>
      </c>
      <c r="L32" s="8">
        <v>1</v>
      </c>
      <c r="M32" s="8"/>
      <c r="N32" s="786" t="s">
        <v>3661</v>
      </c>
      <c r="O32" s="431"/>
      <c r="P32" s="786"/>
    </row>
    <row r="33" spans="1:16" s="17" customFormat="1" ht="33.75" customHeight="1">
      <c r="A33" s="595"/>
      <c r="B33" s="399">
        <v>46246</v>
      </c>
      <c r="C33" s="3" t="s">
        <v>113</v>
      </c>
      <c r="D33" s="3" t="s">
        <v>17</v>
      </c>
      <c r="E33" s="454" t="s">
        <v>6730</v>
      </c>
      <c r="F33" s="454" t="s">
        <v>6787</v>
      </c>
      <c r="G33" s="459" t="s">
        <v>23</v>
      </c>
      <c r="H33" s="453" t="s">
        <v>6739</v>
      </c>
      <c r="I33" s="786" t="s">
        <v>120</v>
      </c>
      <c r="J33" s="786"/>
      <c r="K33" s="125" t="s">
        <v>15</v>
      </c>
      <c r="L33" s="8">
        <v>1</v>
      </c>
      <c r="M33" s="8"/>
      <c r="N33" s="786"/>
      <c r="O33" s="431"/>
      <c r="P33" s="786"/>
    </row>
    <row r="34" spans="1:16" s="17" customFormat="1" ht="33" customHeight="1">
      <c r="A34" s="595"/>
      <c r="B34" s="399">
        <v>46246</v>
      </c>
      <c r="C34" s="3" t="s">
        <v>21</v>
      </c>
      <c r="D34" s="3" t="s">
        <v>14</v>
      </c>
      <c r="E34" s="454" t="s">
        <v>6693</v>
      </c>
      <c r="F34" s="454" t="s">
        <v>5488</v>
      </c>
      <c r="G34" s="459" t="s">
        <v>5428</v>
      </c>
      <c r="H34" s="789" t="s">
        <v>6797</v>
      </c>
      <c r="I34" s="786" t="s">
        <v>168</v>
      </c>
      <c r="J34" s="786" t="s">
        <v>6796</v>
      </c>
      <c r="K34" s="125" t="s">
        <v>15</v>
      </c>
      <c r="L34" s="8">
        <v>2</v>
      </c>
      <c r="M34" s="8"/>
      <c r="N34" s="786" t="s">
        <v>3661</v>
      </c>
      <c r="O34" s="430" t="s">
        <v>6804</v>
      </c>
      <c r="P34" s="786"/>
    </row>
    <row r="35" spans="1:16" s="17" customFormat="1" ht="33" customHeight="1">
      <c r="A35" s="595"/>
      <c r="B35" s="399">
        <v>46246</v>
      </c>
      <c r="C35" s="4" t="s">
        <v>6708</v>
      </c>
      <c r="D35" s="4" t="s">
        <v>151</v>
      </c>
      <c r="E35" s="786" t="s">
        <v>6710</v>
      </c>
      <c r="F35" s="786">
        <v>7065</v>
      </c>
      <c r="G35" s="16" t="s">
        <v>145</v>
      </c>
      <c r="H35" s="789" t="s">
        <v>6707</v>
      </c>
      <c r="I35" s="786" t="s">
        <v>6312</v>
      </c>
      <c r="J35" s="786"/>
      <c r="K35" s="277" t="s">
        <v>209</v>
      </c>
      <c r="L35" s="8">
        <v>1</v>
      </c>
      <c r="M35" s="8"/>
      <c r="N35" s="788"/>
      <c r="O35" s="430"/>
      <c r="P35" s="786"/>
    </row>
    <row r="36" spans="1:16" s="17" customFormat="1" ht="33" customHeight="1">
      <c r="A36" s="595"/>
      <c r="B36" s="399">
        <v>46246</v>
      </c>
      <c r="C36" s="3" t="s">
        <v>21</v>
      </c>
      <c r="D36" s="3" t="s">
        <v>14</v>
      </c>
      <c r="E36" s="454" t="s">
        <v>1787</v>
      </c>
      <c r="F36" s="454" t="s">
        <v>2978</v>
      </c>
      <c r="G36" s="459" t="s">
        <v>67</v>
      </c>
      <c r="H36" s="453" t="s">
        <v>6798</v>
      </c>
      <c r="I36" s="786"/>
      <c r="J36" s="786" t="s">
        <v>3074</v>
      </c>
      <c r="K36" s="125" t="s">
        <v>42</v>
      </c>
      <c r="L36" s="8">
        <v>1</v>
      </c>
      <c r="M36" s="8"/>
      <c r="N36" s="788"/>
      <c r="O36" s="430" t="s">
        <v>6803</v>
      </c>
      <c r="P36" s="786"/>
    </row>
    <row r="37" spans="1:16" s="17" customFormat="1" ht="33" customHeight="1">
      <c r="A37" s="595"/>
      <c r="B37" s="399">
        <v>46246</v>
      </c>
      <c r="C37" s="3" t="s">
        <v>21</v>
      </c>
      <c r="D37" s="3" t="s">
        <v>14</v>
      </c>
      <c r="E37" s="454" t="s">
        <v>107</v>
      </c>
      <c r="F37" s="454" t="s">
        <v>2959</v>
      </c>
      <c r="G37" s="459" t="s">
        <v>170</v>
      </c>
      <c r="H37" s="453" t="s">
        <v>6681</v>
      </c>
      <c r="I37" s="786" t="s">
        <v>4168</v>
      </c>
      <c r="J37" s="786" t="s">
        <v>3454</v>
      </c>
      <c r="K37" s="125" t="s">
        <v>15</v>
      </c>
      <c r="L37" s="8">
        <v>2</v>
      </c>
      <c r="M37" s="8"/>
      <c r="N37" s="788"/>
      <c r="O37" s="430" t="s">
        <v>6801</v>
      </c>
      <c r="P37" s="786"/>
    </row>
    <row r="38" spans="1:16" s="17" customFormat="1" ht="33" customHeight="1">
      <c r="A38" s="595"/>
      <c r="B38" s="399">
        <v>46247</v>
      </c>
      <c r="C38" s="3" t="s">
        <v>21</v>
      </c>
      <c r="D38" s="3" t="s">
        <v>14</v>
      </c>
      <c r="E38" s="454" t="s">
        <v>107</v>
      </c>
      <c r="F38" s="454" t="s">
        <v>2959</v>
      </c>
      <c r="G38" s="459" t="s">
        <v>170</v>
      </c>
      <c r="H38" s="453" t="s">
        <v>6809</v>
      </c>
      <c r="I38" s="789" t="s">
        <v>6816</v>
      </c>
      <c r="J38" s="786" t="s">
        <v>3454</v>
      </c>
      <c r="K38" s="125" t="s">
        <v>15</v>
      </c>
      <c r="L38" s="8">
        <v>4</v>
      </c>
      <c r="M38" s="8"/>
      <c r="N38" s="788"/>
      <c r="O38" s="430" t="s">
        <v>6802</v>
      </c>
      <c r="P38" s="786"/>
    </row>
    <row r="39" spans="1:16" s="17" customFormat="1" ht="33" customHeight="1">
      <c r="A39" s="595"/>
      <c r="B39" s="399">
        <v>46247</v>
      </c>
      <c r="C39" s="3" t="s">
        <v>21</v>
      </c>
      <c r="D39" s="3" t="s">
        <v>14</v>
      </c>
      <c r="E39" s="454" t="s">
        <v>107</v>
      </c>
      <c r="F39" s="454" t="s">
        <v>2959</v>
      </c>
      <c r="G39" s="459" t="s">
        <v>3504</v>
      </c>
      <c r="H39" s="453" t="s">
        <v>6757</v>
      </c>
      <c r="I39" s="786" t="s">
        <v>6817</v>
      </c>
      <c r="J39" s="786" t="s">
        <v>6819</v>
      </c>
      <c r="K39" s="125" t="s">
        <v>15</v>
      </c>
      <c r="L39" s="8">
        <v>4</v>
      </c>
      <c r="M39" s="8"/>
      <c r="N39" s="788"/>
      <c r="O39" s="430" t="s">
        <v>6799</v>
      </c>
      <c r="P39" s="786"/>
    </row>
    <row r="40" spans="1:16" s="17" customFormat="1" ht="33" customHeight="1">
      <c r="A40" s="595"/>
      <c r="B40" s="399">
        <v>46247</v>
      </c>
      <c r="C40" s="3" t="s">
        <v>21</v>
      </c>
      <c r="D40" s="3" t="s">
        <v>14</v>
      </c>
      <c r="E40" s="454" t="s">
        <v>107</v>
      </c>
      <c r="F40" s="454" t="s">
        <v>2959</v>
      </c>
      <c r="G40" s="459" t="s">
        <v>6756</v>
      </c>
      <c r="H40" s="453" t="s">
        <v>6820</v>
      </c>
      <c r="I40" s="786" t="s">
        <v>6521</v>
      </c>
      <c r="J40" s="786" t="s">
        <v>6819</v>
      </c>
      <c r="K40" s="125" t="s">
        <v>15</v>
      </c>
      <c r="L40" s="8">
        <v>4</v>
      </c>
      <c r="M40" s="8"/>
      <c r="N40" s="788"/>
      <c r="O40" s="430" t="s">
        <v>5645</v>
      </c>
      <c r="P40" s="786"/>
    </row>
    <row r="41" spans="1:16" s="17" customFormat="1" ht="33" customHeight="1">
      <c r="A41" s="595"/>
      <c r="B41" s="399">
        <v>46247</v>
      </c>
      <c r="C41" s="4" t="s">
        <v>6708</v>
      </c>
      <c r="D41" s="4" t="s">
        <v>151</v>
      </c>
      <c r="E41" s="786" t="s">
        <v>6710</v>
      </c>
      <c r="F41" s="786">
        <v>7065</v>
      </c>
      <c r="G41" s="16" t="s">
        <v>145</v>
      </c>
      <c r="H41" s="789" t="s">
        <v>6707</v>
      </c>
      <c r="I41" s="786" t="s">
        <v>6312</v>
      </c>
      <c r="J41" s="786"/>
      <c r="K41" s="277" t="s">
        <v>209</v>
      </c>
      <c r="L41" s="8">
        <v>1</v>
      </c>
      <c r="M41" s="8"/>
      <c r="N41" s="788"/>
      <c r="O41" s="430"/>
      <c r="P41" s="786"/>
    </row>
    <row r="42" spans="1:16" s="17" customFormat="1" ht="33" customHeight="1">
      <c r="A42" s="595"/>
      <c r="B42" s="399">
        <v>46247</v>
      </c>
      <c r="C42" s="4" t="s">
        <v>21</v>
      </c>
      <c r="D42" s="4" t="s">
        <v>6788</v>
      </c>
      <c r="E42" s="786" t="s">
        <v>1787</v>
      </c>
      <c r="F42" s="786" t="s">
        <v>6789</v>
      </c>
      <c r="G42" s="16" t="s">
        <v>6793</v>
      </c>
      <c r="H42" s="789" t="s">
        <v>6794</v>
      </c>
      <c r="I42" s="786"/>
      <c r="J42" s="786" t="s">
        <v>6785</v>
      </c>
      <c r="K42" s="277" t="s">
        <v>6795</v>
      </c>
      <c r="L42" s="8">
        <v>2</v>
      </c>
      <c r="M42" s="8"/>
      <c r="N42" s="788"/>
      <c r="O42" s="430" t="s">
        <v>5835</v>
      </c>
      <c r="P42" s="786"/>
    </row>
    <row r="43" spans="1:16" s="17" customFormat="1" ht="33" customHeight="1">
      <c r="A43" s="595"/>
      <c r="B43" s="399">
        <v>46248</v>
      </c>
      <c r="C43" s="4" t="s">
        <v>21</v>
      </c>
      <c r="D43" s="4" t="s">
        <v>6788</v>
      </c>
      <c r="E43" s="786" t="s">
        <v>1787</v>
      </c>
      <c r="F43" s="786" t="s">
        <v>6789</v>
      </c>
      <c r="G43" s="16" t="s">
        <v>6790</v>
      </c>
      <c r="H43" s="789" t="s">
        <v>6860</v>
      </c>
      <c r="I43" s="786"/>
      <c r="J43" s="786" t="s">
        <v>6791</v>
      </c>
      <c r="K43" s="277" t="s">
        <v>6792</v>
      </c>
      <c r="L43" s="8">
        <v>1</v>
      </c>
      <c r="M43" s="8"/>
      <c r="N43" s="788"/>
      <c r="O43" s="430" t="s">
        <v>6800</v>
      </c>
      <c r="P43" s="786"/>
    </row>
    <row r="44" spans="1:16" s="17" customFormat="1" ht="33" customHeight="1">
      <c r="A44" s="595"/>
      <c r="B44" s="399">
        <v>46248</v>
      </c>
      <c r="C44" s="4" t="s">
        <v>6708</v>
      </c>
      <c r="D44" s="4" t="s">
        <v>151</v>
      </c>
      <c r="E44" s="786" t="s">
        <v>6710</v>
      </c>
      <c r="F44" s="786">
        <v>7065</v>
      </c>
      <c r="G44" s="16" t="s">
        <v>145</v>
      </c>
      <c r="H44" s="789" t="s">
        <v>6707</v>
      </c>
      <c r="I44" s="786" t="s">
        <v>6312</v>
      </c>
      <c r="J44" s="786"/>
      <c r="K44" s="277" t="s">
        <v>209</v>
      </c>
      <c r="L44" s="8">
        <v>1</v>
      </c>
      <c r="M44" s="8"/>
      <c r="N44" s="788"/>
      <c r="O44" s="430"/>
      <c r="P44" s="786" t="s">
        <v>6758</v>
      </c>
    </row>
    <row r="45" spans="1:16" s="17" customFormat="1" ht="33" customHeight="1">
      <c r="A45" s="596"/>
      <c r="B45" s="369">
        <v>46249</v>
      </c>
      <c r="C45" s="4" t="s">
        <v>21</v>
      </c>
      <c r="D45" s="4" t="s">
        <v>14</v>
      </c>
      <c r="E45" s="786" t="s">
        <v>6836</v>
      </c>
      <c r="F45" s="786" t="s">
        <v>6837</v>
      </c>
      <c r="G45" s="16" t="s">
        <v>6821</v>
      </c>
      <c r="H45" s="789" t="s">
        <v>6839</v>
      </c>
      <c r="I45" s="786" t="s">
        <v>6838</v>
      </c>
      <c r="J45" s="786" t="s">
        <v>641</v>
      </c>
      <c r="K45" s="277" t="s">
        <v>6792</v>
      </c>
      <c r="L45" s="8">
        <v>3</v>
      </c>
      <c r="M45" s="8"/>
      <c r="N45" s="788"/>
      <c r="O45" s="430"/>
      <c r="P45" s="78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7:K17"/>
    <mergeCell ref="B16:K16"/>
    <mergeCell ref="A9:A16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6807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6808</v>
      </c>
      <c r="B948" s="640" t="s">
        <v>6806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6810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6" t="s">
        <v>1893</v>
      </c>
      <c r="F960" s="786" t="s">
        <v>4939</v>
      </c>
      <c r="G960" s="16" t="s">
        <v>34</v>
      </c>
      <c r="H960" s="789" t="s">
        <v>1279</v>
      </c>
      <c r="I960" s="786" t="s">
        <v>202</v>
      </c>
      <c r="J960" s="785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6" t="s">
        <v>1893</v>
      </c>
      <c r="F961" s="786" t="s">
        <v>4939</v>
      </c>
      <c r="G961" s="16" t="s">
        <v>34</v>
      </c>
      <c r="H961" s="789" t="s">
        <v>1279</v>
      </c>
      <c r="I961" s="786" t="s">
        <v>202</v>
      </c>
      <c r="J961" s="786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6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6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6810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6811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6" t="s">
        <v>2713</v>
      </c>
      <c r="G980" s="16" t="s">
        <v>23</v>
      </c>
      <c r="H980" s="789" t="s">
        <v>6474</v>
      </c>
      <c r="I980" s="786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6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6813</v>
      </c>
      <c r="B987" s="369">
        <v>46219</v>
      </c>
      <c r="C987" s="4" t="s">
        <v>21</v>
      </c>
      <c r="D987" s="4" t="s">
        <v>14</v>
      </c>
      <c r="E987" s="786" t="s">
        <v>1893</v>
      </c>
      <c r="F987" s="786" t="s">
        <v>4939</v>
      </c>
      <c r="G987" s="16" t="s">
        <v>34</v>
      </c>
      <c r="H987" s="789" t="s">
        <v>1279</v>
      </c>
      <c r="I987" s="786" t="s">
        <v>202</v>
      </c>
      <c r="J987" s="786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6" t="s">
        <v>1893</v>
      </c>
      <c r="F988" s="786" t="s">
        <v>4939</v>
      </c>
      <c r="G988" s="16" t="s">
        <v>6812</v>
      </c>
      <c r="H988" s="789" t="s">
        <v>1279</v>
      </c>
      <c r="I988" s="786" t="s">
        <v>202</v>
      </c>
      <c r="J988" s="786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6815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6" t="s">
        <v>107</v>
      </c>
      <c r="F1001" s="786" t="s">
        <v>2959</v>
      </c>
      <c r="G1001" s="16" t="s">
        <v>143</v>
      </c>
      <c r="H1001" s="789" t="s">
        <v>6530</v>
      </c>
      <c r="I1001" s="786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6" t="s">
        <v>1787</v>
      </c>
      <c r="F1002" s="786" t="s">
        <v>2978</v>
      </c>
      <c r="G1002" s="16" t="s">
        <v>23</v>
      </c>
      <c r="H1002" s="789" t="s">
        <v>146</v>
      </c>
      <c r="I1002" s="786" t="s">
        <v>90</v>
      </c>
      <c r="J1002" s="6">
        <v>1</v>
      </c>
      <c r="K1002" s="618" t="s">
        <v>6814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6815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2026-08-13T06:40:15Z</dcterms:modified>
</cp:coreProperties>
</file>