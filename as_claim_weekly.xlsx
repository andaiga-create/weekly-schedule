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<sst xmlns="http://schemas.openxmlformats.org/spreadsheetml/2006/main" count="23532" uniqueCount="6261">
  <si>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</si>
  <si>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</si>
  <si>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</si>
  <si>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</si>
  <si>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</si>
  <si>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</si>
  <si>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</si>
  <si>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</si>
  <si>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</si>
  <si>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</si>
  <si>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</si>
  <si>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</si>
  <si>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</si>
  <si>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</si>
  <si>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</si>
  <si>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</si>
  <si>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</si>
  <si>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</si>
  <si>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</si>
  <si>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</si>
  <si>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</si>
  <si>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</si>
  <si>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</si>
  <si>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</si>
  <si>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</si>
  <si>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</si>
  <si>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</si>
  <si>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</si>
  <si>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</si>
  <si>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</si>
  <si>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</si>
  <si>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</si>
  <si>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</si>
  <si>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</si>
  <si>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</si>
  <si>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</si>
  <si>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</si>
  <si>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</si>
  <si>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</si>
  <si>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</si>
  <si>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</si>
  <si>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</si>
  <si>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</si>
  <si>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</si>
  <si>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</si>
  <si>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</si>
  <si>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</si>
  <si>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</si>
  <si>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</si>
  <si>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</si>
  <si>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</si>
  <si>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</si>
  <si>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</si>
  <si>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</si>
  <si>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</si>
  <si>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</si>
  <si>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</si>
  <si>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</si>
  <si>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</si>
  <si>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</si>
  <si>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</si>
  <si>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</si>
  <si>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</si>
  <si>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</si>
  <si>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</si>
  <si>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</si>
  <si>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</si>
  <si>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</si>
  <si>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</si>
  <si>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</si>
  <si>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</si>
  <si>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</si>
  <si>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</si>
  <si>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</si>
  <si>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</si>
  <si>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</si>
  <si>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</si>
  <si>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</si>
  <si>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</si>
  <si>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</si>
  <si>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</si>
  <si>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</si>
  <si>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</si>
  <si>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</si>
  <si>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</si>
  <si>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</si>
  <si>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</si>
  <si>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</si>
  <si>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</si>
  <si>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</si>
  <si>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</si>
  <si>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</si>
  <si>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</si>
  <si>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</si>
  <si>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</si>
  <si>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</si>
  <si>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</si>
  <si>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</si>
  <si>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</si>
  <si>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</si>
  <si>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</si>
  <si>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</si>
  <si>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</si>
  <si>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</si>
  <si>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</si>
  <si>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</si>
  <si>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</si>
  <si>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</si>
  <si>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</si>
  <si>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</si>
  <si>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</si>
  <si>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</si>
  <si>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</si>
  <si>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</si>
  <si>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</si>
  <si>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</si>
  <si>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</si>
  <si>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</si>
  <si>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</si>
  <si>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</si>
  <si>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</si>
  <si>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</si>
  <si>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</si>
  <si>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</si>
  <si>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</si>
  <si>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</si>
  <si>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</si>
  <si>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</si>
  <si>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</si>
  <si>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</si>
  <si>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</si>
  <si>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</si>
  <si>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</si>
  <si>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</si>
  <si>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</si>
  <si>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</si>
  <si>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</si>
  <si>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</si>
  <si>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</si>
  <si>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</si>
  <si>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</si>
  <si>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</si>
  <si>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</si>
  <si>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</si>
  <si>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</si>
  <si>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</si>
  <si>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</si>
  <si>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</si>
  <si>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</si>
  <si>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</si>
  <si>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</si>
  <si>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</si>
  <si>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</si>
  <si>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</si>
  <si>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</si>
  <si>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</si>
  <si>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</si>
  <si>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</si>
  <si>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</si>
  <si>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</si>
  <si>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</si>
  <si>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</si>
  <si>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</si>
  <si>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</si>
  <si>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</si>
  <si>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</si>
  <si>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</si>
  <si>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</si>
  <si>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</si>
  <si>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</si>
  <si>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</si>
  <si>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</si>
  <si>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</si>
  <si>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</si>
  <si>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</si>
  <si>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</si>
  <si>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</si>
  <si>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</si>
  <si>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</si>
  <si>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</si>
  <si>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</si>
  <si>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</si>
  <si>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</si>
  <si>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</si>
  <si>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</si>
  <si>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</si>
  <si>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</si>
  <si>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</si>
  <si>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</si>
  <si>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</si>
  <si>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</si>
  <si>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</si>
  <si>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</si>
  <si>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</si>
  <si>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</si>
  <si>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</si>
  <si>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</si>
  <si>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</si>
  <si>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</si>
  <si>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</si>
  <si>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</si>
  <si>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</si>
  <si>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</si>
  <si>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</si>
  <si>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</si>
  <si>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</si>
  <si>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</si>
  <si>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</si>
  <si>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</si>
  <si>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</si>
  <si>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</si>
  <si>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</si>
  <si>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</si>
  <si>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</si>
  <si>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</si>
  <si>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</si>
  <si>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</si>
  <si>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</si>
  <si>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</si>
  <si>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</si>
  <si>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</si>
  <si>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</si>
  <si>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</si>
  <si>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</si>
  <si>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</si>
  <si>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</si>
  <si>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</si>
  <si>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</si>
  <si>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</si>
  <si>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</si>
  <si>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</si>
  <si>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</si>
  <si>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</si>
  <si>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</si>
  <si>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</si>
  <si>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</si>
  <si>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</si>
  <si>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</si>
  <si>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</si>
  <si>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</si>
  <si>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</si>
  <si>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</si>
  <si>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</si>
  <si>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</si>
  <si>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</si>
  <si>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</si>
  <si>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</si>
  <si>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</si>
  <si>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</si>
  <si>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</si>
  <si>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</si>
  <si>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</si>
  <si>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</si>
  <si>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</si>
  <si>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</si>
  <si>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</si>
  <si>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</si>
  <si>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</si>
  <si>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</si>
  <si>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</si>
  <si>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</si>
  <si>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</si>
  <si>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</si>
  <si>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</si>
  <si>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</si>
  <si>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</si>
  <si>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</si>
  <si>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</si>
  <si>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</si>
  <si>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</si>
  <si>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</si>
  <si>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</si>
  <si>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</si>
  <si>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</si>
  <si>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</si>
  <si>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</si>
  <si>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</si>
  <si>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</si>
  <si>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</si>
  <si>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</si>
  <si>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</si>
  <si>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</si>
  <si>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</si>
  <si>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</si>
  <si>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</si>
  <si>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</si>
  <si>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</si>
  <si>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</si>
  <si>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</si>
  <si>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</si>
  <si>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</si>
  <si>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</si>
  <si>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</si>
  <si>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</si>
  <si>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</si>
  <si>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</si>
  <si>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</si>
  <si>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</si>
  <si>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</si>
  <si>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</si>
  <si>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</si>
  <si>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</si>
  <si>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</si>
  <si>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</si>
  <si>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</si>
  <si>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</si>
  <si>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</si>
  <si>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</si>
  <si>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</si>
  <si>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</si>
  <si>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</si>
  <si>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</si>
  <si>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</si>
  <si>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</si>
  <si>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</si>
  <si>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</si>
  <si>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</si>
  <si>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</si>
  <si>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</si>
  <si>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</si>
  <si>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</si>
  <si>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</si>
  <si>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</si>
  <si>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</si>
  <si>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</si>
  <si>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</si>
  <si>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</si>
  <si>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</si>
  <si>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</si>
  <si>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</si>
  <si>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</si>
  <si>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</si>
  <si>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</si>
  <si>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</si>
  <si>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</si>
  <si>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</si>
  <si>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</si>
  <si>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</si>
  <si>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</si>
  <si>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</si>
  <si>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</si>
  <si>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</si>
  <si>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</si>
  <si>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</si>
  <si>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</si>
  <si>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</si>
  <si>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</si>
  <si>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</si>
  <si>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</si>
  <si>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</si>
  <si>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</si>
  <si>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</si>
  <si>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</si>
  <si>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</si>
  <si>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</si>
  <si>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</si>
  <si>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</si>
  <si>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</si>
  <si>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</si>
  <si>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</si>
  <si>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</si>
  <si>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</si>
  <si>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</si>
  <si>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</si>
  <si>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</si>
  <si>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</si>
  <si>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</si>
  <si>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</si>
  <si>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</si>
  <si>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</si>
  <si>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</si>
  <si>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</si>
  <si>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</si>
  <si>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</si>
  <si>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</si>
  <si>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</si>
  <si>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</si>
  <si>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</si>
  <si>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</si>
  <si>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</si>
  <si>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</si>
  <si>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</si>
  <si>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</si>
  <si>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</si>
  <si>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</si>
  <si>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</si>
  <si>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</si>
  <si>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</si>
  <si>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</si>
  <si>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</si>
  <si>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</si>
  <si>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</si>
  <si>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</si>
  <si>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</si>
  <si>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</si>
  <si>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</si>
  <si>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</si>
  <si>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</si>
  <si>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</si>
  <si>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</si>
  <si>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</si>
  <si>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</si>
  <si>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</si>
  <si>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</si>
  <si>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</si>
  <si>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</si>
  <si>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</si>
  <si>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</si>
  <si>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</si>
  <si>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</si>
  <si>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</si>
  <si>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</si>
  <si>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</si>
  <si>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</si>
  <si>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</si>
  <si>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</si>
  <si>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</si>
  <si>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</si>
  <si>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</si>
  <si>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</si>
  <si>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</si>
  <si>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</si>
  <si>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</si>
  <si>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</si>
  <si>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</si>
  <si>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</si>
  <si>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</si>
  <si>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</si>
  <si>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</si>
  <si>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</si>
  <si>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</si>
  <si>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</si>
  <si>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</si>
  <si>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</si>
  <si>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</si>
  <si>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</si>
  <si>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</si>
  <si>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</si>
  <si>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</si>
  <si>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</si>
  <si>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</si>
  <si>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</si>
  <si>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</si>
  <si>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</si>
  <si>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</si>
  <si>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</si>
  <si>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</si>
  <si>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</si>
  <si>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</si>
  <si>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</si>
  <si>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</si>
  <si>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</si>
  <si>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</si>
  <si>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</si>
  <si>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</si>
  <si>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</si>
  <si>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</si>
  <si>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</si>
  <si>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</si>
  <si>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</si>
  <si>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</si>
  <si>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</si>
  <si>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</si>
  <si>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</si>
  <si>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</si>
  <si>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</si>
  <si>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</si>
  <si>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</si>
  <si>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</si>
  <si>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</si>
  <si>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</si>
  <si>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</si>
  <si>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</si>
  <si>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</si>
  <si>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</si>
  <si>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</si>
  <si>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</si>
  <si>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</si>
  <si>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</si>
  <si>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</si>
  <si>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</si>
  <si>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</si>
  <si>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</si>
  <si>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</si>
  <si>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</si>
  <si>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</si>
  <si>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</si>
  <si>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</si>
  <si>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</si>
  <si>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</si>
  <si>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</si>
  <si>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</si>
  <si>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</si>
  <si>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</si>
  <si>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</si>
  <si>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</si>
  <si>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</si>
  <si>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</si>
  <si>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</si>
  <si>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</si>
  <si>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</si>
  <si>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</si>
  <si>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</si>
  <si>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</si>
  <si>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</si>
  <si>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</si>
  <si>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</si>
  <si>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</si>
  <si>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</si>
  <si>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</si>
  <si>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</si>
  <si>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</si>
  <si>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</si>
  <si>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</si>
  <si>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</si>
  <si>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</si>
  <si>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</si>
  <si>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</si>
  <si>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</si>
  <si>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</si>
  <si>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</si>
  <si>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</si>
  <si>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</si>
  <si>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</si>
  <si>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</si>
  <si>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</si>
  <si>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</si>
  <si>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</si>
  <si>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</si>
  <si>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</si>
  <si>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</si>
  <si>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</si>
  <si>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</si>
  <si>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</si>
  <si>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</si>
  <si>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</si>
  <si>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</si>
  <si>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</si>
  <si>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</si>
  <si>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</si>
  <si>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</si>
  <si>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</si>
  <si>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</si>
  <si>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</si>
  <si>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</si>
  <si>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</si>
  <si>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</si>
  <si>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</si>
  <si>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</si>
  <si>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</si>
  <si>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</si>
  <si>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</si>
  <si>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</si>
  <si>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</si>
  <si>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</si>
  <si>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</si>
  <si>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</si>
  <si>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</si>
  <si>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</si>
  <si>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</si>
  <si>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</si>
  <si>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</si>
  <si>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</si>
  <si>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</si>
  <si>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</si>
  <si>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</si>
  <si>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</si>
  <si>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</si>
  <si>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</si>
  <si>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</si>
  <si>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</si>
  <si>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</si>
  <si>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</si>
  <si>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</si>
  <si>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</si>
  <si>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</si>
  <si>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</si>
  <si>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</si>
  <si>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</si>
  <si>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</si>
  <si>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</si>
  <si>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</si>
  <si>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</si>
  <si>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</si>
  <si>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</si>
  <si>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</si>
  <si>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</si>
  <si>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</si>
  <si>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</si>
  <si>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</si>
  <si>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</si>
  <si>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</si>
  <si>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</si>
  <si>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</si>
  <si>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</si>
  <si>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</si>
  <si>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</si>
  <si>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</si>
  <si>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</si>
  <si>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</si>
  <si>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</si>
  <si>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</si>
  <si>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</si>
  <si>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</si>
  <si>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</si>
  <si>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</si>
  <si>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</si>
  <si>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</si>
  <si>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</si>
  <si>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</si>
  <si>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</si>
  <si>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</si>
  <si>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</si>
  <si>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</si>
  <si>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</si>
  <si>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</si>
  <si>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</si>
  <si>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</si>
  <si>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</si>
  <si>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</si>
  <si>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</si>
  <si>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</si>
  <si>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</si>
  <si>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</si>
  <si>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</si>
  <si>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</si>
  <si>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</si>
  <si>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</si>
  <si>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</si>
  <si>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</si>
  <si>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</si>
  <si>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</si>
  <si>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</si>
  <si>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</si>
  <si>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</si>
  <si>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</si>
  <si>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</si>
  <si>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</si>
  <si>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</si>
  <si>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</si>
  <si>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</si>
  <si>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</si>
  <si>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</si>
  <si>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</si>
  <si>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</si>
  <si>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</si>
  <si>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</si>
  <si>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</si>
  <si>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</si>
  <si>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</si>
  <si>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</si>
  <si>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</si>
  <si>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</si>
  <si>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</si>
  <si>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</si>
  <si>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</si>
  <si>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</si>
  <si>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</si>
  <si>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</si>
  <si>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</si>
  <si>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</si>
  <si>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</si>
  <si>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</si>
  <si>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</si>
  <si>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</si>
  <si>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</si>
  <si>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</si>
  <si>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</si>
  <si>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</si>
  <si>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</si>
  <si>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</si>
  <si>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</si>
  <si>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</si>
  <si>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</si>
  <si>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</si>
  <si>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</si>
  <si>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</si>
  <si>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</si>
  <si>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</si>
  <si>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</si>
  <si>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</si>
  <si>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</si>
  <si>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</si>
  <si>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</si>
  <si>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</si>
  <si>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</si>
  <si>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</si>
  <si>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</si>
  <si>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</si>
  <si>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</si>
  <si>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</si>
  <si>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</si>
  <si>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</si>
  <si>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</si>
  <si>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</si>
  <si>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</si>
  <si>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</si>
  <si>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</si>
  <si>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</si>
  <si>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</si>
  <si>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</si>
  <si>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</si>
  <si>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</si>
  <si>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</si>
  <si>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</si>
  <si>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</si>
  <si>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</si>
  <si>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</si>
  <si>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</si>
  <si>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</si>
  <si>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</si>
  <si>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</si>
  <si>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</si>
  <si>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</si>
  <si>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</si>
  <si>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</si>
  <si>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</si>
  <si>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</si>
  <si>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</si>
  <si>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</si>
  <si>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</si>
  <si>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</si>
  <si>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</si>
  <si>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</si>
  <si>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</si>
  <si>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</si>
  <si>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</si>
  <si>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</si>
  <si>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</si>
  <si>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</si>
  <si>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</si>
  <si>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</si>
  <si>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</si>
  <si>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</si>
  <si>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</si>
  <si>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</si>
  <si>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</si>
  <si>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</si>
  <si>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</si>
  <si>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</si>
  <si>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</si>
  <si>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</si>
  <si>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</si>
  <si>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</si>
  <si>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</si>
  <si>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</si>
  <si>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</si>
  <si>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</si>
  <si>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</si>
  <si>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</si>
  <si>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</si>
  <si>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</si>
  <si>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</si>
  <si>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</si>
  <si>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</si>
  <si>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</si>
  <si>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</si>
  <si>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</si>
  <si>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</si>
  <si>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</si>
  <si>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</si>
  <si>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</si>
  <si>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</si>
  <si>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</si>
  <si>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</si>
  <si>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</si>
  <si>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</si>
  <si>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</si>
  <si>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</si>
  <si>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</si>
  <si>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</si>
  <si>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</si>
  <si>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</si>
  <si>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</si>
  <si>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</si>
  <si>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</si>
  <si>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</si>
  <si>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</si>
  <si>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</si>
  <si>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</si>
  <si>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</si>
  <si>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</si>
  <si>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</si>
  <si>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</si>
  <si>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</si>
  <si>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</si>
  <si>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</si>
  <si>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</si>
  <si>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</si>
  <si>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</si>
  <si>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</si>
  <si>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</si>
  <si>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</si>
  <si>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</si>
  <si>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</si>
  <si>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</si>
  <si>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</si>
  <si>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</si>
  <si>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</si>
  <si>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</si>
  <si>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</si>
  <si>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</si>
  <si>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</si>
  <si>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</si>
  <si>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</si>
  <si>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</si>
  <si>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</si>
  <si>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</si>
  <si>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</si>
  <si>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</si>
  <si>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</si>
  <si>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</si>
  <si>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</si>
  <si>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</si>
  <si>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</si>
  <si>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</si>
  <si>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</si>
  <si>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</si>
  <si>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</si>
  <si>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</si>
  <si>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</si>
  <si>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</si>
  <si>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</si>
  <si>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</si>
  <si>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</si>
  <si>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</si>
  <si>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</si>
  <si>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</si>
  <si>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</si>
  <si>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</si>
  <si>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</si>
  <si>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</si>
  <si>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</si>
  <si>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</si>
  <si>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</si>
  <si>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</si>
  <si>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</si>
  <si>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</si>
  <si>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</si>
  <si>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</si>
  <si>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</si>
  <si>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</si>
  <si>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</si>
  <si>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</si>
  <si>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</si>
  <si>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</si>
  <si>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</si>
  <si>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</si>
  <si>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</si>
  <si>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</si>
  <si>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</si>
  <si>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</si>
  <si>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</si>
  <si>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</si>
  <si>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</si>
  <si>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</si>
  <si>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</si>
  <si>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</si>
  <si>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</si>
  <si>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</si>
  <si>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</si>
  <si>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</si>
  <si>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</si>
  <si>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</si>
  <si>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</si>
  <si>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</si>
  <si>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</si>
  <si>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</si>
  <si>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</si>
  <si>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</si>
  <si>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</si>
  <si>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</si>
  <si>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</si>
  <si>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</si>
  <si>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</si>
  <si>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</si>
  <si>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</si>
  <si>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</si>
  <si>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</si>
  <si>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</si>
  <si>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</si>
  <si>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</si>
  <si>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</si>
  <si>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</si>
  <si>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</si>
  <si>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</si>
  <si>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</si>
  <si>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</si>
  <si>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</si>
  <si>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</si>
  <si>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</si>
  <si>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</si>
  <si>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</si>
  <si>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</si>
  <si>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</si>
  <si>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</si>
  <si>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</si>
  <si>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</si>
  <si>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</si>
  <si>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</si>
  <si>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</si>
  <si>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</si>
  <si>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</si>
  <si>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</si>
  <si>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</si>
  <si>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</si>
  <si>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</si>
  <si>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</si>
  <si>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</si>
  <si>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</si>
  <si>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</si>
  <si>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</si>
  <si>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</si>
  <si>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</si>
  <si>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</si>
  <si>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</si>
  <si>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</si>
  <si>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</si>
  <si>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</si>
  <si>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</si>
  <si>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</si>
  <si>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</si>
  <si>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</si>
  <si>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</si>
  <si>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</si>
  <si>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</si>
  <si>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</si>
  <si>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</si>
  <si>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</si>
  <si>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</si>
  <si>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</si>
  <si>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</si>
  <si>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</si>
  <si>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</si>
  <si>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</si>
  <si>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</si>
  <si>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</si>
  <si>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</si>
  <si>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</si>
  <si>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</si>
  <si>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</si>
  <si>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</si>
  <si>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</si>
  <si>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</si>
  <si>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</si>
  <si>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</si>
  <si>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</si>
  <si>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</si>
  <si>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</si>
  <si>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</si>
  <si>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</si>
  <si>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</si>
  <si>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</si>
  <si>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</si>
  <si>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</si>
  <si>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</si>
  <si>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</si>
  <si>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</si>
  <si>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</si>
  <si>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</si>
  <si>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</si>
  <si>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</si>
  <si>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</si>
  <si>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</si>
  <si>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</si>
  <si>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</si>
  <si>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</si>
  <si>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</si>
  <si>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</si>
  <si>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</si>
  <si>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</si>
  <si>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</si>
  <si>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</si>
  <si>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</si>
  <si>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</si>
  <si>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</si>
  <si>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</si>
  <si>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</si>
  <si>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</si>
  <si>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</si>
  <si>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</si>
  <si>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</si>
  <si>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</si>
  <si>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</si>
  <si>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</si>
  <si>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</si>
  <si>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</si>
  <si>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</si>
  <si>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</si>
  <si>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</si>
  <si>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</si>
  <si>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</si>
  <si>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</si>
  <si>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</si>
  <si>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</si>
  <si>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</si>
  <si>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</si>
  <si>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</si>
  <si>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</si>
  <si>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</si>
  <si>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</si>
  <si>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</si>
  <si>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</si>
  <si>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</si>
  <si>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</si>
  <si>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</si>
  <si>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</si>
  <si>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</si>
  <si>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</si>
  <si>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</si>
  <si>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</si>
  <si>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</si>
  <si>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</si>
  <si>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</si>
  <si>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</si>
  <si>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</si>
  <si>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</si>
  <si>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</si>
  <si>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</si>
  <si>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</si>
  <si>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</si>
  <si>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</si>
  <si>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</si>
  <si>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</si>
  <si>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</si>
  <si>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</si>
  <si>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</si>
  <si>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</si>
  <si>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</si>
  <si>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</si>
  <si>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</si>
  <si>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</si>
  <si>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</si>
  <si>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</si>
  <si>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</si>
  <si>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</si>
  <si>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</si>
  <si>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</si>
  <si>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</si>
  <si>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</si>
  <si>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</si>
  <si>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</si>
  <si>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</si>
  <si>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</si>
  <si>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</si>
  <si>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</si>
  <si>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</si>
  <si>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</si>
  <si>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</si>
  <si>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</si>
  <si>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</si>
  <si>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</si>
  <si>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</si>
  <si>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</si>
  <si>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</si>
  <si>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</si>
  <si>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</si>
  <si>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</si>
  <si>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</si>
  <si>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</si>
  <si>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</si>
  <si>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</si>
  <si>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</si>
  <si>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</si>
  <si>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</si>
  <si>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</si>
  <si>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</si>
  <si>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</si>
  <si>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</si>
  <si>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</si>
  <si>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</si>
  <si>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</si>
  <si>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</si>
  <si>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</si>
  <si>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</si>
  <si>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</si>
  <si>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</si>
  <si>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</si>
  <si>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</si>
  <si>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</si>
  <si>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</si>
  <si>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</si>
  <si>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</si>
  <si>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</si>
  <si>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</si>
  <si>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</si>
  <si>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</si>
  <si>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</si>
  <si>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</si>
  <si>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</si>
  <si>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</si>
  <si>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</si>
  <si>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</si>
  <si>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</si>
  <si>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</si>
  <si>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</si>
  <si>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</si>
  <si>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</si>
  <si>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</si>
  <si>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</si>
  <si>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</si>
  <si>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</si>
  <si>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</si>
  <si>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</si>
  <si>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</si>
  <si>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</si>
  <si>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</si>
  <si>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</si>
  <si>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</si>
  <si>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</si>
  <si>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</si>
  <si>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</si>
  <si>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</si>
  <si>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</si>
  <si>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</si>
  <si>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</si>
  <si>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</si>
  <si>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</si>
  <si>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</si>
  <si>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</si>
  <si>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</si>
  <si>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</si>
  <si>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</si>
  <si>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</si>
  <si>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</si>
  <si>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</si>
  <si>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</si>
  <si>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</si>
  <si>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</si>
  <si>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</si>
  <si>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</si>
  <si>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</si>
  <si>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</si>
  <si>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</si>
  <si>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</si>
  <si>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</si>
  <si>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</si>
  <si>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</si>
  <si>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</si>
  <si>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</si>
  <si>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</si>
  <si>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</si>
  <si>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</si>
  <si>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</si>
  <si>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</si>
  <si>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</si>
  <si>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</si>
  <si>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</si>
  <si>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</si>
  <si>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</si>
  <si>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</si>
  <si>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</si>
  <si>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</si>
  <si>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</si>
  <si>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</si>
  <si>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</si>
  <si>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</si>
  <si>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</si>
  <si>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</si>
  <si>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</si>
  <si>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</si>
  <si>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</si>
  <si>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</si>
  <si>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</si>
  <si>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</si>
  <si>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</si>
  <si>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</si>
  <si>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</si>
  <si>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</si>
  <si>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</si>
  <si>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</si>
  <si>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</si>
  <si>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</si>
  <si>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</si>
  <si>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</si>
  <si>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</si>
  <si>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</si>
  <si>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</si>
  <si>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</si>
  <si>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</si>
  <si>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</si>
  <si>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</si>
  <si>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</si>
  <si>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</si>
  <si>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</si>
  <si>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</si>
  <si>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</si>
  <si>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</si>
  <si>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</si>
  <si>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</si>
  <si>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</si>
  <si>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</si>
  <si>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</si>
  <si>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</si>
  <si>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</si>
  <si>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</si>
  <si>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</si>
  <si>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</si>
  <si>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</si>
  <si>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</si>
  <si>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</si>
  <si>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</si>
  <si>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</si>
  <si>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</si>
  <si>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</si>
  <si>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</si>
  <si>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</si>
  <si>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</si>
  <si>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</si>
  <si>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</si>
  <si>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</si>
  <si>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</si>
  <si>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</si>
  <si>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</si>
  <si>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</si>
  <si>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</si>
  <si>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</si>
  <si>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</si>
  <si>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</si>
  <si>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</si>
  <si>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</si>
  <si>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</si>
  <si>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</si>
  <si>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</si>
  <si>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</si>
  <si>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</si>
  <si>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</si>
  <si>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</si>
  <si>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</si>
  <si>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</si>
  <si>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</si>
  <si>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</si>
  <si>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</si>
  <si>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</si>
  <si>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</si>
  <si>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</si>
  <si>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</si>
  <si>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</si>
  <si>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</si>
  <si>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</si>
  <si>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</si>
  <si>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</si>
  <si>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</si>
  <si>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</si>
  <si>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</si>
  <si>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</si>
  <si>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</si>
  <si>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</si>
  <si>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</si>
  <si>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</si>
  <si>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</si>
  <si>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</si>
  <si>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</si>
  <si>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</si>
  <si>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</si>
  <si>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</si>
  <si>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</si>
  <si>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</si>
  <si>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</si>
  <si>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</si>
  <si>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</si>
  <si>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</si>
  <si>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</si>
  <si>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</si>
  <si>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</si>
  <si>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</si>
  <si>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</si>
  <si>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</si>
  <si>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</si>
  <si>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</si>
  <si>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</si>
  <si>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</si>
  <si>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</si>
  <si>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</si>
  <si>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</si>
  <si>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</si>
  <si>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</si>
  <si>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</si>
  <si>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</si>
  <si>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</si>
  <si>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</si>
  <si>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</si>
  <si>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</si>
  <si>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</si>
  <si>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</si>
  <si>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</si>
  <si>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</si>
  <si>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</si>
  <si>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</si>
  <si>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</si>
  <si>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</si>
  <si>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</si>
  <si>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</si>
  <si>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</si>
  <si>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</si>
  <si>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</si>
  <si>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</si>
  <si>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</si>
  <si>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</si>
  <si>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</si>
  <si>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</si>
  <si>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</si>
  <si>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</si>
  <si>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</si>
  <si>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</si>
  <si>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</si>
  <si>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</si>
  <si>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</si>
  <si>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</si>
  <si>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</si>
  <si>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</si>
  <si>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</si>
  <si>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</si>
  <si>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</si>
  <si>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</si>
  <si>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</si>
  <si>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</si>
  <si>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</si>
  <si>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</si>
  <si>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</si>
  <si>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</si>
  <si>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</si>
  <si>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</si>
  <si>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</si>
  <si>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</si>
  <si>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</si>
  <si>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</si>
  <si>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</si>
  <si>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</si>
  <si>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</si>
  <si>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</si>
  <si>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</si>
  <si>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</si>
  <si>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</si>
  <si>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</si>
  <si>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</si>
  <si>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</si>
  <si>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</si>
  <si>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</si>
  <si>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</si>
  <si>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</si>
  <si>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</si>
  <si>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</si>
  <si>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</si>
  <si>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</si>
  <si>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</si>
  <si>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</si>
  <si>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</si>
  <si>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</si>
  <si>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</si>
  <si>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</si>
  <si>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</si>
  <si>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</si>
  <si>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</si>
  <si>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</si>
  <si>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</si>
  <si>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</si>
  <si>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</si>
  <si>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</si>
  <si>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</si>
  <si>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</si>
  <si>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</si>
  <si>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</si>
  <si>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</si>
  <si>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</si>
  <si>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</si>
  <si>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</si>
  <si>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</si>
  <si>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</si>
  <si>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</si>
  <si>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</si>
  <si>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</si>
  <si>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</si>
  <si>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</si>
  <si>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</si>
  <si>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</si>
  <si>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</si>
  <si>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</si>
  <si>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</si>
  <si>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</si>
  <si>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</si>
  <si>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</si>
  <si>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</si>
  <si>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</si>
  <si>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</si>
  <si>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</si>
  <si>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</si>
  <si>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</si>
  <si>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</si>
  <si>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</si>
  <si>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</si>
  <si>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</si>
  <si>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</si>
  <si>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</si>
  <si>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</si>
  <si>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</si>
  <si>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</si>
  <si>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</si>
  <si>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</si>
  <si>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</si>
  <si>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</si>
  <si>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</si>
  <si>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</si>
  <si>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</si>
  <si>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</si>
  <si>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</si>
  <si>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</si>
  <si>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</si>
  <si>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</si>
  <si>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</si>
  <si>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</si>
  <si>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</si>
  <si>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</si>
  <si>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</si>
  <si>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</si>
  <si>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</si>
  <si>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</si>
  <si>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</si>
  <si>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</si>
  <si>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</si>
  <si>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</si>
  <si>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</si>
  <si>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</si>
  <si>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</si>
  <si>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</si>
  <si>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</si>
  <si>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</si>
  <si>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</si>
  <si>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</si>
  <si>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</si>
  <si>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</si>
  <si>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</si>
  <si>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</si>
  <si>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</si>
  <si>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</si>
  <si>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</si>
  <si>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</si>
  <si>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</si>
  <si>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</si>
  <si>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</si>
  <si>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</si>
  <si>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</si>
  <si>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</si>
  <si>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</si>
  <si>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</si>
  <si>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</si>
  <si>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</si>
  <si>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</si>
  <si>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</si>
  <si>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</si>
  <si>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</si>
  <si>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</si>
  <si>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</si>
  <si>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</si>
  <si>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</si>
  <si>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</si>
  <si>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</si>
  <si>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</si>
  <si>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</si>
  <si>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</si>
  <si>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</si>
  <si>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</si>
  <si>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</si>
  <si>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</si>
  <si>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</si>
  <si>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</si>
  <si>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</si>
  <si>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</si>
  <si>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</si>
  <si>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</si>
  <si>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</si>
  <si>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</si>
  <si>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</si>
  <si>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</si>
  <si>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</si>
  <si>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</si>
  <si>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</si>
  <si>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</si>
  <si>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</si>
  <si>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</si>
  <si>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</si>
  <si>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</si>
  <si>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</si>
  <si>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</si>
  <si>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</si>
  <si>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</si>
  <si>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</si>
  <si>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</si>
  <si>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</si>
  <si>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</si>
  <si>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</si>
  <si>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</si>
  <si>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</si>
  <si>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</si>
  <si>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</si>
  <si>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</si>
  <si>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</si>
  <si>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</si>
  <si>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</si>
  <si>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</si>
  <si>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</si>
  <si>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</si>
  <si>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</si>
  <si>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</si>
  <si>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</si>
  <si>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</si>
  <si>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</si>
  <si>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</si>
  <si>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</si>
  <si>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</si>
  <si>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</si>
  <si>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</si>
  <si>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</si>
  <si>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</si>
  <si>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</si>
  <si>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</si>
  <si>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</si>
  <si>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</si>
  <si>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</si>
  <si>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</si>
  <si>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</si>
  <si>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</si>
  <si>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</si>
  <si>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</si>
  <si>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</si>
  <si>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</si>
  <si>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</si>
  <si>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</si>
  <si>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</si>
  <si>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</si>
  <si>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</si>
  <si>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</si>
  <si>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</si>
  <si>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</si>
  <si>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</si>
  <si>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</si>
  <si>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</si>
  <si>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</si>
  <si>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</si>
  <si>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</si>
  <si>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</si>
  <si>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</si>
  <si>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</si>
  <si>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</si>
  <si>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</si>
  <si>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</si>
  <si>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</si>
  <si>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</si>
  <si>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</si>
  <si>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</si>
  <si>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</si>
  <si>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</si>
  <si>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</si>
  <si>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</si>
  <si>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</si>
  <si>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</si>
  <si>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</si>
  <si>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</si>
  <si>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</si>
  <si>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</si>
  <si>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</si>
  <si>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</si>
  <si>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</si>
  <si>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</si>
  <si>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</si>
  <si>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</si>
  <si>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</si>
  <si>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</si>
  <si>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</si>
  <si>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</si>
  <si>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</si>
  <si>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</si>
  <si>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</si>
  <si>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</si>
  <si>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</si>
  <si>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</si>
  <si>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</si>
  <si>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</si>
  <si>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</si>
  <si>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</si>
  <si>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</si>
  <si>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</si>
  <si>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</si>
  <si>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</si>
  <si>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</si>
  <si>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</si>
  <si>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</si>
  <si>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</si>
  <si>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</si>
  <si>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</si>
  <si>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</si>
  <si>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</si>
  <si>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</si>
  <si>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</si>
  <si>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</si>
  <si>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</si>
  <si>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</si>
  <si>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</si>
  <si>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</si>
  <si>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</si>
  <si>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</si>
  <si>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</si>
  <si>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</si>
  <si>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</si>
  <si>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</si>
  <si>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</si>
  <si>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</si>
  <si>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</si>
  <si>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</si>
  <si>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</si>
  <si>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</si>
  <si>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</si>
  <si>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</si>
  <si>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</si>
  <si>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</si>
  <si>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</si>
  <si>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</si>
  <si>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</si>
  <si>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</si>
  <si>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</si>
  <si>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</si>
  <si>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</si>
  <si>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</si>
  <si>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</si>
  <si>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</si>
  <si>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</si>
  <si>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</si>
  <si>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</si>
  <si>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</si>
  <si>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</si>
  <si>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</si>
  <si>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</si>
  <si>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</si>
  <si>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</si>
  <si>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</si>
  <si>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</si>
  <si>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</si>
  <si>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</si>
  <si>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</si>
  <si>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</si>
  <si>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</si>
  <si>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</si>
  <si>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</si>
  <si>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</si>
  <si>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</si>
  <si>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</si>
  <si>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</si>
  <si>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</si>
  <si>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</si>
  <si>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</si>
  <si>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</si>
  <si>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</si>
  <si>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</si>
  <si>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</si>
  <si>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</si>
  <si>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</si>
  <si>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</si>
  <si>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</si>
  <si>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</si>
  <si>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</si>
  <si>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</si>
  <si>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</si>
  <si>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</si>
  <si>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</si>
  <si>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</si>
  <si>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</si>
  <si>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</si>
  <si>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</si>
  <si>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</si>
  <si>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</si>
  <si>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</si>
  <si>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</si>
  <si>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</si>
  <si>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</si>
  <si>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</si>
  <si>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</si>
  <si>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</si>
  <si>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</si>
  <si>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</si>
  <si>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</si>
  <si>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</si>
  <si>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</si>
  <si>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</si>
  <si>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</si>
  <si>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</si>
  <si>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</si>
  <si>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</si>
  <si>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</si>
  <si>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</si>
  <si>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</si>
  <si>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</si>
  <si>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</si>
  <si>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</si>
  <si>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</si>
  <si>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</si>
  <si>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</si>
  <si>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</si>
  <si>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</si>
  <si>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</si>
  <si>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</si>
  <si>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</si>
  <si>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</si>
  <si>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</si>
  <si>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</si>
  <si>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</si>
  <si>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</si>
  <si>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</si>
  <si>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</si>
  <si>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</si>
  <si>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</si>
  <si>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</si>
  <si>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</si>
  <si>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</si>
  <si>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</si>
  <si>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</si>
  <si>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</si>
  <si>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</si>
  <si>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</si>
  <si>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</si>
  <si>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</si>
  <si>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</si>
  <si>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</si>
  <si>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</si>
  <si>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</si>
  <si>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</si>
  <si>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</si>
  <si>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</si>
  <si>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</si>
  <si>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</si>
  <si>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</si>
  <si>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</si>
  <si>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</si>
  <si>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</si>
  <si>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</si>
  <si>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</si>
  <si>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</si>
  <si>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</si>
  <si>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</si>
  <si>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</si>
  <si>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</si>
  <si>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</si>
  <si>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</si>
  <si>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</si>
  <si>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</si>
  <si>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</si>
  <si>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</si>
  <si>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</si>
  <si>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</si>
  <si>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</si>
  <si>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</si>
  <si>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</si>
  <si>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</si>
  <si>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</si>
  <si>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</si>
  <si>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</si>
  <si>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</si>
  <si>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</si>
  <si>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</si>
  <si>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</si>
  <si>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</si>
  <si>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</si>
  <si>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</si>
  <si>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</si>
  <si>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</si>
  <si>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</si>
  <si>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</si>
  <si>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</si>
  <si>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</si>
  <si>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</si>
  <si>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</si>
  <si>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</si>
  <si>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</si>
  <si>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</si>
  <si>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</si>
  <si>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</si>
  <si>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</si>
  <si>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</si>
  <si>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</si>
  <si>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</si>
  <si>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</si>
  <si>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</si>
  <si>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</si>
  <si>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</si>
  <si>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</si>
  <si>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</si>
  <si>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</si>
  <si>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</si>
  <si>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</si>
  <si>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</si>
  <si>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</si>
  <si>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</si>
  <si>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</si>
  <si>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</si>
  <si>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</si>
  <si>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</si>
  <si>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</si>
  <si>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</si>
  <si>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</si>
  <si>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</si>
  <si>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</si>
  <si>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</si>
  <si>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</si>
  <si>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</si>
  <si>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</si>
  <si>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</si>
  <si>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</si>
  <si>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</si>
  <si>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</si>
  <si>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</si>
  <si>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</si>
  <si>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</si>
  <si>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</si>
  <si>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</si>
  <si>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</si>
  <si>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</si>
  <si>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</si>
  <si>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</si>
  <si>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</si>
  <si>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</si>
  <si>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</si>
  <si>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</si>
  <si>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</si>
  <si>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</si>
  <si>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</si>
  <si>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</si>
  <si>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</si>
  <si>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</si>
  <si>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</si>
  <si>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</si>
  <si>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</si>
  <si>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</si>
  <si>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</si>
  <si>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</si>
  <si>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</si>
  <si>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</si>
  <si>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</si>
  <si>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</si>
  <si>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</si>
  <si>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</si>
  <si>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</si>
  <si>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</si>
  <si>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</si>
  <si>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</si>
  <si>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</si>
  <si>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</si>
  <si>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</si>
  <si>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</si>
  <si>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</si>
  <si>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</si>
  <si>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</si>
  <si>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</si>
  <si>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</si>
  <si>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</si>
  <si>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</si>
  <si>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</si>
  <si>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</si>
  <si>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</si>
  <si>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</si>
  <si>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</si>
  <si>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</si>
  <si>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</si>
  <si>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</si>
  <si>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</si>
  <si>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</si>
  <si>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</si>
  <si>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</si>
  <si>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</si>
  <si>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</si>
  <si>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</si>
  <si>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</si>
  <si>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</si>
  <si>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</si>
  <si>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</si>
  <si>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</si>
  <si>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</si>
  <si>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</si>
  <si>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</si>
  <si>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</si>
  <si>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</si>
  <si>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</si>
  <si>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</si>
  <si>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</si>
  <si>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</si>
  <si>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</si>
  <si>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</si>
  <si>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</si>
  <si>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</si>
  <si>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</si>
  <si>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</si>
  <si>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</si>
  <si>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</si>
  <si>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</si>
  <si>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</si>
  <si>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</si>
  <si>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</si>
  <si>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</si>
  <si>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</si>
  <si>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</si>
  <si>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</si>
  <si>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</si>
  <si>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</si>
  <si>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</si>
  <si>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</si>
  <si>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</si>
  <si>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</si>
  <si>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</si>
  <si>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</si>
  <si>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</si>
  <si>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</si>
  <si>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</si>
  <si>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</si>
  <si>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</si>
  <si>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</si>
  <si>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</si>
  <si>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</si>
  <si>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</si>
  <si>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</si>
  <si>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</si>
  <si>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</si>
  <si>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</si>
  <si>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</si>
  <si>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</si>
  <si>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</si>
  <si>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</si>
  <si>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</si>
  <si>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</si>
  <si>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</si>
  <si>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</si>
  <si>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</si>
  <si>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</si>
  <si>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</si>
  <si>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</si>
  <si>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</si>
  <si>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</si>
  <si>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</si>
  <si>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</si>
  <si>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</si>
  <si>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</si>
  <si>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</si>
  <si>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</si>
  <si>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</si>
  <si>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</si>
  <si>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</si>
  <si>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</si>
  <si>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</si>
  <si>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</si>
  <si>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</si>
  <si>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</si>
  <si>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</si>
  <si>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</si>
  <si>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</si>
  <si>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</si>
  <si>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</si>
  <si>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</si>
  <si>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</si>
  <si>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</si>
  <si>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</si>
  <si>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</si>
  <si>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</si>
  <si>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</si>
  <si>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</si>
  <si>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</si>
  <si>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</si>
  <si>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</si>
  <si>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</si>
  <si>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</si>
  <si>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</si>
  <si>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</si>
  <si>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</si>
  <si>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</si>
  <si>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</si>
  <si>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</si>
  <si>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</si>
  <si>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</si>
  <si>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</si>
  <si>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</si>
  <si>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</si>
  <si>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</si>
  <si>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</si>
  <si>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</si>
  <si>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</si>
  <si>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</si>
  <si>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</si>
  <si>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</si>
  <si>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</si>
  <si>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</si>
  <si>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</si>
  <si>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</si>
  <si>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</si>
  <si>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</si>
  <si>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</si>
  <si>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</si>
  <si>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</si>
  <si>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</si>
  <si>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</si>
  <si>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</si>
  <si>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</si>
  <si>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</si>
  <si>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</si>
  <si>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</si>
  <si>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</si>
  <si>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</si>
  <si>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</si>
  <si>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</si>
  <si>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</si>
  <si>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</si>
  <si>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</si>
  <si>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</si>
  <si>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</si>
  <si>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</si>
  <si>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</si>
  <si>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</si>
  <si>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</si>
  <si>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</si>
  <si>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</si>
  <si>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</si>
  <si>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</si>
  <si>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</si>
  <si>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</si>
  <si>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</si>
  <si>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</si>
  <si>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</si>
  <si>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</si>
  <si>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</si>
  <si>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</si>
  <si>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</si>
  <si>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</si>
  <si>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</si>
  <si>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</si>
  <si>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</si>
  <si>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</si>
  <si>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</si>
  <si>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</si>
  <si>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</si>
  <si>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</si>
  <si>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</si>
  <si>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</si>
  <si>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</si>
  <si>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</si>
  <si>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</si>
  <si>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</si>
  <si>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</si>
  <si>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</si>
  <si>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</si>
  <si>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</si>
  <si>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</si>
  <si>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</si>
  <si>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</si>
  <si>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</si>
  <si>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</si>
  <si>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</si>
  <si>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</si>
  <si>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</si>
  <si>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</si>
  <si>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</si>
  <si>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</si>
  <si>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</si>
  <si>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</si>
  <si>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</si>
  <si>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</si>
  <si>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</si>
  <si>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</si>
  <si>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</si>
  <si>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</si>
  <si>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</si>
  <si>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</si>
  <si>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</si>
  <si>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</si>
  <si>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</si>
  <si>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</si>
  <si>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</si>
  <si>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</si>
  <si>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</si>
  <si>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</si>
  <si>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</si>
  <si>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</si>
  <si>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</si>
  <si>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</si>
  <si>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</si>
  <si>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</si>
  <si>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</si>
  <si>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</si>
  <si>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</si>
  <si>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</si>
  <si>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</si>
  <si>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</si>
  <si>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</si>
  <si>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</si>
  <si>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</si>
  <si>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</si>
  <si>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</si>
  <si>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</si>
  <si>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</si>
  <si>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</si>
  <si>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</si>
  <si>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</si>
  <si>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</si>
  <si>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</si>
  <si>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</si>
  <si>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</si>
  <si>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</si>
  <si>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</si>
  <si>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</si>
  <si>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</si>
  <si>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</si>
  <si>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</si>
  <si>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</si>
  <si>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</si>
  <si>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</si>
  <si>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</si>
  <si>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</si>
  <si>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</si>
  <si>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</si>
  <si>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</si>
  <si>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</si>
  <si>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</si>
  <si>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</si>
  <si>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</si>
  <si>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</si>
  <si>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</si>
  <si>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</si>
  <si>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</si>
  <si>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</si>
  <si>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</si>
  <si>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</si>
  <si>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</si>
  <si>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</si>
  <si>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</si>
  <si>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</si>
  <si>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</si>
  <si>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</si>
  <si>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</si>
  <si>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</si>
  <si>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</si>
  <si>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</si>
  <si>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</si>
  <si>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</si>
  <si>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</si>
  <si>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</si>
  <si>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</si>
  <si>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</si>
  <si>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</si>
  <si>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</si>
  <si>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</si>
  <si>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</si>
  <si>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</si>
  <si>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</si>
  <si>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</si>
  <si>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</si>
  <si>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</si>
  <si>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</si>
  <si>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</si>
  <si>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</si>
  <si>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</si>
  <si>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</si>
  <si>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</si>
  <si>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</si>
  <si>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</si>
  <si>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</si>
  <si>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</si>
  <si>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</si>
  <si>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</si>
  <si>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</si>
  <si>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</si>
  <si>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</si>
  <si>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</si>
  <si>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</si>
  <si>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</si>
  <si>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</si>
  <si>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</si>
  <si>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</si>
  <si>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</si>
  <si>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</si>
  <si>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</si>
  <si>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</si>
  <si>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</si>
  <si>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</si>
  <si>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</si>
  <si>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</si>
  <si>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</si>
  <si>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</si>
  <si>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</si>
  <si>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</si>
  <si>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</si>
  <si>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</si>
  <si>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</si>
  <si>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</si>
  <si>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</si>
  <si>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</si>
  <si>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</si>
  <si>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</si>
  <si>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</si>
  <si>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</si>
  <si>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</si>
  <si>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</si>
  <si>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</si>
  <si>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</si>
  <si>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</si>
  <si>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</si>
  <si>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</si>
  <si>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</si>
  <si>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</si>
  <si>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</si>
  <si>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</si>
  <si>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</si>
  <si>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</si>
  <si>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</si>
  <si>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</si>
  <si>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</si>
  <si>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</si>
  <si>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</si>
  <si>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</si>
  <si>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</si>
  <si>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</si>
  <si>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</si>
  <si>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</si>
  <si>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</si>
  <si>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</si>
  <si>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</si>
  <si>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</si>
  <si>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</si>
  <si>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</si>
  <si>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</si>
  <si>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</si>
  <si>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</si>
  <si>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</si>
  <si>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</si>
  <si>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</si>
  <si>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</si>
  <si>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</si>
  <si>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</si>
  <si>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</si>
  <si>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</si>
  <si>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</si>
  <si>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</si>
  <si>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</si>
  <si>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</si>
  <si>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</si>
  <si>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</si>
  <si>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</si>
  <si>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</si>
  <si>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</si>
  <si>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</si>
  <si>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</si>
  <si>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</si>
  <si>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</si>
  <si>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</si>
  <si>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</si>
  <si>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</si>
  <si>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</si>
  <si>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</si>
  <si>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</si>
  <si>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</si>
  <si>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</si>
  <si>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</si>
  <si>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</si>
  <si>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</si>
  <si>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</si>
  <si>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</si>
  <si>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</si>
  <si>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</si>
  <si>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</si>
  <si>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</si>
  <si>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</si>
  <si>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</si>
  <si>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</si>
  <si>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</si>
  <si>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</si>
  <si>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</si>
  <si>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</si>
  <si>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</si>
  <si>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</si>
  <si>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</si>
  <si>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</si>
  <si>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</si>
  <si>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</si>
  <si>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</si>
  <si>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</si>
  <si>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</si>
  <si>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</si>
  <si>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</si>
  <si>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</si>
  <si>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</si>
  <si>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</si>
  <si>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</si>
  <si>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</si>
  <si>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</si>
  <si>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</si>
  <si>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</si>
  <si>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</si>
  <si>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</si>
  <si>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</si>
  <si>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</si>
  <si>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</si>
  <si>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</si>
  <si>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</si>
  <si>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</si>
  <si>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</si>
  <si>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</si>
  <si>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</si>
  <si>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</si>
  <si>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</si>
  <si>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</si>
  <si>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</si>
  <si>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</si>
  <si>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</si>
  <si>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</si>
  <si>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</si>
  <si>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</si>
  <si>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</si>
  <si>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</si>
  <si>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</si>
  <si>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</si>
  <si>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</si>
  <si>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</si>
  <si>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</si>
  <si>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</si>
  <si>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</si>
  <si>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</si>
  <si>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</si>
  <si>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</si>
  <si>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</si>
  <si>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</si>
  <si>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</si>
  <si>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</si>
  <si>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</si>
  <si>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</si>
  <si>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</si>
  <si>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</si>
  <si>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</si>
  <si>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</si>
  <si>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</si>
  <si>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</si>
  <si>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</si>
  <si>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</si>
  <si>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</si>
  <si>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</si>
  <si>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</si>
  <si>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</si>
  <si>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</si>
  <si>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</si>
  <si>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</si>
  <si>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</si>
  <si>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</si>
  <si>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</si>
  <si>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</si>
  <si>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</si>
  <si>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</si>
  <si>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</si>
  <si>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</si>
  <si>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</si>
  <si>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</si>
  <si>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</si>
  <si>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</si>
  <si>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</si>
  <si>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</si>
  <si>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</si>
  <si>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</si>
  <si>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</si>
  <si>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</si>
  <si>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</si>
  <si>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</si>
  <si>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</si>
  <si>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</si>
  <si>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</si>
  <si>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</si>
  <si>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</si>
  <si>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</si>
  <si>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</si>
  <si>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</si>
  <si>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</si>
  <si>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</si>
  <si>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</si>
  <si>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</si>
  <si>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</si>
  <si>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</si>
  <si>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</si>
  <si>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</si>
  <si>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</si>
  <si>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</si>
  <si>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</si>
  <si>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</si>
  <si>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</si>
  <si>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</si>
  <si>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</si>
  <si>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</si>
  <si>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</si>
  <si>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</si>
  <si>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</si>
  <si>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</si>
  <si>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</si>
  <si>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</si>
  <si>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</si>
  <si>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</si>
  <si>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</si>
  <si>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</si>
  <si>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</si>
  <si>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</si>
  <si>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</si>
  <si>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</si>
  <si>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</si>
  <si>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</si>
  <si>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</si>
  <si>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</si>
  <si>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</si>
  <si>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</si>
  <si>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</si>
  <si>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</si>
  <si>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</si>
  <si>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</si>
  <si>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</si>
  <si>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</si>
  <si>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</si>
  <si>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</si>
  <si>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</si>
  <si>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</si>
  <si>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</si>
  <si>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</si>
  <si>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</si>
  <si>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</si>
  <si>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</si>
  <si>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</si>
  <si>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</si>
  <si>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</si>
  <si>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</si>
  <si>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</si>
  <si>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</si>
  <si>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</si>
  <si>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</si>
  <si>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</si>
  <si>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</si>
  <si>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</si>
  <si>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</si>
  <si>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</si>
  <si>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</si>
  <si>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</si>
  <si>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</si>
  <si>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</si>
  <si>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</si>
  <si>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</si>
  <si>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</si>
  <si>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</si>
  <si>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</si>
  <si>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</si>
  <si>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</si>
  <si>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</si>
  <si>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</si>
  <si>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</si>
  <si>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</si>
  <si>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</si>
  <si>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</si>
  <si>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</si>
  <si>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</si>
  <si>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</si>
  <si>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</si>
  <si>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</si>
  <si>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</si>
  <si>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</si>
  <si>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</si>
  <si>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</si>
  <si>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</si>
  <si>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</si>
  <si>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</si>
  <si>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</si>
  <si>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</si>
  <si>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</si>
  <si>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</si>
  <si>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</si>
  <si>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</si>
  <si>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</si>
  <si>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</si>
  <si>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</si>
  <si>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</si>
  <si>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</si>
  <si>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</si>
  <si>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</si>
  <si>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</si>
  <si>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</si>
  <si>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</si>
  <si>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</si>
  <si>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</si>
  <si>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</si>
  <si>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</si>
  <si>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</si>
  <si>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</si>
  <si>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</si>
  <si>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</si>
  <si>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</si>
  <si>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</si>
  <si>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</si>
  <si>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</si>
  <si>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</si>
  <si>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</si>
  <si>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</si>
  <si>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</si>
  <si>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</si>
  <si>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</si>
  <si>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</si>
  <si>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</si>
  <si>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</si>
  <si>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</si>
  <si>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</si>
  <si>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</si>
  <si>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</si>
  <si>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</si>
  <si>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</si>
  <si>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</si>
  <si>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</si>
  <si>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</si>
  <si>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</si>
  <si>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</si>
  <si>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</si>
  <si>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</si>
  <si>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</si>
  <si>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</si>
  <si>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</si>
  <si>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</si>
  <si>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</si>
  <si>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</si>
  <si>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</si>
  <si>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</si>
  <si>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</si>
  <si>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</si>
  <si>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</si>
  <si>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</si>
  <si>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</si>
  <si>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</si>
  <si>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</si>
  <si>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</si>
  <si>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</si>
  <si>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</si>
  <si>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</si>
  <si>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</si>
  <si>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</si>
  <si>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</si>
  <si>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</si>
  <si>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</si>
  <si>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</si>
  <si>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</si>
  <si>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</si>
  <si>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</si>
  <si>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</si>
  <si>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</si>
  <si>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</si>
  <si>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</si>
  <si>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</si>
  <si>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</si>
  <si>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</si>
  <si>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</si>
  <si>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</si>
  <si>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</si>
  <si>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</si>
  <si>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</si>
  <si>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</si>
  <si>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</si>
  <si>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</si>
  <si>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</si>
  <si>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</si>
  <si>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</si>
  <si>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</si>
  <si>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</si>
  <si>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</si>
  <si>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</si>
  <si>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</si>
  <si>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</si>
  <si>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</si>
  <si>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</si>
  <si>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</si>
  <si>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</si>
  <si>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</si>
  <si>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</si>
  <si>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</si>
  <si>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</si>
  <si>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</si>
  <si>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</si>
  <si>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</si>
  <si>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</si>
  <si>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</si>
  <si>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</si>
  <si>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</si>
  <si>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</si>
  <si>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</si>
  <si>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</si>
  <si>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</si>
  <si>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</si>
  <si>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</si>
  <si>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</si>
  <si>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</si>
  <si>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</si>
  <si>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</si>
  <si>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</si>
  <si>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</si>
  <si>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</si>
  <si>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</si>
  <si>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</si>
  <si>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</si>
  <si>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</si>
  <si>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</si>
  <si>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</si>
  <si>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</si>
  <si>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</si>
  <si>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</si>
  <si>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</si>
  <si>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</si>
  <si>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</si>
  <si>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</si>
  <si>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</si>
  <si>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</si>
  <si>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</si>
  <si>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</si>
  <si>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</si>
  <si>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</si>
  <si>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</si>
  <si>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</si>
  <si>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</si>
  <si>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</si>
  <si>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</si>
  <si>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</si>
  <si>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</si>
  <si>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</si>
  <si>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</si>
  <si>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</si>
  <si>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</si>
  <si>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</si>
  <si>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</si>
  <si>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</si>
  <si>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</si>
  <si>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</si>
  <si>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</si>
  <si>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</si>
  <si>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</si>
  <si>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</si>
  <si>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</si>
  <si>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</si>
  <si>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</si>
  <si>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</si>
  <si>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</si>
  <si>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</si>
  <si>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</si>
  <si>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</si>
  <si>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</si>
  <si>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</si>
  <si>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</si>
  <si>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</si>
  <si>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</si>
  <si>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</si>
  <si>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</si>
  <si>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</si>
  <si>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</si>
  <si>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</si>
  <si>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</si>
  <si>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</si>
  <si>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</si>
  <si>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</si>
  <si>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</si>
  <si>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</si>
  <si>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</si>
  <si>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</si>
  <si>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</si>
  <si>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</si>
  <si>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</si>
  <si>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</si>
  <si>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</si>
  <si>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</si>
  <si>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</si>
  <si>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</si>
  <si>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</si>
  <si>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</si>
  <si>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</si>
  <si>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</si>
  <si>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</si>
  <si>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</si>
  <si>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</si>
  <si>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</si>
  <si>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</si>
  <si>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</si>
  <si>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</si>
  <si>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</si>
  <si>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</si>
  <si>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</si>
  <si>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</si>
  <si>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</si>
  <si>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</si>
  <si>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</si>
  <si>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</si>
  <si>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</si>
  <si>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</si>
  <si>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</si>
  <si>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</si>
  <si>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</si>
  <si>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</si>
  <si>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</si>
  <si>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</si>
  <si>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</si>
  <si>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</si>
  <si>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</si>
  <si>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</si>
  <si>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</si>
  <si>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</si>
  <si>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</si>
  <si>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</si>
  <si>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</si>
  <si>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</si>
  <si>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</si>
  <si>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</si>
  <si>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</si>
  <si>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</si>
  <si>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</si>
  <si>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</si>
  <si>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</si>
  <si>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</si>
  <si>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</si>
  <si>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</si>
  <si>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</si>
  <si>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</si>
  <si>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</si>
  <si>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</si>
  <si>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</si>
  <si>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</si>
  <si>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</si>
  <si>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</si>
  <si>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</si>
  <si>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</si>
  <si>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</si>
  <si>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</si>
  <si>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</si>
  <si>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</si>
  <si>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</si>
  <si>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</si>
  <si>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</si>
  <si>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</si>
  <si>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</si>
  <si>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</si>
  <si>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</si>
  <si>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</si>
  <si>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</si>
  <si>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</si>
  <si>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</si>
  <si>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</si>
  <si>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</si>
  <si>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</si>
  <si>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</si>
  <si>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</si>
  <si>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</si>
  <si>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</si>
  <si>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</si>
  <si>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</si>
  <si>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</si>
  <si>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</si>
  <si>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</si>
  <si>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</si>
  <si>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</si>
  <si>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</si>
  <si>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</si>
  <si>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</si>
  <si>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</si>
  <si>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</si>
  <si>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</si>
  <si>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</si>
  <si>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</si>
  <si>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</si>
  <si>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</si>
  <si>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</si>
  <si>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</si>
  <si>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</si>
  <si>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</si>
  <si>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</si>
  <si>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</si>
  <si>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</si>
  <si>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</si>
  <si>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</si>
  <si>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</si>
  <si>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</si>
  <si>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</si>
  <si>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</si>
  <si>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</si>
  <si>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</si>
  <si>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</si>
  <si>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</si>
  <si>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</si>
  <si>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</si>
  <si>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</si>
  <si>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</si>
  <si>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</si>
  <si>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</si>
  <si>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</si>
  <si>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</si>
  <si>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</si>
  <si>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</si>
  <si>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</si>
  <si>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</si>
  <si>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</si>
  <si>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</si>
  <si>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</si>
  <si>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</si>
  <si>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</si>
  <si>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</si>
  <si>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</si>
  <si>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</si>
  <si>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</si>
  <si>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</si>
  <si>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</si>
  <si>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</si>
  <si>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</si>
  <si>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</si>
  <si>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</si>
  <si>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</si>
  <si>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</si>
  <si>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</si>
  <si>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</si>
  <si>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</si>
  <si>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</si>
  <si>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</si>
  <si>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</si>
  <si>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</si>
  <si>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</si>
  <si>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</si>
  <si>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</si>
  <si>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</si>
  <si>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</si>
  <si>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</si>
  <si>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</si>
  <si>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</si>
  <si>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</si>
  <si>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</si>
  <si>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</si>
  <si>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</si>
  <si>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</si>
  <si>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</si>
  <si>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</si>
  <si>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</si>
  <si>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</si>
  <si>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</si>
  <si>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</si>
  <si>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</si>
  <si>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</si>
  <si>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</si>
  <si>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</si>
  <si>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</si>
  <si>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</si>
  <si>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</si>
  <si>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</si>
  <si>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</si>
  <si>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</si>
  <si>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</si>
  <si>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</si>
  <si>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</si>
  <si>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</si>
  <si>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</si>
  <si>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</si>
  <si>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</si>
  <si>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</si>
  <si>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</si>
  <si>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</si>
  <si>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</si>
  <si>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</si>
  <si>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</si>
  <si>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</si>
  <si>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</si>
  <si>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</si>
  <si>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</si>
  <si>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</si>
  <si>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</si>
  <si>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</si>
  <si>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</si>
  <si>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</si>
  <si>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</si>
  <si>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</si>
  <si>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</si>
  <si>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</si>
  <si>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</si>
  <si>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</si>
  <si>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</si>
  <si>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</si>
  <si>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</si>
  <si>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</si>
  <si>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</si>
  <si>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</si>
  <si>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</si>
  <si>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</si>
  <si>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</si>
  <si>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</si>
  <si>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</si>
  <si>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</si>
  <si>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</si>
  <si>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</si>
  <si>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</si>
  <si>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</si>
  <si>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</si>
  <si>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</si>
  <si>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</si>
  <si>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</si>
  <si>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</si>
  <si>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</si>
  <si>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</si>
  <si>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</si>
  <si>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</si>
  <si>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</si>
  <si>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</si>
  <si>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</si>
  <si>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</si>
  <si>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</si>
  <si>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</si>
  <si>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</si>
  <si>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</si>
  <si>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</si>
  <si>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</si>
  <si>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</si>
  <si>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</si>
  <si>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</si>
  <si>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</si>
  <si>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</si>
  <si>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</si>
  <si>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</si>
  <si>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</si>
  <si>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</si>
  <si>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</si>
  <si>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</si>
  <si>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</si>
  <si>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</si>
  <si>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</si>
  <si>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</si>
  <si>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</si>
  <si>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</si>
  <si>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</si>
  <si>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</si>
  <si>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</si>
  <si>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</si>
  <si>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</si>
  <si>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</si>
  <si>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</si>
  <si>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</si>
  <si>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</si>
  <si>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</si>
  <si>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</si>
  <si>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</si>
  <si>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</si>
  <si>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</si>
  <si>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</si>
  <si>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</si>
  <si>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</si>
  <si>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</si>
  <si>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</si>
  <si>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</si>
  <si>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</si>
  <si>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</si>
  <si>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</si>
  <si>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</si>
  <si>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</si>
  <si>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</si>
  <si>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</si>
  <si>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</si>
  <si>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</si>
  <si>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</si>
  <si>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</si>
  <si>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</si>
  <si>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</si>
  <si>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</si>
  <si>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</si>
  <si>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</si>
  <si>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</si>
  <si>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</si>
  <si>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</si>
  <si>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</si>
  <si>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</si>
  <si>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</si>
  <si>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</si>
  <si>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</si>
  <si>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</si>
  <si>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</si>
  <si>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</si>
  <si>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</si>
  <si>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</si>
  <si>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</si>
  <si>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</si>
  <si>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</si>
  <si>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</si>
  <si>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</si>
  <si>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</si>
  <si>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</si>
  <si>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</si>
  <si>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</si>
  <si>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</si>
  <si>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</si>
  <si>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</si>
  <si>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</si>
  <si>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</si>
  <si>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</si>
  <si>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</si>
  <si>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</si>
  <si>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</si>
  <si>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</si>
  <si>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</si>
  <si>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</si>
  <si>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</si>
  <si>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</si>
  <si>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</si>
  <si>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</si>
  <si>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</si>
  <si>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</si>
  <si>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</si>
  <si>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</si>
  <si>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</si>
  <si>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</si>
  <si>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</si>
  <si>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</si>
  <si>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</si>
  <si>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</si>
  <si>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</si>
  <si>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</si>
  <si>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</si>
  <si>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</si>
  <si>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</si>
  <si>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</si>
  <si>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</si>
  <si>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</si>
  <si>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</si>
  <si>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</si>
  <si>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</si>
  <si>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</si>
  <si>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</si>
  <si>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</si>
  <si>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</si>
  <si>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</si>
  <si>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</si>
  <si>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</si>
  <si>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</si>
  <si>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</si>
  <si>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</si>
  <si>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</si>
  <si>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</si>
  <si>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</si>
  <si>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</si>
  <si>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</si>
  <si>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</si>
  <si>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</si>
  <si>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</si>
  <si>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</si>
  <si>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</si>
  <si>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</si>
  <si>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</si>
  <si>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</si>
  <si>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</si>
  <si>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</si>
  <si>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</si>
  <si>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</si>
  <si>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</si>
  <si>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</si>
  <si>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</si>
  <si>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</si>
  <si>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</si>
  <si>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</si>
  <si>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</si>
  <si>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</si>
  <si>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</si>
  <si>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</si>
  <si>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</si>
  <si>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</si>
  <si>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</si>
  <si>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</si>
  <si>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</si>
  <si>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</si>
  <si>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</si>
  <si>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</si>
  <si>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</si>
  <si>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</si>
  <si>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</si>
  <si>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</si>
  <si>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</si>
  <si>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</si>
  <si>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</si>
  <si>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</si>
  <si>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</si>
  <si>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</si>
  <si>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</si>
  <si>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</si>
  <si>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</si>
  <si>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</si>
  <si>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</si>
  <si>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</si>
  <si>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</si>
  <si>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</si>
  <si>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</si>
  <si>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</si>
  <si>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</si>
  <si>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</si>
  <si>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</si>
  <si>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</si>
  <si>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</si>
  <si>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</si>
  <si>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</si>
  <si>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</si>
  <si>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</si>
  <si>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</si>
  <si>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</si>
  <si>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</si>
  <si>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</si>
  <si>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</si>
  <si>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</si>
  <si>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</si>
  <si>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</si>
  <si>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</si>
  <si>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</si>
  <si>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</si>
  <si>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</si>
  <si>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</si>
  <si>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</si>
  <si>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</si>
  <si>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</si>
  <si>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</si>
  <si>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</si>
  <si>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</si>
  <si>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</si>
  <si>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</si>
  <si>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</si>
  <si>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</si>
  <si>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</si>
  <si>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</si>
  <si>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</si>
  <si>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</si>
  <si>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</si>
  <si>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</si>
  <si>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</si>
  <si>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</si>
  <si>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</si>
  <si>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</si>
  <si>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</si>
  <si>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</si>
  <si>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</si>
  <si>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</si>
  <si>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</si>
  <si>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</si>
  <si>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</si>
  <si>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</si>
  <si>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</si>
  <si>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</si>
  <si>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</si>
  <si>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</si>
  <si>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</si>
  <si>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</si>
  <si>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</si>
  <si>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</si>
  <si>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</si>
  <si>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</si>
  <si>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</si>
  <si>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</si>
  <si>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</si>
  <si>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</si>
  <si>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</si>
  <si>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</si>
  <si>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</si>
  <si>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</si>
  <si>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</si>
  <si>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</si>
  <si>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</si>
  <si>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</si>
  <si>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</si>
  <si>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</si>
  <si>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</si>
  <si>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</si>
  <si>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</si>
  <si>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</si>
  <si>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</si>
  <si>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</si>
  <si>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</si>
  <si>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</si>
  <si>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</si>
  <si>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</si>
  <si>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</si>
  <si>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</si>
  <si>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</si>
  <si>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</si>
  <si>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</si>
  <si>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</si>
  <si>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</si>
  <si>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</si>
  <si>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</si>
  <si>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</si>
  <si>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</si>
  <si>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</si>
  <si>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</si>
  <si>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</si>
  <si>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</si>
  <si>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</si>
  <si>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</si>
  <si>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</si>
  <si>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</si>
  <si>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</si>
  <si>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</si>
  <si>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</si>
  <si>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</si>
  <si>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</si>
  <si>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</si>
  <si>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</si>
  <si>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</si>
  <si>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</si>
  <si>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</si>
  <si>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</si>
  <si>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</si>
  <si>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</si>
  <si>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</si>
  <si>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</si>
  <si>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</si>
  <si>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</si>
  <si>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</si>
  <si>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</si>
  <si>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</si>
  <si>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</si>
  <si>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</si>
  <si>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</si>
  <si>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</si>
  <si>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</si>
  <si>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</si>
  <si>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</si>
  <si>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</si>
  <si>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</si>
  <si>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</si>
  <si>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</si>
  <si>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</si>
  <si>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</si>
  <si>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</si>
  <si>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</si>
  <si>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</si>
  <si>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</si>
  <si>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</si>
  <si>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</si>
  <si>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</si>
  <si>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</si>
  <si>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</si>
  <si>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</si>
  <si>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</si>
  <si>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</si>
  <si>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</si>
  <si>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</si>
  <si>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</si>
  <si>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</si>
  <si>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</si>
  <si>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</si>
  <si>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</si>
  <si>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</si>
  <si>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</si>
  <si>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</si>
  <si>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</si>
  <si>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</si>
  <si>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</si>
  <si>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</si>
  <si>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</si>
  <si>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</si>
  <si>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</si>
  <si>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</si>
  <si>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</si>
  <si>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</si>
  <si>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</si>
  <si>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</si>
  <si>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</si>
  <si>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</si>
  <si>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</si>
  <si>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</si>
  <si>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</si>
  <si>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</si>
  <si>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</si>
  <si>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</si>
  <si>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</si>
  <si>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</si>
  <si>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</si>
  <si>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</si>
  <si>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</si>
  <si>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</si>
  <si>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</si>
  <si>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</si>
  <si>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</si>
  <si>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</si>
  <si>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</si>
  <si>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</si>
  <si>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</si>
  <si>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</si>
  <si>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</si>
  <si>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</si>
  <si>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</si>
  <si>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</si>
  <si>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</si>
  <si>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</si>
  <si>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</si>
  <si>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</si>
  <si>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</si>
  <si>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</si>
  <si>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</si>
  <si>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</si>
  <si>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</si>
  <si>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</si>
  <si>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</si>
  <si>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</si>
  <si>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</si>
  <si>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</si>
  <si>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</si>
  <si>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</si>
  <si>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</si>
  <si>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</si>
  <si>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</si>
  <si>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</si>
  <si>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</si>
  <si>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</si>
  <si>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</si>
  <si>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</si>
  <si>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</si>
  <si>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</si>
  <si>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</si>
  <si>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</si>
  <si>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</si>
  <si>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</si>
  <si>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</si>
  <si>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</si>
  <si>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</si>
  <si>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</si>
  <si>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</si>
  <si>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</si>
  <si>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</si>
  <si>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</si>
  <si>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</si>
  <si>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</si>
  <si>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</si>
  <si>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</si>
  <si>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</si>
  <si>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</si>
  <si>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</si>
  <si>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</si>
  <si>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</si>
  <si>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</si>
  <si>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</si>
  <si>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</si>
  <si>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</si>
  <si>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</si>
  <si>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</si>
  <si>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</si>
  <si>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</si>
  <si>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</si>
  <si>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</si>
  <si>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</si>
  <si>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</si>
  <si>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</si>
  <si>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</si>
  <si>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</si>
  <si>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</si>
  <si>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</si>
  <si>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</si>
  <si>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</si>
  <si>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</si>
  <si>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</si>
  <si>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</si>
  <si>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</si>
  <si>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</si>
  <si>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</si>
  <si>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</si>
  <si>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</si>
  <si>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</si>
  <si>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</si>
  <si>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</si>
  <si>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</si>
  <si>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</si>
  <si>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</si>
  <si>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</si>
  <si>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</si>
  <si>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</si>
  <si>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</si>
  <si>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</si>
  <si>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</si>
  <si>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</si>
  <si>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</si>
  <si>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</si>
  <si>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</si>
  <si>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</si>
  <si>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</si>
  <si>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</si>
  <si>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</si>
  <si>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</si>
  <si>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</si>
  <si>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</si>
  <si>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</si>
  <si>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</si>
  <si>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</si>
  <si>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</si>
  <si>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</si>
  <si>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</si>
  <si>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</si>
  <si>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</si>
  <si>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</si>
  <si>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</si>
  <si>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</si>
  <si>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</si>
  <si>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</si>
  <si>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</si>
  <si>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</si>
  <si>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</si>
  <si>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</si>
  <si>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</si>
  <si>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</si>
  <si>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</si>
  <si>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</si>
  <si>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</si>
  <si>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</si>
  <si>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</si>
  <si>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</si>
  <si>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</si>
  <si>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</si>
  <si>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</si>
  <si>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</si>
  <si>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</si>
  <si>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</si>
  <si>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</si>
  <si>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</si>
  <si>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</si>
  <si>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</si>
  <si>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</si>
  <si>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</si>
  <si>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</si>
  <si>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</si>
  <si>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</si>
  <si>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</si>
  <si>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</si>
  <si>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</si>
  <si>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</si>
  <si>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</si>
  <si>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</si>
  <si>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</si>
  <si>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</si>
  <si>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</si>
  <si>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</si>
  <si>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</si>
  <si>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</si>
  <si>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</si>
  <si>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</si>
  <si>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</si>
  <si>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</si>
  <si>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</si>
  <si>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</si>
  <si>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</si>
  <si>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</si>
  <si>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</si>
  <si>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</si>
  <si>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</si>
  <si>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</si>
  <si>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</si>
  <si>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</si>
  <si>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</si>
  <si>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</si>
  <si>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</si>
  <si>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</si>
  <si>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</si>
  <si>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</si>
  <si>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</si>
  <si>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</si>
  <si>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</si>
  <si>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</si>
  <si>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</si>
  <si>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</si>
  <si>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</si>
  <si>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</si>
  <si>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</si>
  <si>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</si>
  <si>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</si>
  <si>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</si>
  <si>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</si>
  <si>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</si>
  <si>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</si>
  <si>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</si>
  <si>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</si>
  <si>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</si>
  <si>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</si>
  <si>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</si>
  <si>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</si>
  <si>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</si>
  <si>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</si>
  <si>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</si>
  <si>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</si>
  <si>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</si>
  <si>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</si>
  <si>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</si>
  <si>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</si>
  <si>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</si>
  <si>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</si>
  <si>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</si>
  <si>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</si>
  <si>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</si>
  <si>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</si>
  <si>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</si>
  <si>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</si>
  <si>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</si>
  <si>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</si>
  <si>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</si>
  <si>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</si>
  <si>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</si>
  <si>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</si>
  <si>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</si>
  <si>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</si>
  <si>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</si>
  <si>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</si>
  <si>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</si>
  <si>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</si>
  <si>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</si>
  <si>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</si>
  <si>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</si>
  <si>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</si>
  <si>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</si>
  <si>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</si>
  <si>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</si>
  <si>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</si>
  <si>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</si>
  <si>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</si>
  <si>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</si>
  <si>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</si>
  <si>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</si>
  <si>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</si>
  <si>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</si>
  <si>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</si>
  <si>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</si>
  <si>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</si>
  <si>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</si>
  <si>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</si>
  <si>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</si>
  <si>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</si>
  <si>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</si>
  <si>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</si>
  <si>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</si>
  <si>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</si>
  <si>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</si>
  <si>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</si>
  <si>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</si>
  <si>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</si>
  <si>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</si>
  <si>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</si>
  <si>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</si>
  <si>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</si>
  <si>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</si>
  <si>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</si>
  <si>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</si>
  <si>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</si>
  <si>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</si>
  <si>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</si>
  <si>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</si>
  <si>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</si>
  <si>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</si>
  <si>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</si>
  <si>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</si>
  <si>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</si>
  <si>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</si>
  <si>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</si>
  <si>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</si>
  <si>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</si>
  <si>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</si>
  <si>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</si>
  <si>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</si>
  <si>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</si>
  <si>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</si>
  <si>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</si>
  <si>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</si>
  <si>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</si>
  <si>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</si>
  <si>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</si>
  <si>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</si>
  <si>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</si>
  <si>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</si>
  <si>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</si>
  <si>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</si>
  <si>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</si>
  <si>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</si>
  <si>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</si>
  <si>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</si>
  <si>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</si>
  <si>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</si>
  <si>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</si>
  <si>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</si>
  <si>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</si>
  <si>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</si>
  <si>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</si>
  <si>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</si>
  <si>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</si>
  <si>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</si>
  <si>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</si>
  <si>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</si>
  <si>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</si>
  <si>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</si>
  <si>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</si>
  <si>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</si>
  <si>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</si>
  <si>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</si>
  <si>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</si>
  <si>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</si>
  <si>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</si>
  <si>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</si>
  <si>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</si>
  <si>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</si>
  <si>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</si>
  <si>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</si>
  <si>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</si>
  <si>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</si>
  <si>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</si>
  <si>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</si>
  <si>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</si>
  <si>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</si>
  <si>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</si>
  <si>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</si>
  <si>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</si>
  <si>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</si>
  <si>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</si>
  <si>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</si>
  <si>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</si>
  <si>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</si>
  <si>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</si>
  <si>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</si>
  <si>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</si>
  <si>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</si>
  <si>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</si>
  <si>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</si>
  <si>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</si>
  <si>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</si>
  <si>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</si>
  <si>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</si>
  <si>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</si>
  <si>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</si>
  <si>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</si>
  <si>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</si>
  <si>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</si>
  <si>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</si>
  <si>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</si>
  <si>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</si>
  <si>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</si>
  <si>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</si>
  <si>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</si>
  <si>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</si>
  <si>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</si>
  <si>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</si>
  <si>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</si>
  <si>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</si>
  <si>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</si>
  <si>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</si>
  <si>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</si>
  <si>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</si>
  <si>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</si>
  <si>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</si>
  <si>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</si>
  <si>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</si>
  <si>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</si>
  <si>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</si>
  <si>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</si>
  <si>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</si>
  <si>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</si>
  <si>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</si>
  <si>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</si>
  <si>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</si>
  <si>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</si>
  <si>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</si>
  <si>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</si>
  <si>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</si>
  <si>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</si>
  <si>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</si>
  <si>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</si>
  <si>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</si>
  <si>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</si>
  <si>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</si>
  <si>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</si>
  <si>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</si>
  <si>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</si>
  <si>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</si>
  <si>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</si>
  <si>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</si>
  <si>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</si>
  <si>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</si>
  <si>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</si>
  <si>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</si>
  <si>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</si>
  <si>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</si>
  <si>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</si>
  <si>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</si>
  <si>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</si>
  <si>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</si>
  <si>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</si>
  <si>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</si>
  <si>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</si>
  <si>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</si>
  <si>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</si>
  <si>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</si>
  <si>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</si>
  <si>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</si>
  <si>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</si>
  <si>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</si>
  <si>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</si>
  <si>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</si>
  <si>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</si>
  <si>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</si>
  <si>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</si>
  <si>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</si>
  <si>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</si>
  <si>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</si>
  <si>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</si>
  <si>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</si>
  <si>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</si>
  <si>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</si>
  <si>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</si>
  <si>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</si>
  <si>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</si>
  <si>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</si>
  <si>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</si>
  <si>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</si>
  <si>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</si>
  <si>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</si>
  <si>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</si>
  <si>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</si>
  <si>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</si>
  <si>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</si>
  <si>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</si>
  <si>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</si>
  <si>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</si>
  <si>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</si>
  <si>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</si>
  <si>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</si>
  <si>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</si>
  <si>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</si>
  <si>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</si>
  <si>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</si>
  <si>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</si>
  <si>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</si>
  <si>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</si>
  <si>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</si>
  <si>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</si>
  <si>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</si>
  <si>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</si>
  <si>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</si>
  <si>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</si>
  <si>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</si>
  <si>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</si>
  <si>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</si>
  <si>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</si>
  <si>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</si>
  <si>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</si>
  <si>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</si>
  <si>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</si>
  <si>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</si>
  <si>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</si>
  <si>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</si>
  <si>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</si>
  <si>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</si>
  <si>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</si>
  <si>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</si>
  <si>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</si>
  <si>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</si>
  <si>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</si>
  <si>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</si>
  <si>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</si>
  <si>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</si>
  <si>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</si>
  <si>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</si>
  <si>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</si>
  <si>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</si>
  <si>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</si>
  <si>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</si>
  <si>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</si>
  <si>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</si>
  <si>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</si>
  <si>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</si>
  <si>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</si>
  <si>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</si>
  <si>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</si>
  <si>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</si>
  <si>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</si>
  <si>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</si>
  <si>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</si>
  <si>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</si>
  <si>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</si>
  <si>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</si>
  <si>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</si>
  <si>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</si>
  <si>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</si>
  <si>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</si>
  <si>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</si>
  <si>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</si>
  <si>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</si>
  <si>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</si>
  <si>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</si>
  <si>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</si>
  <si>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</si>
  <si>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</si>
  <si>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</si>
  <si>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</si>
  <si>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</si>
  <si>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</si>
  <si>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</si>
  <si>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</si>
  <si>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</si>
  <si>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</si>
  <si>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</si>
  <si>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</si>
  <si>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</si>
  <si>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</si>
  <si>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</si>
  <si>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</si>
  <si>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</si>
  <si>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</si>
  <si>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</si>
  <si>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</si>
  <si>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</si>
  <si>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</si>
  <si>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</si>
  <si>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</si>
  <si>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</si>
  <si>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</si>
  <si>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</si>
  <si>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</si>
  <si>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</si>
  <si>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</si>
  <si>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</si>
  <si>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</si>
  <si>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</si>
  <si>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</si>
  <si>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</si>
  <si>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</si>
  <si>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</si>
  <si>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</si>
  <si>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</si>
  <si>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</si>
  <si>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</si>
  <si>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</si>
  <si>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</si>
  <si>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</si>
  <si>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</si>
  <si>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</si>
  <si>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</si>
  <si>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</si>
  <si>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</si>
  <si>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</si>
  <si>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</si>
  <si>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</si>
  <si>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</si>
  <si>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</si>
  <si>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</si>
  <si>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</si>
  <si>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</si>
  <si>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</si>
  <si>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</si>
  <si>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</si>
  <si>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</si>
  <si>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</si>
  <si>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</si>
  <si>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</si>
  <si>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</si>
  <si>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</si>
  <si>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</si>
  <si>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</si>
  <si>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</si>
  <si>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</si>
  <si>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</si>
  <si>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</si>
  <si>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</si>
  <si>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</si>
  <si>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</si>
  <si>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</si>
  <si>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</si>
  <si>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</si>
  <si>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</si>
  <si>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</si>
  <si>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</si>
  <si>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</si>
  <si>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</si>
  <si>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</si>
  <si>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</si>
  <si>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</si>
  <si>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</si>
  <si>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</si>
  <si>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</si>
  <si>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</si>
  <si>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</si>
  <si>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</si>
  <si>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</si>
  <si>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</si>
  <si>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</si>
  <si>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</si>
  <si>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</si>
  <si>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</si>
  <si>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</si>
  <si>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</si>
  <si>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</si>
  <si>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</si>
  <si>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</si>
  <si>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</si>
  <si>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</si>
  <si>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</si>
  <si>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</si>
  <si>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</si>
  <si>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</si>
  <si>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</si>
  <si>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</si>
  <si>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</si>
  <si>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</si>
  <si>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</si>
  <si>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</si>
  <si>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</si>
  <si>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</si>
  <si>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</si>
  <si>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</si>
  <si>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</si>
  <si>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</si>
  <si>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</si>
  <si>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</si>
  <si>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</si>
  <si>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</si>
  <si>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</si>
  <si>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</si>
  <si>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</si>
  <si>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</si>
  <si>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</si>
  <si>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</si>
  <si>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</si>
  <si>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</si>
  <si>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</si>
  <si>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</si>
  <si>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</si>
  <si>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</si>
  <si>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</si>
  <si>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</si>
  <si>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</si>
  <si>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</si>
  <si>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</si>
  <si>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</si>
  <si>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</si>
  <si>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</si>
  <si>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</si>
  <si>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</si>
  <si>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</si>
  <si>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</si>
  <si>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</si>
  <si>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</si>
  <si>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</si>
  <si>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</si>
  <si>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</si>
  <si>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</si>
  <si>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</si>
  <si>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</si>
  <si>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</si>
  <si>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</si>
  <si>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</si>
  <si>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</si>
  <si>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</si>
  <si>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</si>
  <si>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</si>
  <si>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</si>
  <si>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</si>
  <si>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</si>
  <si>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</si>
  <si>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</si>
  <si>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</si>
  <si>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</si>
  <si>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</si>
  <si>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</si>
  <si>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</si>
  <si>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</si>
  <si>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</si>
  <si>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</si>
  <si>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</si>
  <si>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</si>
  <si>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</si>
  <si>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</si>
  <si>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</si>
  <si>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</si>
  <si>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</si>
  <si>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</si>
  <si>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</si>
  <si>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</si>
  <si>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</si>
  <si>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</si>
  <si>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</si>
  <si>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</si>
  <si>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</si>
  <si>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</si>
  <si>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</si>
  <si>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</si>
  <si>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</si>
  <si>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</si>
  <si>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</si>
  <si>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</si>
  <si>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</si>
  <si>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</si>
  <si>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</si>
  <si>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</si>
  <si>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</si>
  <si>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</si>
  <si>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</si>
  <si>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</si>
  <si>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</si>
  <si>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</si>
  <si>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</si>
  <si>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</si>
  <si>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</si>
  <si>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</si>
  <si>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</si>
  <si>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</si>
  <si>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</si>
  <si>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</si>
  <si>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</si>
  <si>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</si>
  <si>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</si>
  <si>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</si>
  <si>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</si>
  <si>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</si>
  <si>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</si>
  <si>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</si>
  <si>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</si>
  <si>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</si>
  <si>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</si>
  <si>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</si>
  <si>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</si>
  <si>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</si>
  <si>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</si>
  <si>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</si>
  <si>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</si>
  <si>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</si>
  <si>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</si>
  <si>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</si>
  <si>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</si>
  <si>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</si>
  <si>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</si>
  <si>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</si>
  <si>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</si>
  <si>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</si>
  <si>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</si>
  <si>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</si>
  <si>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</si>
  <si>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</si>
  <si>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</si>
  <si>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</si>
  <si>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</si>
  <si>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</si>
  <si>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</si>
  <si>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</si>
  <si>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</si>
  <si>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</si>
  <si>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</si>
  <si>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</si>
  <si>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</si>
  <si>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</si>
  <si>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</si>
  <si>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</si>
  <si>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</si>
  <si>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</si>
  <si>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</si>
  <si>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</si>
  <si>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</si>
  <si>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</si>
  <si>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</si>
  <si>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</si>
  <si>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</si>
  <si>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</si>
  <si>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</si>
  <si>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</si>
  <si>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</si>
  <si>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</si>
  <si>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</si>
  <si>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</si>
  <si>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</si>
  <si>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</si>
  <si>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</si>
  <si>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</si>
  <si>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</si>
  <si>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</si>
  <si>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</si>
  <si>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</si>
  <si>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</si>
  <si>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</si>
  <si>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</si>
  <si>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</si>
  <si>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</si>
  <si>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</si>
  <si>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</si>
  <si>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</si>
  <si>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</si>
  <si>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</si>
  <si>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</si>
  <si>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</si>
  <si>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</si>
  <si>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</si>
  <si>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</si>
  <si>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</si>
  <si>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</si>
  <si>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</si>
  <si>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</si>
  <si>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</si>
  <si>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</si>
  <si>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</si>
  <si>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</si>
  <si>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</si>
  <si>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</si>
  <si>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</si>
  <si>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</si>
  <si>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</si>
  <si>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</si>
  <si>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</si>
  <si>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</si>
  <si>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</si>
  <si>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</si>
  <si>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</si>
  <si>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</si>
  <si>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</si>
  <si>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</si>
  <si>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</si>
  <si>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</si>
  <si>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</si>
  <si>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</si>
  <si>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</si>
  <si>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</si>
  <si>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</si>
  <si>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</si>
  <si>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</si>
  <si>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</si>
  <si>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</si>
  <si>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</si>
  <si>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</si>
  <si>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</si>
  <si>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</si>
  <si>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</si>
  <si>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</si>
  <si>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</si>
  <si>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</si>
  <si>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</si>
  <si>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</si>
  <si>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</si>
  <si>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</si>
  <si>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</si>
  <si>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</si>
  <si>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</si>
  <si>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</si>
  <si>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</si>
  <si>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</si>
  <si>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</si>
  <si>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</si>
  <si>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</si>
  <si>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</si>
  <si>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</si>
  <si>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</si>
  <si>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</si>
  <si>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</si>
  <si>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</si>
  <si>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</si>
  <si>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</si>
  <si>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</si>
  <si>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</si>
  <si>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</si>
  <si>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</si>
  <si>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</si>
  <si>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</si>
  <si>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</si>
  <si>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</si>
  <si>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</si>
  <si>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</si>
  <si>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</si>
  <si>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</si>
  <si>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</si>
  <si>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</si>
  <si>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</si>
  <si>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</si>
  <si>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</si>
  <si>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</si>
  <si>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</si>
  <si>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</si>
  <si>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</si>
  <si>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</si>
  <si>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</si>
  <si>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</si>
  <si>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</si>
  <si>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</si>
  <si>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</si>
  <si>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</si>
  <si>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</si>
  <si>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</si>
  <si>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</si>
  <si>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</si>
  <si>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</si>
  <si>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</si>
  <si>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</si>
  <si>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</si>
  <si>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</si>
  <si>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</si>
  <si>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</si>
  <si>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</si>
  <si>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</si>
  <si>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</si>
  <si>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</si>
  <si>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</si>
  <si>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</si>
  <si>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</si>
  <si>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</si>
  <si>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</si>
  <si>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</si>
  <si>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</si>
  <si>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</si>
  <si>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</si>
  <si>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</si>
  <si>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</si>
  <si>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</si>
  <si>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</si>
  <si>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</si>
  <si>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</si>
  <si>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</si>
  <si>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</si>
  <si>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</si>
  <si>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</si>
  <si>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</si>
  <si>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</si>
  <si>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</si>
  <si>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</si>
  <si>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</si>
  <si>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</si>
  <si>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</si>
  <si>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</si>
  <si>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</si>
  <si>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</si>
  <si>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</si>
  <si>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</si>
  <si>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</si>
  <si>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</si>
  <si>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</si>
  <si>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</si>
  <si>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</si>
  <si>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</si>
  <si>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</si>
  <si>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</si>
  <si>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</si>
  <si>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</si>
  <si>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</si>
  <si>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</si>
  <si>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</si>
  <si>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</si>
  <si>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</si>
  <si>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</si>
  <si>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</si>
  <si>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</si>
  <si>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</si>
  <si>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</si>
  <si>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</si>
  <si>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</si>
  <si>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</si>
  <si>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</si>
  <si>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</si>
  <si>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</si>
  <si>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</si>
  <si>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</si>
  <si>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</si>
  <si>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</si>
  <si>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</si>
  <si>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</si>
  <si>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</si>
  <si>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</si>
  <si>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</si>
  <si>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</si>
  <si>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</si>
  <si>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</si>
  <si>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</si>
  <si>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</si>
  <si>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</si>
  <si>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</si>
  <si>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</si>
  <si>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</si>
  <si>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</si>
  <si>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</si>
  <si>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</si>
  <si>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</si>
  <si>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</si>
  <si>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</si>
  <si>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</si>
  <si>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</si>
  <si>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</si>
  <si>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</si>
  <si>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</si>
  <si>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</si>
  <si>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</si>
  <si>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</si>
  <si>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</si>
  <si>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</si>
  <si>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</si>
  <si>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</si>
  <si>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</si>
  <si>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</si>
  <si>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</si>
  <si>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</si>
  <si>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</si>
  <si>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</si>
  <si>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</si>
  <si>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</si>
  <si>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</si>
  <si>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</si>
  <si>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</si>
  <si>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</si>
  <si>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</si>
  <si>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</si>
  <si>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</si>
  <si>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</si>
  <si>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</si>
  <si>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</si>
  <si>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</si>
  <si>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</si>
  <si>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</si>
  <si>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</si>
  <si>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</si>
  <si>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</si>
  <si>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</si>
  <si>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</si>
  <si>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</si>
  <si>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</si>
  <si>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</si>
  <si>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</si>
  <si>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</si>
  <si>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</si>
  <si>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</si>
  <si>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</si>
  <si>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</si>
  <si>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</si>
  <si>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</si>
  <si>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</si>
  <si>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</si>
  <si>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</si>
  <si>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</si>
  <si>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</si>
  <si>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</si>
  <si>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</si>
  <si>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</si>
  <si>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</si>
  <si>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</si>
  <si>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</si>
  <si>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</si>
  <si>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</si>
  <si>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</si>
  <si>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</si>
  <si>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</si>
  <si>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</si>
  <si>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</si>
  <si>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</si>
  <si>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</si>
  <si>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</si>
  <si>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</si>
  <si>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</si>
  <si>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</si>
  <si>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</si>
  <si>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</si>
  <si>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</si>
  <si>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</si>
  <si>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</si>
  <si>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</si>
  <si>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</si>
  <si>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</si>
  <si>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</si>
  <si>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</si>
  <si>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</si>
  <si>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</si>
  <si>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</si>
  <si>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</si>
  <si>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</si>
  <si>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</si>
  <si>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</si>
  <si>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</si>
  <si>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</si>
  <si>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</si>
  <si>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</si>
  <si>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</si>
  <si>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</si>
  <si>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</si>
  <si>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</si>
  <si>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</si>
  <si>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</si>
  <si>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</si>
  <si>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</si>
  <si>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</si>
  <si>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</si>
  <si>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</si>
  <si>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</si>
  <si>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</si>
  <si>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</si>
  <si>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</si>
  <si>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</si>
  <si>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</si>
  <si>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</si>
  <si>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</si>
  <si>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</si>
  <si>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</si>
  <si>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</si>
  <si>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</si>
  <si>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</si>
  <si>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</si>
  <si>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</si>
  <si>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</si>
  <si>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</si>
  <si>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</si>
  <si>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</si>
  <si>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</si>
  <si>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</si>
  <si>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</si>
  <si>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</si>
  <si>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</si>
  <si>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</si>
  <si>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</si>
  <si>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</si>
  <si>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</si>
  <si>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</si>
  <si>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</si>
  <si>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</si>
  <si>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</si>
  <si>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</si>
  <si>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</si>
  <si>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</si>
  <si>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</si>
  <si>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</si>
  <si>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</si>
  <si>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</si>
  <si>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</si>
  <si>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</si>
  <si>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</si>
  <si>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</si>
  <si>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</si>
  <si>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</si>
  <si>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</si>
  <si>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</si>
  <si>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</si>
  <si>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</si>
  <si>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</si>
  <si>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</si>
  <si>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</si>
  <si>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</si>
  <si>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</si>
  <si>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</si>
  <si>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</si>
  <si>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</si>
  <si>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</si>
  <si>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</si>
  <si>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</si>
  <si>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</si>
  <si>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</si>
  <si>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</si>
  <si>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</si>
  <si>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</si>
  <si>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</si>
  <si>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</si>
  <si>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</si>
  <si>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</si>
  <si>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</si>
  <si>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</si>
  <si>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</si>
  <si>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</si>
  <si>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</si>
  <si>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</si>
  <si>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</si>
  <si>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</si>
  <si>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</si>
  <si>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</si>
  <si>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</si>
  <si>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</si>
  <si>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</si>
  <si>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</si>
  <si>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</si>
  <si>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</si>
  <si>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</si>
  <si>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</si>
  <si>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</si>
  <si>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</si>
  <si>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</si>
  <si>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</si>
  <si>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</si>
  <si>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</si>
  <si>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</si>
  <si>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</si>
  <si>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</si>
  <si>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</si>
  <si>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</si>
  <si>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</si>
  <si>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</si>
  <si>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</si>
  <si>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</si>
  <si>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</si>
  <si>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</si>
  <si>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</si>
  <si>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</si>
  <si>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</si>
  <si>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</si>
  <si>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</si>
  <si>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</si>
  <si>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</si>
  <si>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</si>
  <si>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</si>
  <si>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</si>
  <si>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</si>
  <si>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</si>
  <si>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</si>
  <si>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</si>
  <si>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</si>
  <si>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</si>
  <si>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</si>
  <si>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</si>
  <si>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</si>
  <si>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</si>
  <si>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</si>
  <si>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</si>
  <si>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</si>
  <si>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</si>
  <si>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</si>
  <si>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</si>
  <si>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</si>
  <si>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</si>
  <si>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</si>
  <si>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</si>
  <si>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</si>
  <si>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</si>
  <si>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</si>
  <si>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</si>
  <si>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</si>
  <si>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</si>
  <si>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</si>
  <si>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</si>
  <si>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</si>
  <si>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</si>
  <si>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</si>
  <si>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</si>
  <si>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</si>
  <si>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</si>
  <si>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</si>
  <si>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</si>
  <si>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</si>
  <si>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</si>
  <si>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</si>
  <si>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</si>
  <si>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</si>
  <si>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</si>
  <si>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</si>
  <si>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</si>
  <si>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</si>
  <si>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</si>
  <si>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</si>
  <si>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</si>
  <si>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</si>
  <si>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</si>
  <si>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</si>
  <si>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</si>
  <si>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</si>
  <si>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</si>
  <si>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</si>
  <si>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</si>
  <si>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</si>
  <si>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</si>
  <si>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</si>
  <si>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</si>
  <si>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</si>
  <si>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</si>
  <si>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</si>
  <si>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</si>
  <si>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</si>
  <si>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</si>
  <si>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</si>
  <si>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</si>
  <si>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</si>
  <si>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</si>
  <si>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</si>
  <si>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</si>
  <si>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</si>
  <si>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</si>
  <si>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</si>
  <si>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</si>
  <si>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</si>
  <si>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</si>
  <si>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</si>
  <si>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</si>
  <si>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</si>
  <si>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</si>
  <si>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</si>
  <si>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</si>
  <si>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</si>
  <si>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</si>
  <si>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</si>
  <si>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</si>
  <si>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</si>
  <si>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</si>
  <si>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</si>
  <si>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</si>
  <si>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</si>
  <si>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</si>
  <si>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</si>
  <si>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</si>
  <si>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</si>
  <si>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</si>
  <si>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</si>
  <si>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</si>
  <si>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</si>
  <si>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</si>
  <si>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</si>
  <si>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</si>
  <si>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</si>
  <si>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</si>
  <si>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</si>
  <si>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</si>
  <si>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</si>
  <si>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</si>
  <si>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</si>
  <si>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</si>
  <si>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</si>
  <si>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</si>
  <si>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</si>
  <si>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</si>
  <si>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</si>
  <si>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</si>
  <si>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</si>
  <si>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</si>
  <si>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</si>
  <si>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</si>
  <si>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</si>
  <si>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</si>
  <si>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</si>
  <si>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</si>
  <si>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</si>
  <si>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</si>
  <si>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</si>
  <si>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</si>
  <si>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</si>
  <si>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</si>
  <si>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</si>
  <si>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</si>
  <si>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</si>
  <si>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</si>
  <si>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</si>
  <si>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</si>
  <si>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</si>
  <si>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</si>
  <si>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</si>
  <si>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</si>
  <si>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</si>
  <si>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</si>
  <si>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</si>
  <si>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</si>
  <si>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</si>
  <si>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</si>
  <si>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</si>
  <si>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</si>
  <si>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</si>
  <si>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</si>
  <si>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</si>
  <si>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</si>
  <si>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</si>
  <si>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</si>
  <si>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</si>
  <si>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</si>
  <si>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</si>
  <si>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</si>
  <si>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</si>
  <si>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</si>
  <si>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</si>
  <si>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</si>
  <si>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</si>
  <si>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</si>
  <si>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</si>
  <si>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</si>
  <si>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</si>
  <si>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</si>
  <si>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</si>
  <si>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</si>
  <si>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</si>
  <si>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</si>
  <si>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</si>
  <si>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</si>
  <si>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</si>
  <si>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</si>
  <si>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</si>
  <si>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</si>
  <si>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</si>
  <si>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</si>
  <si>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</si>
  <si>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</si>
  <si>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</si>
  <si>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</si>
  <si>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</si>
  <si>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</si>
  <si>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</si>
  <si>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</si>
  <si>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</si>
  <si>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</si>
  <si>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</si>
  <si>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</si>
  <si>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</si>
  <si>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</si>
  <si>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</si>
  <si>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</si>
  <si>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</si>
  <si>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</si>
  <si>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</si>
  <si>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</si>
  <si>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</si>
  <si>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</si>
  <si>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</si>
  <si>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</si>
  <si>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</si>
  <si>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</si>
  <si>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</si>
  <si>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</si>
  <si>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</si>
  <si>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</si>
  <si>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</si>
  <si>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</si>
  <si>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</si>
  <si>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</si>
  <si>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</si>
  <si>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</si>
  <si>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</si>
  <si>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</si>
  <si>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</si>
  <si>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</si>
  <si>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</si>
  <si>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</si>
  <si>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</si>
  <si>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</si>
  <si>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</si>
  <si>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</si>
  <si>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</si>
  <si>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</si>
  <si>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</si>
  <si>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</si>
  <si>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</si>
  <si>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</si>
  <si>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</si>
  <si>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</si>
  <si>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</si>
  <si>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</si>
  <si>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</si>
  <si>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</si>
  <si>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</si>
  <si>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</si>
  <si>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</si>
  <si>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</si>
  <si>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</si>
  <si>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</si>
  <si>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</si>
  <si>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</si>
  <si>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</si>
  <si>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</si>
  <si>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</si>
  <si>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</si>
  <si>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</si>
  <si>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</si>
  <si>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</si>
  <si>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</si>
  <si>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</si>
  <si>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</si>
  <si>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</si>
  <si>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</si>
  <si>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</si>
  <si>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</si>
  <si>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</si>
  <si>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</si>
  <si>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</si>
  <si>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</si>
  <si>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</si>
  <si>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</si>
  <si>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</si>
  <si>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</si>
  <si>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</si>
  <si>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</si>
  <si>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</si>
  <si>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</si>
  <si>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</si>
  <si>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</si>
  <si>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</si>
  <si>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</si>
  <si>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</si>
  <si>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</si>
  <si>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</si>
  <si>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</si>
  <si>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</si>
  <si>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</si>
  <si>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</si>
  <si>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</si>
  <si>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</si>
  <si>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</si>
  <si>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</si>
  <si>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</si>
  <si>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</si>
  <si>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</si>
  <si>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</si>
  <si>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</si>
  <si>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</si>
  <si>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</si>
  <si>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</si>
  <si>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</si>
  <si>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</si>
  <si>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</si>
  <si>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</si>
  <si>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</si>
  <si>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</si>
  <si>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</si>
  <si>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</si>
  <si>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</si>
  <si>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</si>
  <si>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</si>
  <si>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</si>
  <si>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</si>
  <si>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</si>
  <si>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</si>
  <si>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</si>
  <si>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</si>
  <si>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</si>
  <si>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</si>
  <si>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</si>
  <si>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</si>
  <si>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</si>
  <si>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</si>
  <si>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</si>
  <si>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</si>
  <si>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</si>
  <si>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</si>
  <si>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</si>
  <si>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</si>
  <si>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</si>
  <si>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</si>
  <si>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</si>
  <si>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</si>
  <si>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</si>
  <si>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</si>
  <si>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</si>
  <si>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</si>
  <si>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</si>
  <si>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</si>
  <si>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</si>
  <si>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</si>
  <si>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</si>
  <si>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</si>
  <si>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</si>
  <si>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</si>
  <si>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</si>
  <si>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</si>
  <si>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</si>
  <si>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</si>
  <si>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</si>
  <si>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</si>
  <si>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</si>
  <si>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</si>
  <si>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</si>
  <si>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</si>
  <si>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</si>
  <si>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</si>
  <si>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</si>
  <si>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</si>
  <si>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</si>
  <si>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</si>
  <si>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</si>
  <si>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</si>
  <si>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</si>
  <si>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</si>
  <si>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</si>
  <si>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</si>
  <si>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</si>
  <si>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</si>
  <si>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</si>
  <si>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</si>
  <si>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</si>
  <si>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</si>
  <si>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</si>
  <si>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</si>
  <si>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</si>
  <si>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</si>
  <si>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</si>
  <si>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</si>
  <si>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</si>
  <si>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</si>
  <si>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</si>
  <si>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</si>
  <si>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</si>
  <si>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</si>
  <si>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</si>
  <si>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</si>
  <si>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</si>
  <si>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</si>
  <si>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</si>
  <si>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</si>
  <si>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</si>
  <si>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</si>
  <si>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</si>
  <si>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</si>
  <si>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</si>
  <si>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</si>
  <si>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</si>
  <si>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</si>
  <si>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</si>
  <si>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</si>
  <si>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</si>
  <si>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</si>
  <si>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</si>
  <si>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</si>
  <si>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</si>
  <si>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</si>
  <si>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</si>
  <si>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</si>
  <si>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</si>
  <si>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</si>
  <si>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</si>
  <si>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</si>
  <si>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</si>
  <si>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</si>
  <si>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</si>
  <si>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</si>
  <si>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</si>
  <si>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</si>
  <si>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</si>
  <si>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</si>
  <si>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</si>
  <si>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</si>
  <si>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</si>
  <si>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</si>
  <si>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</si>
  <si>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</si>
  <si>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</si>
  <si>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</si>
  <si>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</si>
  <si>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</si>
  <si>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</si>
  <si>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</si>
  <si>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</si>
  <si>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</si>
  <si>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</si>
  <si>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</si>
  <si>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</si>
  <si>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</si>
  <si>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</si>
  <si>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</si>
  <si>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</si>
  <si>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</si>
  <si>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</si>
  <si>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</si>
  <si>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</si>
  <si>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</si>
  <si>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</si>
  <si>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</si>
  <si>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</si>
  <si>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</si>
  <si>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</si>
  <si>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</si>
  <si>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</si>
  <si>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</si>
  <si>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</si>
  <si>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</si>
  <si>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</si>
  <si>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</si>
  <si>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</si>
  <si>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</si>
  <si>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</si>
  <si>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</si>
  <si>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</si>
  <si>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</si>
  <si>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</si>
  <si>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</si>
  <si>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</si>
  <si>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</si>
  <si>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</si>
  <si>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</si>
  <si>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</si>
  <si>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</si>
  <si>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</si>
  <si>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</si>
  <si>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</si>
  <si>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</si>
  <si>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</si>
  <si>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</si>
  <si>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</si>
  <si>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</si>
  <si>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</si>
  <si>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</si>
  <si>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</si>
  <si>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</si>
  <si>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</si>
  <si>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</si>
  <si>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</si>
  <si>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</si>
  <si>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</si>
  <si>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</si>
  <si>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</si>
  <si>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</si>
  <si>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</si>
  <si>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</si>
  <si>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</si>
  <si>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</si>
  <si>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</si>
  <si>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</si>
  <si>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</si>
  <si>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</si>
  <si>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</si>
  <si>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</si>
  <si>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</si>
  <si>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</si>
  <si>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</si>
  <si>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</si>
  <si>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</si>
  <si>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</si>
  <si>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</si>
  <si>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</si>
  <si>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</si>
  <si>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</si>
  <si>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</si>
  <si>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</si>
  <si>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</si>
  <si>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</si>
  <si>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</si>
  <si>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</si>
  <si>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</si>
  <si>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</si>
  <si>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</si>
  <si>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</si>
  <si>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</si>
  <si>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</si>
  <si>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</si>
  <si>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</si>
  <si>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</si>
  <si>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</si>
  <si>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</si>
  <si>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</si>
  <si>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</si>
  <si>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</si>
  <si>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</si>
  <si>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</si>
  <si>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</si>
  <si>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</si>
  <si>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</si>
  <si>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</si>
  <si>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</si>
  <si>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</si>
  <si>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</si>
  <si>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</si>
  <si>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</si>
  <si>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</si>
  <si>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</si>
  <si>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</si>
  <si>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</si>
  <si>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</si>
  <si>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</si>
  <si>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</si>
  <si>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</si>
  <si>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</si>
  <si>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</si>
  <si>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</si>
  <si>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</si>
  <si>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</si>
  <si>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</si>
  <si>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</si>
  <si>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</si>
  <si>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</si>
  <si>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</si>
  <si>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</si>
  <si>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</si>
  <si>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</si>
  <si>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</si>
  <si>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</si>
  <si>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</si>
  <si>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</si>
  <si>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</si>
  <si>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</si>
  <si>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</si>
  <si>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</si>
  <si>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</si>
  <si>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</si>
  <si>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</si>
  <si>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</si>
  <si>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</si>
  <si>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</si>
  <si>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</si>
  <si>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</si>
  <si>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</si>
  <si>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</si>
  <si>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</si>
  <si>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</si>
  <si>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</si>
  <si>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</si>
  <si>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</si>
  <si>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</si>
  <si>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</si>
  <si>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</si>
  <si>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</si>
  <si>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</si>
  <si>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</si>
  <si>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</si>
  <si>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</si>
  <si>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</si>
  <si>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</si>
  <si>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</si>
  <si>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</si>
  <si>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</si>
  <si>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</si>
  <si>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</si>
  <si>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</si>
  <si>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</si>
  <si>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</si>
  <si>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</si>
  <si>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</si>
  <si>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</si>
  <si>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</si>
  <si>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</si>
  <si>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</si>
  <si>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</si>
  <si>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</si>
  <si>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</si>
  <si>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</si>
  <si>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</si>
  <si>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</si>
  <si>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</si>
  <si>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</si>
  <si>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</si>
  <si>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</si>
  <si>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</si>
  <si>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</si>
  <si>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</si>
  <si>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</si>
  <si>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</si>
  <si>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</si>
  <si>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</si>
  <si>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</si>
  <si>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</si>
  <si>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</si>
  <si>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</si>
  <si>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</si>
  <si>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</si>
  <si>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</si>
  <si>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</si>
  <si>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</si>
  <si>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</si>
  <si>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</si>
  <si>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</si>
  <si>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</si>
  <si>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</si>
  <si>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</si>
  <si>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</si>
  <si>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</si>
  <si>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</si>
  <si>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</si>
  <si>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</si>
  <si>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</si>
  <si>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</si>
  <si>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</si>
  <si>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</si>
  <si>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</si>
  <si>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</si>
  <si>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</si>
  <si>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</si>
  <si>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</si>
  <si>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</si>
  <si>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</si>
  <si>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</si>
  <si>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</si>
  <si>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</si>
  <si>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</si>
  <si>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</si>
  <si>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</si>
  <si>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</si>
  <si>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</si>
  <si>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</si>
  <si>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</si>
  <si>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</si>
  <si>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</si>
  <si>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</si>
  <si>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</si>
  <si>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</si>
  <si>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</si>
  <si>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</si>
  <si>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</si>
  <si>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</si>
  <si>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</si>
  <si>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</si>
  <si>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</si>
  <si>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</si>
  <si>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</si>
  <si>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</si>
  <si>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</si>
  <si>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</si>
  <si>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</si>
  <si>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</si>
  <si>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</si>
  <si>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</si>
  <si>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</si>
  <si>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</si>
  <si>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</si>
  <si>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</si>
  <si>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</si>
  <si>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</si>
  <si>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</si>
  <si>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</si>
  <si>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</si>
  <si>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</si>
  <si>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</si>
  <si>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</si>
  <si>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</si>
  <si>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</si>
  <si>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</si>
  <si>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</si>
  <si>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</si>
  <si>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</si>
  <si>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</si>
  <si>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</si>
  <si>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</si>
  <si>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</si>
  <si>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</si>
  <si>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</si>
  <si>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</si>
  <si>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</si>
  <si>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</si>
  <si>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</si>
  <si>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</si>
  <si>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</si>
  <si>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</si>
  <si>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</si>
  <si>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</si>
  <si>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</si>
  <si>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</si>
  <si>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</si>
  <si>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</si>
  <si>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</si>
  <si>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</si>
  <si>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</si>
  <si>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</si>
  <si>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</si>
  <si>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</si>
  <si>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</si>
  <si>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</si>
  <si>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</si>
  <si>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</si>
  <si>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</si>
  <si>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</si>
  <si>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</si>
  <si>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</si>
  <si>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</si>
  <si>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</si>
  <si>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</si>
  <si>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</si>
  <si>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</si>
  <si>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</si>
  <si>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</si>
  <si>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</si>
  <si>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</si>
  <si>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</si>
  <si>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</si>
  <si>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</si>
  <si>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</si>
  <si>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</si>
  <si>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</si>
  <si>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</si>
  <si>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</si>
  <si>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</si>
  <si>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</si>
  <si>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</si>
  <si>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</si>
  <si>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</si>
  <si>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</si>
  <si>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</si>
  <si>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</si>
  <si>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</si>
  <si>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</si>
  <si>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</si>
  <si>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</si>
  <si>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</si>
  <si>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</si>
  <si>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</si>
  <si>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</si>
  <si>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</si>
  <si>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</si>
  <si>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</si>
  <si>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</si>
  <si>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</si>
  <si>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</si>
  <si>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</si>
  <si>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</si>
  <si>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</si>
  <si>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</si>
  <si>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</si>
  <si>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</si>
  <si>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</si>
  <si>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</si>
  <si>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</si>
  <si>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</si>
  <si>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</si>
  <si>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</si>
  <si>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</si>
  <si>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</si>
  <si>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</si>
  <si>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</si>
  <si>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</si>
  <si>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</si>
  <si>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</si>
  <si>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</si>
  <si>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</si>
  <si>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</si>
  <si>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</si>
  <si>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</si>
  <si>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</si>
  <si>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</si>
  <si>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</si>
  <si>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</si>
  <si>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</si>
  <si>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</si>
  <si>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</si>
  <si>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</si>
  <si>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</si>
  <si>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</si>
  <si>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</si>
  <si>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</si>
  <si>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</si>
  <si>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</si>
  <si>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</si>
  <si>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</si>
  <si>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</si>
  <si>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</si>
  <si>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</si>
  <si>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</si>
  <si>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</si>
  <si>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</si>
  <si>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</si>
  <si>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</si>
  <si>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</si>
  <si>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</si>
  <si>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</si>
  <si>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</si>
  <si>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</si>
  <si>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</si>
  <si>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</si>
  <si>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</si>
  <si>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</si>
  <si>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</si>
  <si>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</si>
  <si>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</si>
  <si>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</si>
  <si>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</si>
  <si>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</si>
  <si>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</si>
  <si>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</si>
  <si>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</si>
  <si>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</si>
  <si>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</si>
  <si>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</si>
  <si>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</si>
  <si>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</si>
  <si>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</si>
  <si>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</si>
  <si>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</si>
  <si>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</si>
  <si>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</si>
  <si>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</si>
  <si>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</si>
  <si>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</si>
  <si>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</si>
  <si>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</si>
  <si>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</si>
  <si>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</si>
  <si>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</si>
  <si>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</si>
  <si>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</si>
  <si>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</si>
  <si>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</si>
  <si>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</si>
  <si>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</si>
  <si>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</si>
  <si>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</si>
  <si>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</si>
  <si>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</si>
  <si>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</si>
  <si>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</si>
  <si>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</si>
  <si>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</si>
  <si>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</si>
  <si>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</si>
  <si>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</si>
  <si>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</si>
  <si>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</si>
  <si>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</si>
  <si>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</si>
  <si>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</si>
  <si>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</si>
  <si>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</si>
  <si>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</si>
  <si>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</si>
  <si>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</si>
  <si>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</si>
  <si>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</si>
  <si>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</si>
  <si>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</si>
  <si>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</si>
  <si>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</si>
  <si>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</si>
  <si>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</si>
  <si>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</si>
  <si>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</si>
  <si>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</si>
  <si>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</si>
  <si>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</si>
  <si>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</si>
  <si>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</si>
  <si>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</si>
  <si>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</si>
  <si>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</si>
  <si>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</si>
  <si>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</si>
  <si>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</si>
  <si>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</si>
  <si>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</si>
  <si>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</si>
  <si>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</si>
  <si>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</si>
  <si>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</si>
  <si>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</si>
  <si>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</si>
  <si>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</si>
  <si>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</si>
  <si>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</si>
  <si>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</si>
  <si>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</si>
  <si>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</si>
  <si>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</si>
  <si>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</si>
  <si>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</si>
  <si>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</si>
  <si>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</si>
  <si>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</si>
  <si>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</si>
  <si>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</si>
  <si>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</si>
  <si>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</si>
  <si>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</si>
  <si>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</si>
  <si>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</si>
  <si>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</si>
  <si>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</si>
  <si>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</si>
  <si>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</si>
  <si>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</si>
  <si>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</si>
  <si>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</si>
  <si>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</si>
  <si>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</si>
  <si>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</si>
  <si>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</si>
  <si>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</si>
  <si>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</si>
  <si>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</si>
  <si>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</si>
  <si>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</si>
  <si>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</si>
  <si>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</si>
  <si>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</si>
  <si>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</si>
  <si>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</si>
  <si>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</si>
  <si>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</si>
  <si>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</si>
  <si>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</si>
  <si>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</si>
  <si>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</si>
  <si>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</si>
  <si>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</si>
  <si>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</si>
  <si>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</si>
  <si>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</si>
  <si>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</si>
  <si>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</si>
  <si>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</si>
  <si>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</si>
  <si>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</si>
  <si>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</si>
  <si>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</si>
  <si>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</si>
  <si>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</si>
  <si>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</si>
  <si>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</si>
  <si>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</si>
  <si>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</si>
  <si>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</si>
  <si>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</si>
  <si>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</si>
  <si>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</si>
  <si>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</si>
  <si>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</si>
  <si>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</si>
  <si>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</si>
  <si>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</si>
  <si>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</si>
  <si>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</si>
  <si>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</si>
  <si>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</si>
  <si>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</si>
  <si>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</si>
  <si>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</si>
  <si>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</si>
  <si>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</si>
  <si>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</si>
  <si>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</si>
  <si>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</si>
  <si>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</si>
  <si>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</si>
  <si>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</si>
  <si>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</si>
  <si>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</si>
  <si>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</si>
  <si>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</si>
  <si>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</si>
  <si>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</si>
  <si>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</si>
  <si>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</si>
  <si>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</si>
  <si>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</si>
  <si>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</si>
  <si>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</si>
  <si>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</si>
  <si>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</si>
  <si>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</si>
  <si>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</si>
  <si>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</si>
  <si>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</si>
  <si>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</si>
  <si>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</si>
  <si>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</si>
  <si>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</si>
  <si>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</si>
  <si>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</si>
  <si>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</si>
  <si>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</si>
  <si>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</si>
  <si>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</si>
  <si>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</si>
  <si>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</si>
  <si>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</si>
  <si>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</si>
  <si>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</si>
  <si>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</si>
  <si>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</si>
  <si>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</si>
  <si>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</si>
  <si>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</si>
  <si>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</si>
  <si>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</si>
  <si>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</si>
  <si>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</si>
  <si>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</si>
  <si>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</si>
  <si>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</si>
  <si>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</si>
  <si>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</si>
  <si>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</si>
  <si>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</si>
  <si>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</si>
  <si>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</si>
  <si>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</si>
  <si>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</si>
  <si>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</si>
  <si>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</si>
  <si>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</si>
  <si>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</si>
  <si>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</si>
  <si>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</si>
  <si>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</si>
  <si>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</si>
  <si>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</si>
  <si>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</si>
  <si>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</si>
  <si>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</si>
  <si>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</si>
  <si>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</si>
  <si>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</si>
  <si>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</si>
  <si>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</si>
  <si>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</si>
  <si>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</si>
  <si>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</si>
  <si>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</si>
  <si>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</si>
  <si>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</si>
  <si>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</si>
  <si>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</si>
  <si>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</si>
  <si>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</si>
  <si>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</si>
  <si>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</si>
  <si>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</si>
  <si>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</si>
  <si>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</si>
  <si>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</si>
  <si>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</si>
  <si>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</si>
  <si>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</si>
  <si>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</si>
  <si>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</si>
  <si>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</si>
  <si>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</si>
  <si>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</si>
  <si>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</si>
  <si>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</si>
  <si>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</si>
  <si>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</si>
  <si>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</si>
  <si>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</si>
  <si>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</si>
  <si>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</si>
  <si>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</si>
  <si>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</si>
  <si>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</si>
  <si>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</si>
  <si>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</si>
  <si>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</si>
  <si>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</si>
  <si>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</si>
  <si>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</si>
  <si>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</si>
  <si>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</si>
  <si>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</si>
  <si>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</si>
  <si>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</si>
  <si>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</si>
  <si>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</si>
  <si>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</si>
  <si>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</si>
  <si>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</si>
  <si>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</si>
  <si>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</si>
  <si>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</si>
  <si>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</si>
  <si>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</si>
  <si>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</si>
  <si>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</si>
  <si>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</si>
  <si>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</si>
  <si>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</si>
  <si>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</si>
  <si>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</si>
  <si>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</si>
  <si>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</si>
  <si>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</si>
  <si>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</si>
  <si>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</si>
  <si>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</si>
  <si>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</si>
  <si>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</si>
  <si>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</si>
  <si>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</si>
  <si>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</si>
  <si>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</si>
  <si>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</si>
  <si>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</si>
  <si>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</si>
  <si>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</si>
  <si>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</si>
  <si>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</si>
  <si>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</si>
  <si>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</si>
  <si>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</si>
  <si>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</si>
  <si>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</si>
  <si>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</si>
  <si>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</si>
  <si>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</si>
  <si>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</si>
  <si>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</si>
  <si>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</si>
  <si>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</si>
  <si>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</si>
  <si>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</si>
  <si>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</si>
  <si>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</si>
  <si>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</si>
  <si>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</si>
  <si>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</si>
  <si>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</si>
  <si>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</si>
  <si>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</si>
  <si>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</si>
  <si>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</si>
  <si>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</si>
  <si>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</si>
  <si>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</si>
  <si>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</si>
  <si>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</si>
  <si>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</si>
  <si>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</si>
  <si>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</si>
  <si>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</si>
  <si>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</si>
  <si>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</si>
  <si>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</si>
  <si>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</si>
  <si>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</si>
  <si>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</si>
  <si>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</si>
  <si>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</si>
  <si>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</si>
  <si>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</si>
  <si>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</si>
  <si>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</si>
  <si>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</si>
  <si>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</si>
  <si>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</si>
  <si>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</si>
  <si>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</si>
  <si>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</si>
  <si>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</si>
  <si>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</si>
  <si>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</si>
  <si>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</si>
  <si>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</si>
  <si>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</si>
  <si>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</si>
  <si>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</si>
  <si>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</si>
  <si>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</si>
  <si>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</si>
  <si>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</si>
  <si>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</si>
  <si>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</si>
  <si>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</si>
  <si>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</si>
  <si>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</si>
  <si>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</si>
  <si>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</si>
  <si>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</si>
  <si>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</si>
  <si>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</si>
  <si>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</si>
  <si>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</si>
  <si>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</si>
  <si>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</si>
  <si>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</si>
  <si>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</si>
  <si>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</si>
  <si>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</si>
  <si>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</si>
  <si>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</si>
  <si>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</si>
  <si>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</si>
  <si>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</si>
  <si>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</si>
  <si>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</si>
  <si>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</si>
  <si>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</si>
  <si>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</si>
  <si>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</si>
  <si>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</si>
  <si>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</si>
  <si>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</si>
  <si>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</si>
  <si>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</si>
  <si>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</si>
  <si>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</si>
  <si>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</si>
  <si>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</si>
  <si>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</si>
  <si>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</si>
  <si>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</si>
  <si>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</si>
  <si>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</si>
  <si>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</si>
  <si>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</si>
  <si>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</si>
  <si>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</si>
  <si>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</si>
  <si>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</si>
  <si>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</si>
  <si>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</si>
  <si>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</si>
  <si>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</si>
  <si>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</si>
  <si>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</si>
  <si>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</si>
  <si>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</si>
  <si>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</si>
  <si>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</si>
  <si>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</si>
  <si>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</si>
  <si>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</si>
  <si>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</si>
  <si>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</si>
  <si>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</si>
  <si>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</si>
  <si>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</si>
  <si>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</si>
  <si>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</si>
  <si>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</si>
  <si>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</si>
  <si>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</si>
  <si>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</si>
  <si>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</si>
  <si>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</si>
  <si>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</si>
  <si>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</si>
  <si>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</si>
  <si>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</si>
  <si>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</si>
  <si>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</si>
  <si>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</si>
  <si>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</si>
  <si>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</si>
  <si>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</si>
  <si>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</si>
  <si>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</si>
  <si>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</si>
  <si>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</si>
  <si>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</si>
  <si>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</si>
  <si>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</si>
  <si>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</si>
  <si>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</si>
  <si>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</si>
  <si>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</si>
  <si>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</si>
  <si>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</si>
  <si>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</si>
  <si>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</si>
  <si>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</si>
  <si>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</si>
  <si>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</si>
  <si>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</si>
  <si>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</si>
  <si>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</si>
  <si>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</si>
  <si>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</si>
  <si>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</si>
  <si>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</si>
  <si>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</si>
  <si>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</si>
  <si>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</si>
  <si>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</si>
  <si>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</si>
  <si>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</si>
  <si>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</si>
  <si>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</si>
  <si>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</si>
  <si>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</si>
  <si>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</si>
  <si>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</si>
  <si>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</si>
  <si>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</si>
  <si>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</si>
  <si>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</si>
  <si>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</si>
  <si>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</si>
  <si>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</si>
  <si>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</si>
  <si>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</si>
  <si>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</si>
  <si>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</si>
  <si>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</si>
  <si>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</si>
  <si>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</si>
  <si>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</si>
  <si>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</si>
  <si>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</si>
  <si>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</si>
  <si>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</si>
  <si>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</si>
  <si>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</si>
  <si>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</si>
  <si>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</si>
  <si>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</si>
  <si>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</si>
  <si>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</si>
  <si>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</si>
  <si>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</si>
  <si>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</si>
  <si>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</si>
  <si>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</si>
  <si>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</si>
  <si>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</si>
  <si>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</si>
  <si>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</si>
  <si>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</si>
  <si>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</si>
  <si>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</si>
  <si>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</si>
  <si>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</si>
  <si>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</si>
  <si>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</si>
  <si>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</si>
  <si>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</si>
  <si>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</si>
  <si>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</si>
  <si>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</si>
  <si>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</si>
  <si>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</si>
  <si>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</si>
  <si>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</si>
  <si>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</si>
  <si>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</si>
  <si>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</si>
  <si>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</si>
  <si>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</si>
  <si>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</si>
  <si>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</si>
  <si>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</si>
  <si>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</si>
  <si>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</si>
  <si>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</si>
  <si>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</si>
  <si>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</si>
  <si>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</si>
  <si>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</si>
  <si>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</si>
  <si>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</si>
  <si>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</si>
  <si>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</si>
  <si>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</si>
  <si>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</si>
  <si>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</si>
  <si>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</si>
  <si>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</si>
  <si>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</si>
  <si>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</si>
  <si>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</si>
  <si>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</si>
  <si>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</si>
  <si>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</si>
  <si>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</si>
  <si>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</si>
  <si>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</si>
  <si>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</si>
  <si>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</si>
  <si>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</si>
  <si>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</si>
  <si>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</si>
  <si>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</si>
  <si>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</si>
  <si>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</si>
  <si>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</si>
  <si>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</si>
  <si>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</si>
  <si>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</si>
  <si>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</si>
  <si>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</si>
  <si>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</si>
  <si>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</si>
  <si>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</si>
  <si>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</si>
  <si>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</si>
  <si>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</si>
  <si>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</si>
  <si>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</si>
  <si>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</si>
  <si>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</si>
  <si>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</si>
  <si>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</si>
  <si>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</si>
  <si>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</si>
  <si>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</si>
  <si>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</si>
  <si>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</si>
  <si>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</si>
  <si>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</si>
  <si>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</si>
  <si>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</si>
  <si>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</si>
  <si>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</si>
  <si>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</si>
  <si>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</si>
  <si>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</si>
  <si>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</si>
  <si>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</si>
  <si>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</si>
  <si>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</si>
  <si>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</si>
  <si>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</si>
  <si>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</si>
  <si>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</si>
  <si>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</si>
  <si>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</si>
  <si>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</si>
  <si>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</si>
  <si>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</si>
  <si>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</si>
  <si>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</si>
  <si>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</si>
  <si>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</si>
  <si>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</si>
  <si>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</si>
  <si>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</si>
  <si>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</si>
  <si>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</si>
  <si>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</si>
  <si>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</si>
  <si>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</si>
  <si>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</si>
  <si>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</si>
  <si>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</si>
  <si>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</si>
  <si>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</si>
  <si>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</si>
  <si>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</si>
  <si>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</si>
  <si>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</si>
  <si>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</si>
  <si>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</si>
  <si>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</si>
  <si>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</si>
  <si>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</si>
  <si>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</si>
  <si>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</si>
  <si>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</si>
  <si>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</si>
  <si>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</si>
  <si>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</si>
  <si>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</si>
  <si>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</si>
  <si>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</si>
  <si>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</si>
  <si>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</si>
  <si>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</si>
  <si>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</si>
  <si>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</si>
  <si>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</si>
  <si>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</si>
  <si>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</si>
  <si>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</si>
  <si>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</si>
  <si>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</si>
  <si>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</si>
  <si>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</si>
  <si>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</si>
  <si>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</si>
  <si>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</si>
  <si>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</si>
  <si>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</si>
  <si>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</si>
  <si>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</si>
  <si>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</si>
  <si>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</si>
  <si>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</si>
  <si>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</si>
  <si>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</si>
  <si>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</si>
  <si>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</si>
  <si>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</si>
  <si>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</si>
  <si>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</si>
  <si>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</si>
  <si>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</si>
  <si>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</si>
  <si>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</si>
  <si>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</si>
  <si>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</si>
  <si>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</si>
  <si>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</si>
  <si>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</si>
  <si>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</si>
  <si>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</si>
  <si>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</si>
  <si>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</si>
  <si>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</si>
  <si>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</si>
  <si>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</si>
  <si>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</si>
  <si>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</si>
  <si>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</si>
  <si>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</si>
  <si>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</si>
  <si>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</si>
  <si>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</si>
  <si>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</si>
  <si>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</si>
  <si>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</si>
  <si>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</si>
  <si>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</si>
  <si>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</si>
  <si>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</si>
  <si>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</si>
  <si>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</si>
  <si>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</si>
  <si>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</si>
  <si>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</si>
  <si>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</si>
  <si>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</si>
  <si>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</si>
  <si>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</si>
  <si>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</si>
  <si>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</si>
  <si>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</si>
  <si>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</si>
  <si>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</si>
  <si>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</si>
  <si>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</si>
  <si>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</si>
  <si>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</si>
  <si>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</si>
  <si>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</si>
  <si>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</si>
  <si>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</si>
  <si>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</si>
  <si>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</si>
  <si>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</si>
  <si>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</si>
  <si>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</si>
  <si>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</si>
  <si>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</si>
  <si>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</si>
  <si>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</si>
  <si>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</si>
  <si>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</si>
  <si>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</si>
  <si>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</si>
  <si>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</si>
  <si>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</si>
  <si>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</si>
  <si>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</si>
  <si>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</si>
  <si>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</si>
  <si>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</si>
  <si>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</si>
  <si>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</si>
  <si>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</si>
  <si>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</si>
  <si>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</si>
  <si>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</si>
  <si>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</si>
  <si>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</si>
  <si>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</si>
  <si>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</si>
  <si>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</si>
  <si>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</si>
  <si>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</si>
  <si>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</si>
  <si>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</si>
  <si>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</si>
  <si>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</si>
  <si>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</si>
  <si>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</si>
  <si>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</si>
  <si>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</si>
  <si>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</si>
  <si>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</si>
  <si>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</si>
  <si>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</si>
  <si>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</si>
  <si>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</si>
  <si>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</si>
  <si>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</si>
  <si>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</si>
  <si>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</si>
  <si>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</si>
  <si>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</si>
  <si>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</si>
  <si>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</si>
  <si>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</si>
  <si>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</si>
  <si>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</si>
  <si>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</si>
  <si>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</si>
  <si>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</si>
  <si>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</si>
  <si>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</si>
  <si>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</si>
  <si>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</si>
  <si>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</si>
  <si>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</si>
  <si>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</si>
  <si>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</si>
  <si>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</si>
  <si>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</si>
  <si>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</si>
  <si>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</si>
  <si>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</si>
  <si>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</si>
  <si>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</si>
  <si>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</si>
  <si>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</si>
  <si>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</si>
  <si>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</si>
  <si>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</si>
  <si>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</si>
  <si>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</si>
  <si>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</si>
  <si>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</si>
  <si>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</si>
  <si>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</si>
  <si>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</si>
  <si>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</si>
  <si>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</si>
  <si>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</si>
  <si>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</si>
  <si>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</si>
  <si>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</si>
  <si>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</si>
  <si>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</si>
  <si>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</si>
  <si>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</si>
  <si>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</si>
  <si>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</si>
  <si>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</si>
  <si>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</si>
  <si>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</si>
  <si>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</si>
  <si>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</si>
  <si>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</si>
  <si>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</si>
  <si>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</si>
  <si>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</si>
  <si>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</si>
  <si>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</si>
  <si>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</si>
  <si>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</si>
  <si>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</si>
  <si>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</si>
  <si>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</si>
  <si>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</si>
  <si>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</si>
  <si>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</si>
  <si>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</si>
  <si>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</si>
  <si>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</si>
  <si>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</si>
  <si>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</si>
  <si>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</si>
  <si>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</si>
  <si>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</si>
  <si>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</si>
  <si>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</si>
  <si>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</si>
  <si>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</si>
  <si>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</si>
  <si>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</si>
  <si>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</si>
  <si>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</si>
  <si>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</si>
  <si>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</si>
  <si>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</si>
  <si>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</si>
  <si>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</si>
  <si>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</si>
  <si>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</si>
  <si>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</si>
  <si>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</si>
  <si>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</si>
  <si>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</si>
  <si>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</si>
  <si>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</si>
  <si>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</si>
  <si>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</si>
  <si>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</si>
  <si>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</si>
  <si>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</si>
  <si>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</si>
  <si>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</si>
  <si>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</si>
  <si>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</si>
  <si>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</si>
  <si>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</si>
  <si>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</si>
  <si>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</si>
  <si>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</si>
  <si>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</si>
  <si>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</si>
  <si>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</si>
  <si>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</si>
  <si>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</si>
  <si>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</si>
  <si>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</si>
  <si>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</si>
  <si>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</si>
  <si>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</si>
  <si>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</si>
  <si>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</si>
  <si>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</si>
  <si>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검사 입회</t>
    <phoneticPr fontId="2" type="noConversion"/>
  </si>
  <si>
    <t>미정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</si>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</sst>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56" fillId="6" borderId="1" xfId="0" applyFont="1" applyFill="1" applyBorder="1" applyAlignment="1">
      <alignment horizontal="center" vertical="center"/>
    </xf>
    <xf numFmtId="0" fontId="70" fillId="6" borderId="9" xfId="0" applyFont="1" applyFill="1" applyBorder="1" applyAlignment="1">
      <alignment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6"/>
  <sheetViews>
    <sheetView showGridLines="0" tabSelected="1" topLeftCell="A386" zoomScaleNormal="100" workbookViewId="0">
      <selection activeCell="H399" sqref="H39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5" t="s">
        <v>3261</v>
      </c>
      <c r="B1" s="795"/>
      <c r="C1" s="795"/>
      <c r="D1" s="795"/>
      <c r="E1" s="795"/>
      <c r="F1" s="795"/>
      <c r="G1" s="795"/>
      <c r="H1" s="795"/>
      <c r="I1" s="795"/>
      <c r="J1" s="795"/>
      <c r="K1" s="795"/>
      <c r="L1" s="795"/>
      <c r="M1" s="795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93"/>
      <c r="Q22" s="794"/>
      <c r="R22" s="794"/>
      <c r="S22" s="794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93"/>
      <c r="Q27" s="794"/>
      <c r="R27" s="794"/>
      <c r="S27" s="794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93"/>
      <c r="Q36" s="794"/>
      <c r="R36" s="794"/>
      <c r="S36" s="794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93"/>
      <c r="Q37" s="794"/>
      <c r="R37" s="794"/>
      <c r="S37" s="794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93"/>
      <c r="Q40" s="794"/>
      <c r="R40" s="794"/>
      <c r="S40" s="794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93"/>
      <c r="Q41" s="794"/>
      <c r="R41" s="794"/>
      <c r="S41" s="794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93" t="s">
        <v>4390</v>
      </c>
      <c r="Q43" s="794"/>
      <c r="R43" s="794"/>
      <c r="S43" s="794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93"/>
      <c r="Q61" s="794"/>
      <c r="R61" s="794"/>
      <c r="S61" s="794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93"/>
      <c r="Q64" s="794"/>
      <c r="R64" s="794"/>
      <c r="S64" s="794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93"/>
      <c r="Q67" s="794"/>
      <c r="R67" s="794"/>
      <c r="S67" s="794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93"/>
      <c r="Q74" s="794"/>
      <c r="R74" s="794"/>
      <c r="S74" s="794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93"/>
      <c r="Q83" s="794"/>
      <c r="R83" s="794"/>
      <c r="S83" s="794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93"/>
      <c r="Q85" s="794"/>
      <c r="R85" s="794"/>
      <c r="S85" s="794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93" t="s">
        <v>4390</v>
      </c>
      <c r="Q93" s="794"/>
      <c r="R93" s="794"/>
      <c r="S93" s="794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91"/>
      <c r="Q169" s="792"/>
      <c r="R169" s="792"/>
      <c r="S169" s="792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9" t="s">
        <v>4688</v>
      </c>
      <c r="Q182" s="790"/>
      <c r="R182" s="790"/>
      <c r="S182" s="790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6086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6088</v>
      </c>
      <c r="I376" s="463" t="s">
        <v>6007</v>
      </c>
      <c r="J376" s="463" t="s">
        <v>6087</v>
      </c>
      <c r="K376" s="136" t="s">
        <v>5982</v>
      </c>
      <c r="L376" s="468" t="s">
        <v>5895</v>
      </c>
      <c r="M376" s="464">
        <v>3</v>
      </c>
      <c r="N376" s="463"/>
      <c r="O376" s="466" t="s">
        <v>6091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6089</v>
      </c>
      <c r="I380" s="463" t="s">
        <v>6007</v>
      </c>
      <c r="J380" s="463" t="s">
        <v>6090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6089</v>
      </c>
      <c r="I383" s="463" t="s">
        <v>6007</v>
      </c>
      <c r="J383" s="463" t="s">
        <v>6090</v>
      </c>
      <c r="K383" s="136" t="s">
        <v>15</v>
      </c>
      <c r="L383" s="468" t="s">
        <v>5262</v>
      </c>
      <c r="M383" s="464">
        <v>2</v>
      </c>
      <c r="N383" s="773" t="s">
        <v>6085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6164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6084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6135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6154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6092</v>
      </c>
      <c r="D392" s="4" t="s">
        <v>6026</v>
      </c>
      <c r="E392" s="773" t="s">
        <v>6093</v>
      </c>
      <c r="F392" s="773" t="s">
        <v>6094</v>
      </c>
      <c r="G392" s="16" t="s">
        <v>6095</v>
      </c>
      <c r="H392" s="775" t="s">
        <v>6096</v>
      </c>
      <c r="I392" s="463" t="s">
        <v>6024</v>
      </c>
      <c r="J392" s="468" t="s">
        <v>6023</v>
      </c>
      <c r="K392" s="468" t="s">
        <v>6046</v>
      </c>
      <c r="L392" s="468" t="s">
        <v>6115</v>
      </c>
      <c r="M392" s="468">
        <v>2</v>
      </c>
      <c r="N392" s="608"/>
      <c r="O392" s="436" t="s">
        <v>6127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6130</v>
      </c>
      <c r="D396" s="3" t="s">
        <v>6026</v>
      </c>
      <c r="E396" s="463" t="s">
        <v>6131</v>
      </c>
      <c r="F396" s="463" t="s">
        <v>6132</v>
      </c>
      <c r="G396" s="468" t="s">
        <v>6133</v>
      </c>
      <c r="H396" s="462" t="s">
        <v>6134</v>
      </c>
      <c r="I396" s="462"/>
      <c r="J396" s="462" t="s">
        <v>5606</v>
      </c>
      <c r="K396" s="125" t="s">
        <v>6046</v>
      </c>
      <c r="L396" s="468" t="s">
        <v>6115</v>
      </c>
      <c r="M396" s="464">
        <v>2</v>
      </c>
      <c r="N396" s="773" t="s">
        <v>6165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80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6144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6098</v>
      </c>
      <c r="D400" s="3" t="s">
        <v>6099</v>
      </c>
      <c r="E400" s="462" t="s">
        <v>6100</v>
      </c>
      <c r="F400" s="773" t="s">
        <v>6102</v>
      </c>
      <c r="G400" s="16" t="s">
        <v>6106</v>
      </c>
      <c r="H400" s="775" t="s">
        <v>6105</v>
      </c>
      <c r="I400" s="773"/>
      <c r="J400" s="775" t="s">
        <v>6101</v>
      </c>
      <c r="K400" s="125" t="s">
        <v>6041</v>
      </c>
      <c r="L400" s="16" t="s">
        <v>6097</v>
      </c>
      <c r="M400" s="8">
        <v>2</v>
      </c>
      <c r="N400" s="463"/>
      <c r="O400" s="439" t="s">
        <v>6107</v>
      </c>
      <c r="P400" s="572"/>
    </row>
    <row r="401" spans="1:16" s="17" customFormat="1" ht="33" customHeight="1">
      <c r="A401" s="618"/>
      <c r="B401" s="401">
        <v>46190</v>
      </c>
      <c r="C401" s="3" t="s">
        <v>6098</v>
      </c>
      <c r="D401" s="3" t="s">
        <v>6099</v>
      </c>
      <c r="E401" s="462" t="s">
        <v>6100</v>
      </c>
      <c r="F401" s="773" t="s">
        <v>6102</v>
      </c>
      <c r="G401" s="16" t="s">
        <v>6103</v>
      </c>
      <c r="H401" s="775" t="s">
        <v>6104</v>
      </c>
      <c r="I401" s="773"/>
      <c r="J401" s="775" t="s">
        <v>6101</v>
      </c>
      <c r="K401" s="125" t="s">
        <v>6041</v>
      </c>
      <c r="L401" s="16" t="s">
        <v>6097</v>
      </c>
      <c r="M401" s="8">
        <v>2</v>
      </c>
      <c r="N401" s="463"/>
      <c r="O401" s="445" t="s">
        <v>6108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6144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46190</v>
      </c>
      <c r="C403" s="3" t="s">
        <v>138</v>
      </c>
      <c r="D403" s="3" t="s">
        <v>14</v>
      </c>
      <c r="E403" s="463" t="s">
        <v>107</v>
      </c>
      <c r="F403" s="463" t="s">
        <v>3386</v>
      </c>
      <c r="G403" s="468" t="s">
        <v>115</v>
      </c>
      <c r="H403" s="462" t="s">
        <v>6134</v>
      </c>
      <c r="I403" s="462" t="s">
        <v>6252</v>
      </c>
      <c r="J403" s="462" t="s">
        <v>6251</v>
      </c>
      <c r="K403" s="125" t="s">
        <v>15</v>
      </c>
      <c r="L403" s="468" t="s">
        <v>33</v>
      </c>
      <c r="M403" s="464">
        <v>2</v>
      </c>
      <c r="N403" s="463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6025</v>
      </c>
      <c r="D404" s="3" t="s">
        <v>6120</v>
      </c>
      <c r="E404" s="462" t="s">
        <v>6121</v>
      </c>
      <c r="F404" s="773">
        <v>7060</v>
      </c>
      <c r="G404" s="16" t="s">
        <v>6122</v>
      </c>
      <c r="H404" s="775" t="s">
        <v>6123</v>
      </c>
      <c r="I404" s="773" t="s">
        <v>6054</v>
      </c>
      <c r="J404" s="775" t="s">
        <v>6124</v>
      </c>
      <c r="K404" s="125" t="s">
        <v>6046</v>
      </c>
      <c r="L404" s="16" t="s">
        <v>6013</v>
      </c>
      <c r="M404" s="8">
        <v>2</v>
      </c>
      <c r="N404" s="774"/>
      <c r="O404" s="438"/>
      <c r="P404" s="572"/>
    </row>
    <row r="405" spans="1:16" s="17" customFormat="1" ht="33" customHeight="1">
      <c r="A405" s="618"/>
      <c r="B405" s="401">
        <v>46191</v>
      </c>
      <c r="C405" s="3" t="s">
        <v>21</v>
      </c>
      <c r="D405" s="3" t="s">
        <v>14</v>
      </c>
      <c r="E405" s="463" t="s">
        <v>1893</v>
      </c>
      <c r="F405" s="463" t="s">
        <v>4939</v>
      </c>
      <c r="G405" s="468" t="s">
        <v>482</v>
      </c>
      <c r="H405" s="462" t="s">
        <v>6043</v>
      </c>
      <c r="I405" s="462" t="s">
        <v>6144</v>
      </c>
      <c r="J405" s="462" t="s">
        <v>6016</v>
      </c>
      <c r="K405" s="125" t="s">
        <v>6046</v>
      </c>
      <c r="L405" s="468">
        <v>9080</v>
      </c>
      <c r="M405" s="464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183" t="s">
        <v>138</v>
      </c>
      <c r="D406" s="183" t="s">
        <v>14</v>
      </c>
      <c r="E406" s="316" t="s">
        <v>107</v>
      </c>
      <c r="F406" s="316" t="s">
        <v>3386</v>
      </c>
      <c r="G406" s="387" t="s">
        <v>115</v>
      </c>
      <c r="H406" s="238" t="s">
        <v>6255</v>
      </c>
      <c r="I406" s="238"/>
      <c r="J406" s="238" t="s">
        <v>6251</v>
      </c>
      <c r="K406" s="239" t="s">
        <v>15</v>
      </c>
      <c r="L406" s="387" t="s">
        <v>33</v>
      </c>
      <c r="M406" s="754">
        <v>2</v>
      </c>
      <c r="N406" s="1080"/>
      <c r="O406" s="1081" t="s">
        <v>6256</v>
      </c>
      <c r="P406" s="572"/>
    </row>
    <row r="407" spans="1:16" s="17" customFormat="1" ht="33" customHeight="1">
      <c r="A407" s="618"/>
      <c r="B407" s="401">
        <v>46192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6043</v>
      </c>
      <c r="I407" s="462" t="s">
        <v>6144</v>
      </c>
      <c r="J407" s="462" t="s">
        <v>6016</v>
      </c>
      <c r="K407" s="125" t="s">
        <v>6046</v>
      </c>
      <c r="L407" s="468">
        <v>9080</v>
      </c>
      <c r="M407" s="464">
        <v>2</v>
      </c>
      <c r="N407" s="609"/>
      <c r="O407" s="438"/>
      <c r="P407" s="572"/>
    </row>
    <row r="408" spans="1:16" s="17" customFormat="1" ht="33" customHeight="1">
      <c r="A408" s="618"/>
      <c r="B408" s="401">
        <v>46193</v>
      </c>
      <c r="C408" s="4"/>
      <c r="D408" s="4"/>
      <c r="E408" s="291"/>
      <c r="F408" s="608"/>
      <c r="G408" s="16"/>
      <c r="H408" s="612"/>
      <c r="I408" s="608"/>
      <c r="J408" s="608"/>
      <c r="K408" s="125"/>
      <c r="L408" s="16"/>
      <c r="M408" s="8"/>
      <c r="N408" s="608"/>
      <c r="O408" s="440"/>
      <c r="P408" s="572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5" t="s">
        <v>63</v>
      </c>
      <c r="P409" s="323" t="s">
        <v>123</v>
      </c>
    </row>
    <row r="410" spans="1:16" s="17" customFormat="1" ht="33" customHeight="1">
      <c r="A410" s="617" t="s">
        <v>5626</v>
      </c>
      <c r="B410" s="401">
        <v>46195</v>
      </c>
      <c r="C410" s="3" t="s">
        <v>21</v>
      </c>
      <c r="D410" s="3" t="s">
        <v>17</v>
      </c>
      <c r="E410" s="463" t="s">
        <v>6155</v>
      </c>
      <c r="F410" s="463" t="s">
        <v>6156</v>
      </c>
      <c r="G410" s="468" t="s">
        <v>109</v>
      </c>
      <c r="H410" s="462" t="s">
        <v>6250</v>
      </c>
      <c r="I410" s="463"/>
      <c r="J410" s="462" t="s">
        <v>6157</v>
      </c>
      <c r="K410" s="136" t="s">
        <v>15</v>
      </c>
      <c r="L410" s="468" t="s">
        <v>4550</v>
      </c>
      <c r="M410" s="464">
        <v>2</v>
      </c>
      <c r="N410" s="608"/>
      <c r="O410" s="439"/>
      <c r="P410" s="572"/>
    </row>
    <row r="411" spans="1:16" s="17" customFormat="1" ht="33" customHeight="1">
      <c r="A411" s="618"/>
      <c r="B411" s="401">
        <v>46195</v>
      </c>
      <c r="C411" s="3" t="s">
        <v>21</v>
      </c>
      <c r="D411" s="3" t="s">
        <v>31</v>
      </c>
      <c r="E411" s="463" t="s">
        <v>5276</v>
      </c>
      <c r="F411" s="463">
        <v>7064</v>
      </c>
      <c r="G411" s="468" t="s">
        <v>83</v>
      </c>
      <c r="H411" s="462" t="s">
        <v>6119</v>
      </c>
      <c r="I411" s="463" t="s">
        <v>6247</v>
      </c>
      <c r="J411" s="463" t="s">
        <v>68</v>
      </c>
      <c r="K411" s="136" t="s">
        <v>15</v>
      </c>
      <c r="L411" s="468" t="s">
        <v>4550</v>
      </c>
      <c r="M411" s="464">
        <v>2</v>
      </c>
      <c r="N411" s="780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17</v>
      </c>
      <c r="E412" s="463" t="s">
        <v>6155</v>
      </c>
      <c r="F412" s="463" t="s">
        <v>6156</v>
      </c>
      <c r="G412" s="468" t="s">
        <v>109</v>
      </c>
      <c r="H412" s="462" t="s">
        <v>6158</v>
      </c>
      <c r="I412" s="463"/>
      <c r="J412" s="462" t="s">
        <v>6157</v>
      </c>
      <c r="K412" s="136" t="s">
        <v>15</v>
      </c>
      <c r="L412" s="468" t="s">
        <v>4550</v>
      </c>
      <c r="M412" s="464">
        <v>2</v>
      </c>
      <c r="N412" s="773"/>
      <c r="O412" s="439"/>
      <c r="P412" s="572"/>
    </row>
    <row r="413" spans="1:16" s="17" customFormat="1" ht="33" customHeight="1">
      <c r="A413" s="618"/>
      <c r="B413" s="401">
        <v>46196</v>
      </c>
      <c r="C413" s="3" t="s">
        <v>21</v>
      </c>
      <c r="D413" s="3" t="s">
        <v>14</v>
      </c>
      <c r="E413" s="463" t="s">
        <v>211</v>
      </c>
      <c r="F413" s="463" t="s">
        <v>5754</v>
      </c>
      <c r="G413" s="468" t="s">
        <v>5833</v>
      </c>
      <c r="H413" s="462" t="s">
        <v>6117</v>
      </c>
      <c r="I413" s="780" t="s">
        <v>120</v>
      </c>
      <c r="J413" s="780" t="s">
        <v>2828</v>
      </c>
      <c r="K413" s="125" t="s">
        <v>15</v>
      </c>
      <c r="L413" s="16" t="s">
        <v>33</v>
      </c>
      <c r="M413" s="8">
        <v>2</v>
      </c>
      <c r="N413" s="726"/>
      <c r="O413" s="439"/>
      <c r="P413" s="572"/>
    </row>
    <row r="414" spans="1:16" s="17" customFormat="1" ht="33" customHeight="1">
      <c r="A414" s="618"/>
      <c r="B414" s="401">
        <v>46196</v>
      </c>
      <c r="C414" s="3" t="s">
        <v>21</v>
      </c>
      <c r="D414" s="3" t="s">
        <v>31</v>
      </c>
      <c r="E414" s="463" t="s">
        <v>5276</v>
      </c>
      <c r="F414" s="463">
        <v>7064</v>
      </c>
      <c r="G414" s="468" t="s">
        <v>83</v>
      </c>
      <c r="H414" s="462" t="s">
        <v>6119</v>
      </c>
      <c r="I414" s="463" t="s">
        <v>6247</v>
      </c>
      <c r="J414" s="463" t="s">
        <v>68</v>
      </c>
      <c r="K414" s="136" t="s">
        <v>15</v>
      </c>
      <c r="L414" s="468" t="s">
        <v>4550</v>
      </c>
      <c r="M414" s="464">
        <v>2</v>
      </c>
      <c r="N414" s="780"/>
      <c r="O414" s="439"/>
      <c r="P414" s="572"/>
    </row>
    <row r="415" spans="1:16" s="17" customFormat="1" ht="40.5">
      <c r="A415" s="618"/>
      <c r="B415" s="401">
        <v>46197</v>
      </c>
      <c r="C415" s="4" t="s">
        <v>21</v>
      </c>
      <c r="D415" s="4" t="s">
        <v>14</v>
      </c>
      <c r="E415" s="291" t="s">
        <v>149</v>
      </c>
      <c r="F415" s="780" t="s">
        <v>4090</v>
      </c>
      <c r="G415" s="16" t="s">
        <v>4091</v>
      </c>
      <c r="H415" s="782" t="s">
        <v>6126</v>
      </c>
      <c r="I415" s="780" t="s">
        <v>6253</v>
      </c>
      <c r="J415" s="782" t="s">
        <v>6163</v>
      </c>
      <c r="K415" s="125" t="s">
        <v>15</v>
      </c>
      <c r="L415" s="16" t="s">
        <v>4550</v>
      </c>
      <c r="M415" s="8">
        <v>2</v>
      </c>
      <c r="N415" s="780"/>
      <c r="O415" s="439"/>
      <c r="P415" s="572"/>
    </row>
    <row r="416" spans="1:16" s="17" customFormat="1" ht="33" customHeight="1">
      <c r="A416" s="618"/>
      <c r="B416" s="401">
        <v>46197</v>
      </c>
      <c r="C416" s="3" t="s">
        <v>21</v>
      </c>
      <c r="D416" s="3" t="s">
        <v>17</v>
      </c>
      <c r="E416" s="463" t="s">
        <v>107</v>
      </c>
      <c r="F416" s="463" t="s">
        <v>2959</v>
      </c>
      <c r="G416" s="468" t="s">
        <v>143</v>
      </c>
      <c r="H416" s="462" t="s">
        <v>6236</v>
      </c>
      <c r="I416" s="463"/>
      <c r="J416" s="462" t="s">
        <v>6248</v>
      </c>
      <c r="K416" s="136" t="s">
        <v>15</v>
      </c>
      <c r="L416" s="468" t="s">
        <v>4550</v>
      </c>
      <c r="M416" s="464">
        <v>3</v>
      </c>
      <c r="N416" s="609"/>
      <c r="O416" s="438"/>
      <c r="P416" s="572"/>
    </row>
    <row r="417" spans="1:16" s="17" customFormat="1" ht="33" customHeight="1">
      <c r="A417" s="618"/>
      <c r="B417" s="401">
        <v>46197</v>
      </c>
      <c r="C417" s="3" t="s">
        <v>21</v>
      </c>
      <c r="D417" s="3" t="s">
        <v>17</v>
      </c>
      <c r="E417" s="463" t="s">
        <v>107</v>
      </c>
      <c r="F417" s="463" t="s">
        <v>2959</v>
      </c>
      <c r="G417" s="468" t="s">
        <v>109</v>
      </c>
      <c r="H417" s="462" t="s">
        <v>6249</v>
      </c>
      <c r="I417" s="463"/>
      <c r="J417" s="462" t="s">
        <v>6248</v>
      </c>
      <c r="K417" s="136" t="s">
        <v>15</v>
      </c>
      <c r="L417" s="468" t="s">
        <v>4550</v>
      </c>
      <c r="M417" s="464">
        <v>3</v>
      </c>
      <c r="N417" s="781"/>
      <c r="O417" s="438"/>
      <c r="P417" s="572"/>
    </row>
    <row r="418" spans="1:16" s="17" customFormat="1" ht="33" customHeight="1">
      <c r="A418" s="618"/>
      <c r="B418" s="401">
        <v>46197</v>
      </c>
      <c r="C418" s="3" t="s">
        <v>24</v>
      </c>
      <c r="D418" s="3" t="s">
        <v>31</v>
      </c>
      <c r="E418" s="462" t="s">
        <v>6100</v>
      </c>
      <c r="F418" s="780" t="s">
        <v>2713</v>
      </c>
      <c r="G418" s="16" t="s">
        <v>115</v>
      </c>
      <c r="H418" s="782" t="s">
        <v>6233</v>
      </c>
      <c r="I418" s="780"/>
      <c r="J418" s="782" t="s">
        <v>6101</v>
      </c>
      <c r="K418" s="125" t="s">
        <v>15</v>
      </c>
      <c r="L418" s="16" t="s">
        <v>6234</v>
      </c>
      <c r="M418" s="8">
        <v>2</v>
      </c>
      <c r="N418" s="781"/>
      <c r="O418" s="438"/>
      <c r="P418" s="572"/>
    </row>
    <row r="419" spans="1:16" s="17" customFormat="1" ht="33" customHeight="1">
      <c r="A419" s="618"/>
      <c r="B419" s="401">
        <v>46198</v>
      </c>
      <c r="C419" s="4"/>
      <c r="D419" s="4"/>
      <c r="E419" s="782"/>
      <c r="F419" s="780"/>
      <c r="G419" s="16"/>
      <c r="H419" s="782"/>
      <c r="I419" s="463"/>
      <c r="J419" s="462"/>
      <c r="K419" s="136"/>
      <c r="L419" s="468"/>
      <c r="M419" s="464"/>
      <c r="N419" s="609"/>
      <c r="O419" s="438" t="s">
        <v>6166</v>
      </c>
      <c r="P419" s="572"/>
    </row>
    <row r="420" spans="1:16" s="17" customFormat="1" ht="33" customHeight="1">
      <c r="A420" s="618"/>
      <c r="B420" s="401">
        <v>46199</v>
      </c>
      <c r="C420" s="4" t="s">
        <v>24</v>
      </c>
      <c r="D420" s="4" t="s">
        <v>6228</v>
      </c>
      <c r="E420" s="782" t="s">
        <v>6229</v>
      </c>
      <c r="F420" s="780" t="s">
        <v>6230</v>
      </c>
      <c r="G420" s="16" t="s">
        <v>6231</v>
      </c>
      <c r="H420" s="782" t="s">
        <v>6232</v>
      </c>
      <c r="I420" s="463"/>
      <c r="J420" s="462" t="s">
        <v>641</v>
      </c>
      <c r="K420" s="136" t="s">
        <v>15</v>
      </c>
      <c r="L420" s="468" t="s">
        <v>4550</v>
      </c>
      <c r="M420" s="464">
        <v>2</v>
      </c>
      <c r="N420" s="781"/>
      <c r="O420" s="438"/>
      <c r="P420" s="572"/>
    </row>
    <row r="421" spans="1:16" s="17" customFormat="1" ht="33" customHeight="1">
      <c r="A421" s="618"/>
      <c r="B421" s="401">
        <v>46199</v>
      </c>
      <c r="C421" s="3"/>
      <c r="D421" s="3"/>
      <c r="E421" s="463"/>
      <c r="F421" s="463"/>
      <c r="G421" s="468"/>
      <c r="H421" s="462"/>
      <c r="I421" s="463"/>
      <c r="J421" s="463"/>
      <c r="K421" s="136"/>
      <c r="L421" s="468"/>
      <c r="M421" s="464"/>
      <c r="N421" s="609"/>
      <c r="O421" s="438"/>
      <c r="P421" s="572"/>
    </row>
    <row r="422" spans="1:16" s="17" customFormat="1" ht="33" customHeight="1">
      <c r="A422" s="619"/>
      <c r="B422" s="370">
        <v>46200</v>
      </c>
      <c r="C422" s="4"/>
      <c r="D422" s="4"/>
      <c r="E422" s="291"/>
      <c r="F422" s="608"/>
      <c r="G422" s="16"/>
      <c r="H422" s="612"/>
      <c r="I422" s="608"/>
      <c r="J422" s="608"/>
      <c r="K422" s="125"/>
      <c r="L422" s="16"/>
      <c r="M422" s="8"/>
      <c r="N422" s="608"/>
      <c r="O422" s="440"/>
      <c r="P422" s="572"/>
    </row>
    <row r="423" spans="1:16" s="17" customFormat="1" ht="33" customHeight="1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5" t="s">
        <v>63</v>
      </c>
      <c r="P423" s="323" t="s">
        <v>123</v>
      </c>
    </row>
    <row r="424" spans="1:16" s="17" customFormat="1" ht="33" customHeight="1">
      <c r="A424" s="617" t="s">
        <v>5627</v>
      </c>
      <c r="B424" s="401">
        <v>46202</v>
      </c>
      <c r="C424" s="4" t="s">
        <v>21</v>
      </c>
      <c r="D424" s="4" t="s">
        <v>6111</v>
      </c>
      <c r="E424" s="773" t="s">
        <v>6114</v>
      </c>
      <c r="F424" s="773" t="s">
        <v>6112</v>
      </c>
      <c r="G424" s="16" t="s">
        <v>6113</v>
      </c>
      <c r="H424" s="775" t="s">
        <v>6162</v>
      </c>
      <c r="I424" s="773"/>
      <c r="J424" s="773" t="s">
        <v>6118</v>
      </c>
      <c r="K424" s="125" t="s">
        <v>6041</v>
      </c>
      <c r="L424" s="16" t="s">
        <v>6243</v>
      </c>
      <c r="M424" s="8">
        <v>2</v>
      </c>
      <c r="N424" s="608"/>
      <c r="O424" s="439"/>
      <c r="P424" s="572"/>
    </row>
    <row r="425" spans="1:16" s="17" customFormat="1" ht="33" customHeight="1">
      <c r="A425" s="618"/>
      <c r="B425" s="401">
        <v>46202</v>
      </c>
      <c r="C425" s="3" t="s">
        <v>21</v>
      </c>
      <c r="D425" s="3" t="s">
        <v>17</v>
      </c>
      <c r="E425" s="463" t="s">
        <v>6155</v>
      </c>
      <c r="F425" s="463" t="s">
        <v>6156</v>
      </c>
      <c r="G425" s="468" t="s">
        <v>6159</v>
      </c>
      <c r="H425" s="462" t="s">
        <v>3390</v>
      </c>
      <c r="I425" s="463"/>
      <c r="J425" s="462" t="s">
        <v>6157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46202</v>
      </c>
      <c r="C426" s="3" t="s">
        <v>24</v>
      </c>
      <c r="D426" s="3" t="s">
        <v>6237</v>
      </c>
      <c r="E426" s="463" t="s">
        <v>6238</v>
      </c>
      <c r="F426" s="463" t="s">
        <v>6239</v>
      </c>
      <c r="G426" s="468" t="s">
        <v>6231</v>
      </c>
      <c r="H426" s="462" t="s">
        <v>6245</v>
      </c>
      <c r="I426" s="463" t="s">
        <v>6240</v>
      </c>
      <c r="J426" s="462" t="s">
        <v>6241</v>
      </c>
      <c r="K426" s="136" t="s">
        <v>6235</v>
      </c>
      <c r="L426" s="468" t="s">
        <v>6242</v>
      </c>
      <c r="M426" s="464">
        <v>2</v>
      </c>
      <c r="N426" s="780"/>
      <c r="O426" s="439"/>
      <c r="P426" s="572"/>
    </row>
    <row r="427" spans="1:16" s="17" customFormat="1" ht="33" customHeight="1">
      <c r="A427" s="618"/>
      <c r="B427" s="401">
        <v>46203</v>
      </c>
      <c r="C427" s="3" t="s">
        <v>24</v>
      </c>
      <c r="D427" s="3" t="s">
        <v>6237</v>
      </c>
      <c r="E427" s="463" t="s">
        <v>6238</v>
      </c>
      <c r="F427" s="463" t="s">
        <v>6239</v>
      </c>
      <c r="G427" s="468" t="s">
        <v>6231</v>
      </c>
      <c r="H427" s="462" t="s">
        <v>6244</v>
      </c>
      <c r="I427" s="463" t="s">
        <v>6240</v>
      </c>
      <c r="J427" s="462" t="s">
        <v>6241</v>
      </c>
      <c r="K427" s="136" t="s">
        <v>6235</v>
      </c>
      <c r="L427" s="468" t="s">
        <v>6242</v>
      </c>
      <c r="M427" s="464">
        <v>2</v>
      </c>
      <c r="N427" s="773"/>
      <c r="O427" s="439"/>
      <c r="P427" s="572"/>
    </row>
    <row r="428" spans="1:16" s="17" customFormat="1" ht="33" customHeight="1">
      <c r="A428" s="618"/>
      <c r="B428" s="401">
        <v>46203</v>
      </c>
      <c r="C428" s="4" t="s">
        <v>21</v>
      </c>
      <c r="D428" s="4" t="s">
        <v>6111</v>
      </c>
      <c r="E428" s="773" t="s">
        <v>6114</v>
      </c>
      <c r="F428" s="773" t="s">
        <v>6112</v>
      </c>
      <c r="G428" s="16" t="s">
        <v>6113</v>
      </c>
      <c r="H428" s="775" t="s">
        <v>6129</v>
      </c>
      <c r="I428" s="773"/>
      <c r="J428" s="773" t="s">
        <v>6116</v>
      </c>
      <c r="K428" s="125" t="s">
        <v>6041</v>
      </c>
      <c r="L428" s="16" t="s">
        <v>4550</v>
      </c>
      <c r="M428" s="8">
        <v>3</v>
      </c>
      <c r="N428" s="608"/>
      <c r="O428" s="439"/>
      <c r="P428" s="572"/>
    </row>
    <row r="429" spans="1:16" s="17" customFormat="1" ht="33" customHeight="1">
      <c r="A429" s="618"/>
      <c r="B429" s="401">
        <v>46203</v>
      </c>
      <c r="C429" s="4" t="s">
        <v>29</v>
      </c>
      <c r="D429" s="4" t="s">
        <v>31</v>
      </c>
      <c r="E429" s="782" t="s">
        <v>78</v>
      </c>
      <c r="F429" s="780" t="s">
        <v>5979</v>
      </c>
      <c r="G429" s="16" t="s">
        <v>145</v>
      </c>
      <c r="H429" s="782" t="s">
        <v>5980</v>
      </c>
      <c r="I429" s="780" t="s">
        <v>5983</v>
      </c>
      <c r="J429" s="780" t="s">
        <v>5981</v>
      </c>
      <c r="K429" s="125" t="s">
        <v>15</v>
      </c>
      <c r="L429" s="16" t="s">
        <v>4550</v>
      </c>
      <c r="M429" s="8">
        <v>4</v>
      </c>
      <c r="N429" s="780"/>
      <c r="O429" s="439" t="s">
        <v>6254</v>
      </c>
      <c r="P429" s="572"/>
    </row>
    <row r="430" spans="1:16" s="17" customFormat="1" ht="33" customHeight="1">
      <c r="A430" s="618"/>
      <c r="B430" s="401">
        <v>46204</v>
      </c>
      <c r="C430" s="3"/>
      <c r="D430" s="3"/>
      <c r="E430" s="463"/>
      <c r="F430" s="463"/>
      <c r="G430" s="468"/>
      <c r="H430" s="462"/>
      <c r="I430" s="463"/>
      <c r="J430" s="462"/>
      <c r="K430" s="136"/>
      <c r="L430" s="468"/>
      <c r="M430" s="464"/>
      <c r="N430" s="780"/>
      <c r="O430" s="439"/>
      <c r="P430" s="572"/>
    </row>
    <row r="431" spans="1:16" s="17" customFormat="1" ht="33" customHeight="1">
      <c r="A431" s="618"/>
      <c r="B431" s="401">
        <v>46204</v>
      </c>
      <c r="C431" s="4" t="s">
        <v>21</v>
      </c>
      <c r="D431" s="4" t="s">
        <v>6111</v>
      </c>
      <c r="E431" s="773" t="s">
        <v>6114</v>
      </c>
      <c r="F431" s="773" t="s">
        <v>6112</v>
      </c>
      <c r="G431" s="16" t="s">
        <v>6113</v>
      </c>
      <c r="H431" s="775" t="s">
        <v>6161</v>
      </c>
      <c r="I431" s="773"/>
      <c r="J431" s="773" t="s">
        <v>6160</v>
      </c>
      <c r="K431" s="125" t="s">
        <v>6041</v>
      </c>
      <c r="L431" s="16" t="s">
        <v>4550</v>
      </c>
      <c r="M431" s="8">
        <v>2</v>
      </c>
      <c r="N431" s="609"/>
      <c r="O431" s="438"/>
      <c r="P431" s="572"/>
    </row>
    <row r="432" spans="1:16" s="17" customFormat="1" ht="33" customHeight="1">
      <c r="A432" s="618"/>
      <c r="B432" s="401">
        <v>46205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4108</v>
      </c>
      <c r="H432" s="612" t="s">
        <v>900</v>
      </c>
      <c r="I432" s="608"/>
      <c r="J432" s="612" t="s">
        <v>3074</v>
      </c>
      <c r="K432" s="125" t="s">
        <v>105</v>
      </c>
      <c r="L432" s="16" t="s">
        <v>4550</v>
      </c>
      <c r="M432" s="8">
        <v>1</v>
      </c>
      <c r="N432" s="609"/>
      <c r="O432" s="438"/>
      <c r="P432" s="572"/>
    </row>
    <row r="433" spans="1:16" s="17" customFormat="1" ht="33" customHeight="1">
      <c r="A433" s="618"/>
      <c r="B433" s="401">
        <v>46205</v>
      </c>
      <c r="C433" s="4" t="s">
        <v>21</v>
      </c>
      <c r="D433" s="4" t="s">
        <v>6111</v>
      </c>
      <c r="E433" s="773" t="s">
        <v>6114</v>
      </c>
      <c r="F433" s="773" t="s">
        <v>6112</v>
      </c>
      <c r="G433" s="16" t="s">
        <v>6113</v>
      </c>
      <c r="H433" s="775" t="s">
        <v>6161</v>
      </c>
      <c r="I433" s="773"/>
      <c r="J433" s="773" t="s">
        <v>6160</v>
      </c>
      <c r="K433" s="125" t="s">
        <v>6041</v>
      </c>
      <c r="L433" s="16" t="s">
        <v>4550</v>
      </c>
      <c r="M433" s="8">
        <v>2</v>
      </c>
      <c r="N433" s="774"/>
      <c r="O433" s="438"/>
      <c r="P433" s="572"/>
    </row>
    <row r="434" spans="1:16" s="17" customFormat="1" ht="33" customHeight="1">
      <c r="A434" s="618"/>
      <c r="B434" s="401">
        <v>46205</v>
      </c>
      <c r="C434" s="3"/>
      <c r="D434" s="3"/>
      <c r="E434" s="463"/>
      <c r="F434" s="463"/>
      <c r="G434" s="468"/>
      <c r="H434" s="782"/>
      <c r="I434" s="780"/>
      <c r="J434" s="780"/>
      <c r="K434" s="125"/>
      <c r="L434" s="16"/>
      <c r="M434" s="8"/>
      <c r="N434" s="781"/>
      <c r="O434" s="438"/>
      <c r="P434" s="572"/>
    </row>
    <row r="435" spans="1:16" s="17" customFormat="1" ht="33" customHeight="1">
      <c r="A435" s="618"/>
      <c r="B435" s="401">
        <v>46206</v>
      </c>
      <c r="C435" s="4" t="s">
        <v>21</v>
      </c>
      <c r="D435" s="4" t="s">
        <v>14</v>
      </c>
      <c r="E435" s="608" t="s">
        <v>1787</v>
      </c>
      <c r="F435" s="608" t="s">
        <v>2978</v>
      </c>
      <c r="G435" s="16" t="s">
        <v>843</v>
      </c>
      <c r="H435" s="612" t="s">
        <v>900</v>
      </c>
      <c r="I435" s="773"/>
      <c r="J435" s="612" t="s">
        <v>3074</v>
      </c>
      <c r="K435" s="125" t="s">
        <v>15</v>
      </c>
      <c r="L435" s="16" t="s">
        <v>4550</v>
      </c>
      <c r="M435" s="8">
        <v>1</v>
      </c>
      <c r="N435" s="609"/>
      <c r="O435" s="438"/>
      <c r="P435" s="572"/>
    </row>
    <row r="436" spans="1:16" s="17" customFormat="1" ht="33" customHeight="1">
      <c r="A436" s="618"/>
      <c r="B436" s="401">
        <v>46206</v>
      </c>
      <c r="C436" s="4" t="s">
        <v>21</v>
      </c>
      <c r="D436" s="4" t="s">
        <v>14</v>
      </c>
      <c r="E436" s="608" t="s">
        <v>1787</v>
      </c>
      <c r="F436" s="608" t="s">
        <v>2978</v>
      </c>
      <c r="G436" s="16" t="s">
        <v>142</v>
      </c>
      <c r="H436" s="612" t="s">
        <v>900</v>
      </c>
      <c r="I436" s="773"/>
      <c r="J436" s="612" t="s">
        <v>3074</v>
      </c>
      <c r="K436" s="125" t="s">
        <v>105</v>
      </c>
      <c r="L436" s="16" t="s">
        <v>4550</v>
      </c>
      <c r="M436" s="8">
        <v>1</v>
      </c>
      <c r="N436" s="609"/>
      <c r="O436" s="438"/>
      <c r="P436" s="572"/>
    </row>
    <row r="437" spans="1:16" s="17" customFormat="1" ht="33" customHeight="1">
      <c r="A437" s="618"/>
      <c r="B437" s="401">
        <v>46206</v>
      </c>
      <c r="C437" s="3"/>
      <c r="D437" s="3"/>
      <c r="E437" s="463"/>
      <c r="F437" s="463"/>
      <c r="G437" s="468"/>
      <c r="H437" s="782"/>
      <c r="I437" s="780"/>
      <c r="J437" s="782"/>
      <c r="K437" s="125"/>
      <c r="L437" s="16"/>
      <c r="M437" s="8"/>
      <c r="N437" s="781"/>
      <c r="O437" s="438"/>
      <c r="P437" s="572"/>
    </row>
    <row r="438" spans="1:16" s="17" customFormat="1" ht="33" customHeight="1">
      <c r="A438" s="619"/>
      <c r="B438" s="370">
        <v>46207</v>
      </c>
      <c r="C438" s="4"/>
      <c r="D438" s="4"/>
      <c r="E438" s="291"/>
      <c r="F438" s="608"/>
      <c r="G438" s="16"/>
      <c r="H438" s="612"/>
      <c r="I438" s="608"/>
      <c r="J438" s="608"/>
      <c r="K438" s="125"/>
      <c r="L438" s="16"/>
      <c r="M438" s="8"/>
      <c r="N438" s="608"/>
      <c r="O438" s="440"/>
      <c r="P438" s="572"/>
    </row>
    <row r="439" spans="1:16" s="17" customFormat="1" ht="33" customHeight="1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5" t="s">
        <v>63</v>
      </c>
      <c r="P439" s="323" t="s">
        <v>123</v>
      </c>
    </row>
    <row r="440" spans="1:16" s="17" customFormat="1" ht="33" customHeight="1">
      <c r="A440" s="617" t="s">
        <v>5628</v>
      </c>
      <c r="B440" s="401">
        <v>46209</v>
      </c>
      <c r="C440" s="3"/>
      <c r="D440" s="3"/>
      <c r="E440" s="463"/>
      <c r="F440" s="463"/>
      <c r="G440" s="468"/>
      <c r="H440" s="782"/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>
      <c r="A441" s="618"/>
      <c r="B441" s="401">
        <v>46210</v>
      </c>
      <c r="C441" s="3" t="s">
        <v>24</v>
      </c>
      <c r="D441" s="3" t="s">
        <v>6237</v>
      </c>
      <c r="E441" s="463" t="s">
        <v>6238</v>
      </c>
      <c r="F441" s="463" t="s">
        <v>6239</v>
      </c>
      <c r="G441" s="468" t="s">
        <v>6231</v>
      </c>
      <c r="H441" s="612" t="s">
        <v>6246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>
      <c r="A442" s="618"/>
      <c r="B442" s="401">
        <v>46211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>
      <c r="A443" s="618"/>
      <c r="B443" s="401">
        <v>46212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>
      <c r="A444" s="618"/>
      <c r="B444" s="401">
        <v>46213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>
      <c r="A445" s="619"/>
      <c r="B445" s="370">
        <v>46214</v>
      </c>
      <c r="C445" s="4"/>
      <c r="D445" s="4"/>
      <c r="E445" s="291"/>
      <c r="F445" s="608"/>
      <c r="G445" s="16"/>
      <c r="H445" s="612"/>
      <c r="I445" s="608"/>
      <c r="J445" s="608"/>
      <c r="K445" s="125"/>
      <c r="L445" s="16"/>
      <c r="M445" s="8"/>
      <c r="N445" s="608"/>
      <c r="O445" s="440"/>
      <c r="P445" s="572"/>
    </row>
    <row r="446" spans="1:16" s="17" customFormat="1" ht="33" customHeight="1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5" t="s">
        <v>63</v>
      </c>
      <c r="P446" s="323" t="s">
        <v>123</v>
      </c>
    </row>
    <row r="447" spans="1:16" s="17" customFormat="1" ht="33" customHeight="1">
      <c r="A447" s="617" t="s">
        <v>5629</v>
      </c>
      <c r="B447" s="401">
        <v>46216</v>
      </c>
      <c r="C447" s="4"/>
      <c r="D447" s="4"/>
      <c r="E447" s="608"/>
      <c r="F447" s="608"/>
      <c r="G447" s="16"/>
      <c r="H447" s="612"/>
      <c r="I447" s="608"/>
      <c r="J447" s="608"/>
      <c r="K447" s="125"/>
      <c r="L447" s="16"/>
      <c r="M447" s="8"/>
      <c r="N447" s="608"/>
      <c r="O447" s="439"/>
      <c r="P447" s="572"/>
    </row>
    <row r="448" spans="1:16" s="17" customFormat="1" ht="33" customHeight="1">
      <c r="A448" s="618"/>
      <c r="B448" s="401">
        <v>46217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>
      <c r="A449" s="618"/>
      <c r="B449" s="401">
        <v>46218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>
      <c r="A450" s="618"/>
      <c r="B450" s="401">
        <v>46219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>
      <c r="A451" s="618"/>
      <c r="B451" s="401">
        <v>46220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>
      <c r="A452" s="619"/>
      <c r="B452" s="370">
        <v>46221</v>
      </c>
      <c r="C452" s="4"/>
      <c r="D452" s="4"/>
      <c r="E452" s="291"/>
      <c r="F452" s="608"/>
      <c r="G452" s="16"/>
      <c r="H452" s="612"/>
      <c r="I452" s="608"/>
      <c r="J452" s="608"/>
      <c r="K452" s="125"/>
      <c r="L452" s="16"/>
      <c r="M452" s="8"/>
      <c r="N452" s="608"/>
      <c r="O452" s="440"/>
      <c r="P452" s="572"/>
    </row>
    <row r="453" spans="1:16" s="17" customFormat="1" ht="33" customHeight="1">
      <c r="A453" s="323" t="s">
        <v>0</v>
      </c>
      <c r="B453" s="324" t="s">
        <v>1</v>
      </c>
      <c r="C453" s="323" t="s">
        <v>2</v>
      </c>
      <c r="D453" s="323" t="s">
        <v>3</v>
      </c>
      <c r="E453" s="323" t="s">
        <v>4</v>
      </c>
      <c r="F453" s="323" t="s">
        <v>5</v>
      </c>
      <c r="G453" s="323" t="s">
        <v>6</v>
      </c>
      <c r="H453" s="325" t="s">
        <v>7</v>
      </c>
      <c r="I453" s="323" t="s">
        <v>8</v>
      </c>
      <c r="J453" s="323" t="s">
        <v>9</v>
      </c>
      <c r="K453" s="326" t="s">
        <v>10</v>
      </c>
      <c r="L453" s="327" t="s">
        <v>11</v>
      </c>
      <c r="M453" s="323" t="s">
        <v>12</v>
      </c>
      <c r="N453" s="328" t="s">
        <v>13</v>
      </c>
      <c r="O453" s="435" t="s">
        <v>63</v>
      </c>
      <c r="P453" s="323" t="s">
        <v>123</v>
      </c>
    </row>
    <row r="454" spans="1:16" s="17" customFormat="1" ht="33" customHeight="1">
      <c r="A454" s="617" t="s">
        <v>5630</v>
      </c>
      <c r="B454" s="401">
        <v>46223</v>
      </c>
      <c r="C454" s="4" t="s">
        <v>113</v>
      </c>
      <c r="D454" s="4" t="s">
        <v>2202</v>
      </c>
      <c r="E454" s="668" t="s">
        <v>899</v>
      </c>
      <c r="F454" s="668" t="s">
        <v>1968</v>
      </c>
      <c r="G454" s="16" t="s">
        <v>376</v>
      </c>
      <c r="H454" s="669" t="s">
        <v>4109</v>
      </c>
      <c r="I454" s="608"/>
      <c r="J454" s="608"/>
      <c r="K454" s="125"/>
      <c r="L454" s="16"/>
      <c r="M454" s="8"/>
      <c r="N454" s="608"/>
      <c r="O454" s="439"/>
      <c r="P454" s="572"/>
    </row>
    <row r="455" spans="1:16" s="17" customFormat="1" ht="33" customHeight="1">
      <c r="A455" s="618"/>
      <c r="B455" s="401">
        <v>46224</v>
      </c>
      <c r="C455" s="4" t="s">
        <v>113</v>
      </c>
      <c r="D455" s="4" t="s">
        <v>2202</v>
      </c>
      <c r="E455" s="668" t="s">
        <v>899</v>
      </c>
      <c r="F455" s="668" t="s">
        <v>1968</v>
      </c>
      <c r="G455" s="16" t="s">
        <v>5358</v>
      </c>
      <c r="H455" s="669" t="s">
        <v>4109</v>
      </c>
      <c r="I455" s="608"/>
      <c r="J455" s="608"/>
      <c r="K455" s="125"/>
      <c r="L455" s="16"/>
      <c r="M455" s="8"/>
      <c r="N455" s="608"/>
      <c r="O455" s="439"/>
      <c r="P455" s="572"/>
    </row>
    <row r="456" spans="1:16" s="17" customFormat="1" ht="33" customHeight="1">
      <c r="A456" s="618"/>
      <c r="B456" s="401">
        <v>46225</v>
      </c>
      <c r="C456" s="4"/>
      <c r="D456" s="4"/>
      <c r="E456" s="608"/>
      <c r="F456" s="608"/>
      <c r="G456" s="16"/>
      <c r="H456" s="612"/>
      <c r="I456" s="608"/>
      <c r="J456" s="612"/>
      <c r="K456" s="125"/>
      <c r="L456" s="16"/>
      <c r="M456" s="8"/>
      <c r="N456" s="609"/>
      <c r="O456" s="438"/>
      <c r="P456" s="572"/>
    </row>
    <row r="457" spans="1:16" s="17" customFormat="1" ht="33" customHeight="1">
      <c r="A457" s="618"/>
      <c r="B457" s="401">
        <v>46226</v>
      </c>
      <c r="C457" s="4"/>
      <c r="D457" s="4"/>
      <c r="E457" s="608"/>
      <c r="F457" s="608"/>
      <c r="G457" s="16"/>
      <c r="H457" s="612"/>
      <c r="I457" s="608"/>
      <c r="J457" s="612"/>
      <c r="K457" s="125"/>
      <c r="L457" s="16"/>
      <c r="M457" s="8"/>
      <c r="N457" s="609"/>
      <c r="O457" s="438"/>
      <c r="P457" s="572"/>
    </row>
    <row r="458" spans="1:16" s="17" customFormat="1" ht="33" customHeight="1">
      <c r="A458" s="618"/>
      <c r="B458" s="401">
        <v>46227</v>
      </c>
      <c r="C458" s="4"/>
      <c r="D458" s="4"/>
      <c r="E458" s="608"/>
      <c r="F458" s="608"/>
      <c r="G458" s="16"/>
      <c r="H458" s="612"/>
      <c r="I458" s="608"/>
      <c r="J458" s="612"/>
      <c r="K458" s="125"/>
      <c r="L458" s="16"/>
      <c r="M458" s="8"/>
      <c r="N458" s="609"/>
      <c r="O458" s="438"/>
      <c r="P458" s="572"/>
    </row>
    <row r="459" spans="1:16" s="17" customFormat="1" ht="33" customHeight="1">
      <c r="A459" s="619"/>
      <c r="B459" s="370">
        <v>46228</v>
      </c>
      <c r="C459" s="4"/>
      <c r="D459" s="4"/>
      <c r="E459" s="291"/>
      <c r="F459" s="608"/>
      <c r="G459" s="16"/>
      <c r="H459" s="612"/>
      <c r="I459" s="608"/>
      <c r="J459" s="608"/>
      <c r="K459" s="125"/>
      <c r="L459" s="16"/>
      <c r="M459" s="8"/>
      <c r="N459" s="608"/>
      <c r="O459" s="440"/>
      <c r="P459" s="572"/>
    </row>
    <row r="460" spans="1:16" s="17" customFormat="1" ht="33" customHeight="1">
      <c r="A460" s="323" t="s">
        <v>0</v>
      </c>
      <c r="B460" s="324" t="s">
        <v>1</v>
      </c>
      <c r="C460" s="323" t="s">
        <v>2</v>
      </c>
      <c r="D460" s="323" t="s">
        <v>3</v>
      </c>
      <c r="E460" s="323" t="s">
        <v>4</v>
      </c>
      <c r="F460" s="323" t="s">
        <v>5</v>
      </c>
      <c r="G460" s="323" t="s">
        <v>6</v>
      </c>
      <c r="H460" s="325" t="s">
        <v>7</v>
      </c>
      <c r="I460" s="323" t="s">
        <v>8</v>
      </c>
      <c r="J460" s="323" t="s">
        <v>9</v>
      </c>
      <c r="K460" s="326" t="s">
        <v>10</v>
      </c>
      <c r="L460" s="327" t="s">
        <v>11</v>
      </c>
      <c r="M460" s="323" t="s">
        <v>12</v>
      </c>
      <c r="N460" s="328" t="s">
        <v>13</v>
      </c>
      <c r="O460" s="435" t="s">
        <v>63</v>
      </c>
      <c r="P460" s="323" t="s">
        <v>123</v>
      </c>
    </row>
    <row r="461" spans="1:16" s="17" customFormat="1" ht="33" customHeight="1">
      <c r="A461" s="617" t="s">
        <v>5631</v>
      </c>
      <c r="B461" s="401">
        <v>46230</v>
      </c>
      <c r="C461" s="4"/>
      <c r="D461" s="4"/>
      <c r="E461" s="608" t="s">
        <v>6125</v>
      </c>
      <c r="F461" s="608"/>
      <c r="G461" s="16"/>
      <c r="H461" s="612"/>
      <c r="I461" s="608"/>
      <c r="J461" s="608"/>
      <c r="K461" s="125"/>
      <c r="L461" s="16"/>
      <c r="M461" s="8"/>
      <c r="N461" s="608"/>
      <c r="O461" s="439"/>
      <c r="P461" s="572"/>
    </row>
    <row r="462" spans="1:16" s="17" customFormat="1" ht="33" customHeight="1">
      <c r="A462" s="618"/>
      <c r="B462" s="401">
        <v>46231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39"/>
      <c r="P462" s="572"/>
    </row>
    <row r="463" spans="1:16" s="17" customFormat="1" ht="33" customHeight="1">
      <c r="A463" s="618"/>
      <c r="B463" s="401">
        <v>46232</v>
      </c>
      <c r="C463" s="4"/>
      <c r="D463" s="4"/>
      <c r="E463" s="608"/>
      <c r="F463" s="608"/>
      <c r="G463" s="16"/>
      <c r="H463" s="612"/>
      <c r="I463" s="608"/>
      <c r="J463" s="612"/>
      <c r="K463" s="125"/>
      <c r="L463" s="16"/>
      <c r="M463" s="8"/>
      <c r="N463" s="609"/>
      <c r="O463" s="438"/>
      <c r="P463" s="572"/>
    </row>
    <row r="464" spans="1:16" s="17" customFormat="1" ht="33" customHeight="1">
      <c r="A464" s="618"/>
      <c r="B464" s="401">
        <v>46233</v>
      </c>
      <c r="C464" s="4"/>
      <c r="D464" s="4"/>
      <c r="E464" s="608"/>
      <c r="F464" s="608"/>
      <c r="G464" s="16"/>
      <c r="H464" s="612"/>
      <c r="I464" s="608"/>
      <c r="J464" s="612"/>
      <c r="K464" s="125"/>
      <c r="L464" s="16"/>
      <c r="M464" s="8"/>
      <c r="N464" s="609"/>
      <c r="O464" s="438"/>
      <c r="P464" s="572"/>
    </row>
    <row r="465" spans="1:16" s="17" customFormat="1" ht="33" customHeight="1">
      <c r="A465" s="618"/>
      <c r="B465" s="401">
        <v>46234</v>
      </c>
      <c r="C465" s="4"/>
      <c r="D465" s="4"/>
      <c r="E465" s="608"/>
      <c r="F465" s="608"/>
      <c r="G465" s="16"/>
      <c r="H465" s="612"/>
      <c r="I465" s="608"/>
      <c r="J465" s="612"/>
      <c r="K465" s="125"/>
      <c r="L465" s="16"/>
      <c r="M465" s="8"/>
      <c r="N465" s="609"/>
      <c r="O465" s="438"/>
      <c r="P465" s="572"/>
    </row>
    <row r="466" spans="1:16" s="17" customFormat="1" ht="33" customHeight="1">
      <c r="A466" s="619"/>
      <c r="B466" s="370">
        <v>46235</v>
      </c>
      <c r="C466" s="4"/>
      <c r="D466" s="4"/>
      <c r="E466" s="291"/>
      <c r="F466" s="608"/>
      <c r="G466" s="16"/>
      <c r="H466" s="612"/>
      <c r="I466" s="608"/>
      <c r="J466" s="608"/>
      <c r="K466" s="125"/>
      <c r="L466" s="16"/>
      <c r="M466" s="8"/>
      <c r="N466" s="608"/>
      <c r="O466" s="440"/>
      <c r="P466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4" t="s">
        <v>161</v>
      </c>
      <c r="B1" s="914" t="s">
        <v>162</v>
      </c>
      <c r="C1" s="912" t="s">
        <v>1</v>
      </c>
      <c r="D1" s="912" t="s">
        <v>2</v>
      </c>
      <c r="E1" s="912" t="s">
        <v>3</v>
      </c>
      <c r="F1" s="27" t="s">
        <v>54</v>
      </c>
      <c r="G1" s="912" t="s">
        <v>5</v>
      </c>
      <c r="H1" s="912" t="s">
        <v>6</v>
      </c>
      <c r="I1" s="912" t="s">
        <v>7</v>
      </c>
      <c r="J1" s="912" t="s">
        <v>55</v>
      </c>
      <c r="K1" s="916" t="s">
        <v>483</v>
      </c>
      <c r="L1" s="918" t="s">
        <v>56</v>
      </c>
      <c r="M1" s="910" t="s">
        <v>57</v>
      </c>
      <c r="N1" s="912" t="s">
        <v>58</v>
      </c>
    </row>
    <row r="2" spans="1:14">
      <c r="A2" s="915"/>
      <c r="B2" s="915"/>
      <c r="C2" s="913"/>
      <c r="D2" s="913"/>
      <c r="E2" s="913"/>
      <c r="F2" s="28" t="s">
        <v>59</v>
      </c>
      <c r="G2" s="913"/>
      <c r="H2" s="913"/>
      <c r="I2" s="913"/>
      <c r="J2" s="913"/>
      <c r="K2" s="917"/>
      <c r="L2" s="919"/>
      <c r="M2" s="911"/>
      <c r="N2" s="913"/>
    </row>
    <row r="3" spans="1:14" ht="27">
      <c r="A3" s="55">
        <v>1</v>
      </c>
      <c r="B3" s="89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4"/>
      <c r="C9" s="92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4"/>
      <c r="C10" s="92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4"/>
      <c r="C12" s="92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4"/>
      <c r="C13" s="92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4"/>
      <c r="C14" s="92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4"/>
      <c r="C15" s="92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4"/>
      <c r="C16" s="92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7"/>
    </row>
    <row r="24" spans="1:17" ht="27">
      <c r="A24" s="55">
        <v>4</v>
      </c>
      <c r="B24" s="893" t="s">
        <v>21</v>
      </c>
      <c r="C24" s="90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1" t="s">
        <v>85</v>
      </c>
      <c r="K24" s="896" t="s">
        <v>41</v>
      </c>
      <c r="L24" s="6" t="s">
        <v>15</v>
      </c>
      <c r="M24" s="923">
        <v>180000</v>
      </c>
      <c r="N24" s="45" t="s">
        <v>194</v>
      </c>
    </row>
    <row r="25" spans="1:17" ht="27">
      <c r="A25" s="55">
        <v>4</v>
      </c>
      <c r="B25" s="894"/>
      <c r="C25" s="90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2"/>
      <c r="K25" s="897"/>
      <c r="L25" s="6" t="s">
        <v>15</v>
      </c>
      <c r="M25" s="924"/>
      <c r="N25" s="45" t="s">
        <v>194</v>
      </c>
    </row>
    <row r="26" spans="1:17">
      <c r="A26" s="55">
        <v>4</v>
      </c>
      <c r="B26" s="894"/>
      <c r="C26" s="90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5"/>
      <c r="C27" s="90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4"/>
      <c r="C32" s="90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4"/>
      <c r="C33" s="90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3" t="s">
        <v>20</v>
      </c>
      <c r="C35" s="90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5"/>
      <c r="C36" s="90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3" t="s">
        <v>20</v>
      </c>
      <c r="C37" s="90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5"/>
      <c r="C38" s="90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0"/>
      <c r="C40" s="90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0"/>
      <c r="C41" s="90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8"/>
      <c r="C45" s="8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8"/>
      <c r="C46" s="92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3" t="s">
        <v>64</v>
      </c>
      <c r="C67" s="90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6" t="s">
        <v>435</v>
      </c>
      <c r="L67" s="6" t="s">
        <v>436</v>
      </c>
      <c r="M67" s="923">
        <v>750000</v>
      </c>
      <c r="N67" s="45" t="s">
        <v>446</v>
      </c>
    </row>
    <row r="68" spans="1:15" ht="27">
      <c r="A68" s="55">
        <v>19</v>
      </c>
      <c r="B68" s="894"/>
      <c r="C68" s="90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7"/>
      <c r="L68" s="6" t="s">
        <v>411</v>
      </c>
      <c r="M68" s="924"/>
      <c r="N68" s="45" t="s">
        <v>445</v>
      </c>
    </row>
    <row r="69" spans="1:15">
      <c r="A69" s="55">
        <v>19</v>
      </c>
      <c r="B69" s="894"/>
      <c r="C69" s="90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9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9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4"/>
      <c r="C83" s="9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4"/>
      <c r="C84" s="90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4"/>
      <c r="C85" s="90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4"/>
      <c r="C86" s="90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4"/>
      <c r="C93" s="90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4"/>
      <c r="C94" s="90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4"/>
      <c r="C95" s="90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3" t="s">
        <v>21</v>
      </c>
      <c r="C99" s="90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4"/>
      <c r="C100" s="90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61" t="s">
        <v>658</v>
      </c>
      <c r="C110" s="86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6"/>
      <c r="C111" s="9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6"/>
      <c r="C112" s="9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8"/>
      <c r="C113" s="9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6"/>
      <c r="C115" s="86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2"/>
      <c r="C116" s="9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3" t="s">
        <v>20</v>
      </c>
      <c r="C117" s="90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1" t="s">
        <v>168</v>
      </c>
      <c r="K117" s="896" t="s">
        <v>645</v>
      </c>
      <c r="L117" s="57" t="s">
        <v>209</v>
      </c>
      <c r="M117" s="883">
        <f>250000*5</f>
        <v>1250000</v>
      </c>
      <c r="N117" s="893" t="s">
        <v>121</v>
      </c>
    </row>
    <row r="118" spans="1:14">
      <c r="A118" s="101">
        <v>28</v>
      </c>
      <c r="B118" s="894"/>
      <c r="C118" s="90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5"/>
      <c r="K118" s="904"/>
      <c r="L118" s="57" t="s">
        <v>209</v>
      </c>
      <c r="M118" s="884"/>
      <c r="N118" s="894"/>
    </row>
    <row r="119" spans="1:14">
      <c r="A119" s="101">
        <v>28</v>
      </c>
      <c r="B119" s="894"/>
      <c r="C119" s="90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2"/>
      <c r="K119" s="897"/>
      <c r="L119" s="57" t="s">
        <v>209</v>
      </c>
      <c r="M119" s="885"/>
      <c r="N119" s="895"/>
    </row>
    <row r="120" spans="1:14">
      <c r="A120" s="101">
        <v>28</v>
      </c>
      <c r="B120" s="895"/>
      <c r="C120" s="90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61" t="s">
        <v>307</v>
      </c>
      <c r="C122" s="86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6"/>
      <c r="C123" s="88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1" t="s">
        <v>664</v>
      </c>
      <c r="K123" s="887" t="s">
        <v>707</v>
      </c>
      <c r="L123" s="110" t="s">
        <v>324</v>
      </c>
      <c r="M123" s="890" t="s">
        <v>708</v>
      </c>
      <c r="N123" s="110"/>
    </row>
    <row r="124" spans="1:14">
      <c r="A124" s="55">
        <v>29</v>
      </c>
      <c r="B124" s="886"/>
      <c r="C124" s="88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6"/>
      <c r="K124" s="888"/>
      <c r="L124" s="110" t="s">
        <v>324</v>
      </c>
      <c r="M124" s="891"/>
      <c r="N124" s="110"/>
    </row>
    <row r="125" spans="1:14">
      <c r="A125" s="55">
        <v>29</v>
      </c>
      <c r="B125" s="886"/>
      <c r="C125" s="88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2"/>
      <c r="K125" s="889"/>
      <c r="L125" s="110" t="s">
        <v>324</v>
      </c>
      <c r="M125" s="892"/>
      <c r="N125" s="110"/>
    </row>
    <row r="126" spans="1:14">
      <c r="A126" s="55">
        <v>29</v>
      </c>
      <c r="B126" s="862"/>
      <c r="C126" s="86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6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6"/>
      <c r="C130" s="86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6"/>
      <c r="C131" s="86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6"/>
      <c r="C132" s="86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6"/>
      <c r="C133" s="86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6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93" t="s">
        <v>618</v>
      </c>
      <c r="C135" s="90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4"/>
      <c r="C136" s="90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4"/>
      <c r="C137" s="90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5"/>
      <c r="C138" s="90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4"/>
      <c r="C140" s="90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4"/>
      <c r="C141" s="90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3" t="s">
        <v>735</v>
      </c>
    </row>
    <row r="142" spans="1:14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3" t="s">
        <v>20</v>
      </c>
      <c r="C146" s="900" t="s">
        <v>869</v>
      </c>
      <c r="D146" s="896" t="s">
        <v>19</v>
      </c>
      <c r="E146" s="89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5"/>
      <c r="C147" s="902"/>
      <c r="D147" s="897"/>
      <c r="E147" s="89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3" t="s">
        <v>123</v>
      </c>
      <c r="C148" s="900" t="s">
        <v>782</v>
      </c>
      <c r="D148" s="896" t="s">
        <v>19</v>
      </c>
      <c r="E148" s="89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5"/>
      <c r="C149" s="902"/>
      <c r="D149" s="897"/>
      <c r="E149" s="89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3" t="s">
        <v>247</v>
      </c>
    </row>
    <row r="154" spans="1:14" ht="27">
      <c r="A154" s="55">
        <v>34</v>
      </c>
      <c r="B154" s="894"/>
      <c r="C154" s="90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4"/>
    </row>
    <row r="155" spans="1:14" ht="27">
      <c r="A155" s="55">
        <v>34</v>
      </c>
      <c r="B155" s="894"/>
      <c r="C155" s="90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>
      <c r="A156" s="55">
        <v>34</v>
      </c>
      <c r="B156" s="894"/>
      <c r="C156" s="90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3" t="s">
        <v>825</v>
      </c>
    </row>
    <row r="157" spans="1:14" ht="27">
      <c r="A157" s="55">
        <v>34</v>
      </c>
      <c r="B157" s="894"/>
      <c r="C157" s="90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4"/>
    </row>
    <row r="158" spans="1:14" ht="27">
      <c r="A158" s="55">
        <v>34</v>
      </c>
      <c r="B158" s="894"/>
      <c r="C158" s="90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4"/>
    </row>
    <row r="159" spans="1:14" ht="27">
      <c r="A159" s="55">
        <v>34</v>
      </c>
      <c r="B159" s="894"/>
      <c r="C159" s="90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4"/>
    </row>
    <row r="160" spans="1:14" ht="27">
      <c r="A160" s="55">
        <v>34</v>
      </c>
      <c r="B160" s="89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4"/>
    </row>
    <row r="161" spans="1:15" ht="27">
      <c r="A161" s="55">
        <v>34</v>
      </c>
      <c r="B161" s="89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4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5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5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6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5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6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5"/>
      <c r="C181" s="90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1" t="s">
        <v>838</v>
      </c>
      <c r="K181" s="896" t="s">
        <v>985</v>
      </c>
      <c r="L181" s="6" t="s">
        <v>910</v>
      </c>
      <c r="M181" s="883">
        <f>180000+200000+200000</f>
        <v>580000</v>
      </c>
      <c r="N181" s="45" t="s">
        <v>806</v>
      </c>
    </row>
    <row r="182" spans="1:14">
      <c r="A182" s="55">
        <v>36</v>
      </c>
      <c r="B182" s="815"/>
      <c r="C182" s="90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2"/>
      <c r="K182" s="897"/>
      <c r="L182" s="6" t="s">
        <v>911</v>
      </c>
      <c r="M182" s="885"/>
      <c r="N182" s="45" t="s">
        <v>806</v>
      </c>
    </row>
    <row r="183" spans="1:14">
      <c r="A183" s="55">
        <v>36</v>
      </c>
      <c r="B183" s="815"/>
      <c r="C183" s="90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5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6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4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5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5"/>
      <c r="C196" s="90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5"/>
      <c r="C197" s="90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5"/>
      <c r="C198" s="90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6"/>
      <c r="C199" s="90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4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5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5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6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4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5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4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5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3" t="s">
        <v>247</v>
      </c>
    </row>
    <row r="226" spans="1:14">
      <c r="A226" s="55">
        <v>44</v>
      </c>
      <c r="B226" s="81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4"/>
    </row>
    <row r="227" spans="1:14">
      <c r="A227" s="55">
        <v>44</v>
      </c>
      <c r="B227" s="81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>
      <c r="A228" s="55">
        <v>44</v>
      </c>
      <c r="B228" s="81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5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3" t="s">
        <v>247</v>
      </c>
    </row>
    <row r="250" spans="1:14">
      <c r="A250" s="55">
        <v>48</v>
      </c>
      <c r="B250" s="816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>
      <c r="A251" s="55">
        <v>48</v>
      </c>
      <c r="B251" s="81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5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3" t="s">
        <v>247</v>
      </c>
    </row>
    <row r="257" spans="1:14">
      <c r="A257" s="55">
        <v>49</v>
      </c>
      <c r="B257" s="816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>
      <c r="A258" s="55">
        <v>49</v>
      </c>
      <c r="B258" s="81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3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10" t="s">
        <v>1103</v>
      </c>
    </row>
    <row r="262" spans="1:14" ht="25.5">
      <c r="A262" s="132">
        <v>49</v>
      </c>
      <c r="B262" s="93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11"/>
    </row>
    <row r="263" spans="1:14" ht="16.5" customHeight="1">
      <c r="A263" s="55">
        <v>50</v>
      </c>
      <c r="B263" s="814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5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5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5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6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2" t="s">
        <v>658</v>
      </c>
      <c r="C268" s="81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33"/>
      <c r="C269" s="8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4"/>
      <c r="C270" s="81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4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5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5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5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5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9" t="s">
        <v>1196</v>
      </c>
      <c r="B278" s="940"/>
      <c r="C278" s="940"/>
      <c r="D278" s="940"/>
      <c r="E278" s="940"/>
      <c r="F278" s="940"/>
      <c r="G278" s="940"/>
      <c r="H278" s="940"/>
      <c r="I278" s="940"/>
      <c r="J278" s="940"/>
      <c r="K278" s="940"/>
      <c r="L278" s="940"/>
      <c r="M278" s="940"/>
      <c r="N278" s="941"/>
    </row>
    <row r="279" spans="1:15" ht="16.5" customHeight="1">
      <c r="A279" s="55">
        <v>1</v>
      </c>
      <c r="B279" s="814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6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4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5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5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1" t="s">
        <v>1174</v>
      </c>
      <c r="K283" s="93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5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2"/>
      <c r="K284" s="93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2" t="s">
        <v>123</v>
      </c>
      <c r="C287" s="81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43"/>
      <c r="C288" s="81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32" t="s">
        <v>64</v>
      </c>
      <c r="C289" s="81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3"/>
      <c r="C290" s="93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33"/>
      <c r="C291" s="93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10" t="s">
        <v>638</v>
      </c>
      <c r="K291" s="871" t="s">
        <v>671</v>
      </c>
      <c r="L291" s="148" t="s">
        <v>309</v>
      </c>
      <c r="M291" s="820" t="s">
        <v>672</v>
      </c>
      <c r="N291" s="148" t="s">
        <v>723</v>
      </c>
    </row>
    <row r="292" spans="1:15">
      <c r="A292" s="55">
        <v>2</v>
      </c>
      <c r="B292" s="933"/>
      <c r="C292" s="93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11"/>
      <c r="K292" s="872"/>
      <c r="L292" s="148" t="s">
        <v>309</v>
      </c>
      <c r="M292" s="821"/>
      <c r="N292" s="148" t="s">
        <v>723</v>
      </c>
    </row>
    <row r="293" spans="1:15">
      <c r="A293" s="55">
        <v>2</v>
      </c>
      <c r="B293" s="933"/>
      <c r="C293" s="93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33"/>
      <c r="C294" s="81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4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5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6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4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5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5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5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6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4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6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2" t="s">
        <v>307</v>
      </c>
      <c r="C313" s="81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4"/>
      <c r="C314" s="81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4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5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6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4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6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4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5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6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4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5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5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6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4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5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5"/>
      <c r="C349" s="90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6"/>
      <c r="C350" s="90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3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3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3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3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3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3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2" t="s">
        <v>307</v>
      </c>
      <c r="C375" s="128" t="s">
        <v>1531</v>
      </c>
      <c r="D375" s="810" t="s">
        <v>306</v>
      </c>
      <c r="E375" s="810" t="s">
        <v>322</v>
      </c>
      <c r="F375" s="810" t="s">
        <v>307</v>
      </c>
      <c r="G375" s="812">
        <v>4266</v>
      </c>
      <c r="H375" s="810" t="s">
        <v>640</v>
      </c>
      <c r="I375" s="812" t="s">
        <v>1533</v>
      </c>
      <c r="J375" s="810" t="s">
        <v>1534</v>
      </c>
      <c r="K375" s="944" t="s">
        <v>692</v>
      </c>
      <c r="L375" s="810" t="s">
        <v>324</v>
      </c>
      <c r="M375" s="820" t="s">
        <v>1535</v>
      </c>
      <c r="N375" s="810" t="s">
        <v>425</v>
      </c>
    </row>
    <row r="376" spans="1:19">
      <c r="A376" s="199" t="s">
        <v>1539</v>
      </c>
      <c r="B376" s="933"/>
      <c r="C376" s="129" t="s">
        <v>1532</v>
      </c>
      <c r="D376" s="811"/>
      <c r="E376" s="811"/>
      <c r="F376" s="811"/>
      <c r="G376" s="813"/>
      <c r="H376" s="811"/>
      <c r="I376" s="813"/>
      <c r="J376" s="811"/>
      <c r="K376" s="945"/>
      <c r="L376" s="811"/>
      <c r="M376" s="821"/>
      <c r="N376" s="811"/>
    </row>
    <row r="377" spans="1:19">
      <c r="A377" s="199" t="s">
        <v>1539</v>
      </c>
      <c r="B377" s="933"/>
      <c r="C377" s="128" t="s">
        <v>1536</v>
      </c>
      <c r="D377" s="810" t="s">
        <v>306</v>
      </c>
      <c r="E377" s="810" t="s">
        <v>322</v>
      </c>
      <c r="F377" s="810" t="s">
        <v>307</v>
      </c>
      <c r="G377" s="812">
        <v>3306</v>
      </c>
      <c r="H377" s="810" t="s">
        <v>1153</v>
      </c>
      <c r="I377" s="812" t="s">
        <v>1538</v>
      </c>
      <c r="J377" s="810" t="s">
        <v>1534</v>
      </c>
      <c r="K377" s="944" t="s">
        <v>692</v>
      </c>
      <c r="L377" s="810" t="s">
        <v>324</v>
      </c>
      <c r="M377" s="820" t="s">
        <v>1535</v>
      </c>
      <c r="N377" s="810" t="s">
        <v>425</v>
      </c>
    </row>
    <row r="378" spans="1:19">
      <c r="A378" s="199" t="s">
        <v>1539</v>
      </c>
      <c r="B378" s="934"/>
      <c r="C378" s="129" t="s">
        <v>1537</v>
      </c>
      <c r="D378" s="811"/>
      <c r="E378" s="811"/>
      <c r="F378" s="811"/>
      <c r="G378" s="813"/>
      <c r="H378" s="811"/>
      <c r="I378" s="813"/>
      <c r="J378" s="811"/>
      <c r="K378" s="945"/>
      <c r="L378" s="811"/>
      <c r="M378" s="821"/>
      <c r="N378" s="811"/>
    </row>
    <row r="379" spans="1:19" ht="27" customHeight="1">
      <c r="A379" s="123">
        <v>15</v>
      </c>
      <c r="B379" s="81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4" t="s">
        <v>1782</v>
      </c>
      <c r="C403" s="226" t="s">
        <v>1748</v>
      </c>
      <c r="D403" s="869" t="s">
        <v>306</v>
      </c>
      <c r="E403" s="869" t="s">
        <v>322</v>
      </c>
      <c r="F403" s="869" t="s">
        <v>307</v>
      </c>
      <c r="G403" s="875">
        <v>3306</v>
      </c>
      <c r="H403" s="869" t="s">
        <v>1153</v>
      </c>
      <c r="I403" s="875" t="s">
        <v>1749</v>
      </c>
      <c r="J403" s="869" t="s">
        <v>664</v>
      </c>
      <c r="K403" s="946" t="s">
        <v>1288</v>
      </c>
      <c r="L403" s="869" t="s">
        <v>324</v>
      </c>
      <c r="M403" s="873" t="s">
        <v>1750</v>
      </c>
      <c r="N403" s="869" t="s">
        <v>665</v>
      </c>
    </row>
    <row r="404" spans="1:14">
      <c r="A404" s="123">
        <v>18</v>
      </c>
      <c r="B404" s="805"/>
      <c r="C404" s="226" t="s">
        <v>1751</v>
      </c>
      <c r="D404" s="870"/>
      <c r="E404" s="870"/>
      <c r="F404" s="870"/>
      <c r="G404" s="876"/>
      <c r="H404" s="870"/>
      <c r="I404" s="876"/>
      <c r="J404" s="870"/>
      <c r="K404" s="947"/>
      <c r="L404" s="870"/>
      <c r="M404" s="874"/>
      <c r="N404" s="870"/>
    </row>
    <row r="405" spans="1:14" ht="22.5">
      <c r="A405" s="123">
        <v>18</v>
      </c>
      <c r="B405" s="8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5"/>
      <c r="C406" s="226" t="s">
        <v>1755</v>
      </c>
      <c r="D406" s="869" t="s">
        <v>306</v>
      </c>
      <c r="E406" s="869" t="s">
        <v>322</v>
      </c>
      <c r="F406" s="869" t="s">
        <v>307</v>
      </c>
      <c r="G406" s="875" t="s">
        <v>1756</v>
      </c>
      <c r="H406" s="869" t="s">
        <v>347</v>
      </c>
      <c r="I406" s="875" t="s">
        <v>1154</v>
      </c>
      <c r="J406" s="869" t="s">
        <v>664</v>
      </c>
      <c r="K406" s="869" t="s">
        <v>1757</v>
      </c>
      <c r="L406" s="869" t="s">
        <v>324</v>
      </c>
      <c r="M406" s="873" t="s">
        <v>1758</v>
      </c>
      <c r="N406" s="869" t="s">
        <v>665</v>
      </c>
    </row>
    <row r="407" spans="1:14">
      <c r="A407" s="123">
        <v>18</v>
      </c>
      <c r="B407" s="805"/>
      <c r="C407" s="226" t="s">
        <v>1759</v>
      </c>
      <c r="D407" s="870"/>
      <c r="E407" s="870"/>
      <c r="F407" s="870"/>
      <c r="G407" s="876"/>
      <c r="H407" s="870"/>
      <c r="I407" s="876"/>
      <c r="J407" s="870"/>
      <c r="K407" s="870"/>
      <c r="L407" s="870"/>
      <c r="M407" s="874"/>
      <c r="N407" s="870"/>
    </row>
    <row r="408" spans="1:14" ht="16.5" customHeight="1">
      <c r="A408" s="123">
        <v>18</v>
      </c>
      <c r="B408" s="805"/>
      <c r="C408" s="228" t="s">
        <v>1760</v>
      </c>
      <c r="D408" s="869" t="s">
        <v>306</v>
      </c>
      <c r="E408" s="869" t="s">
        <v>322</v>
      </c>
      <c r="F408" s="869" t="s">
        <v>307</v>
      </c>
      <c r="G408" s="875" t="s">
        <v>1761</v>
      </c>
      <c r="H408" s="869" t="s">
        <v>329</v>
      </c>
      <c r="I408" s="875" t="s">
        <v>1762</v>
      </c>
      <c r="J408" s="869" t="s">
        <v>664</v>
      </c>
      <c r="K408" s="869" t="s">
        <v>1763</v>
      </c>
      <c r="L408" s="869" t="s">
        <v>324</v>
      </c>
      <c r="M408" s="873" t="s">
        <v>1764</v>
      </c>
      <c r="N408" s="869" t="s">
        <v>1765</v>
      </c>
    </row>
    <row r="409" spans="1:14">
      <c r="A409" s="123">
        <v>18</v>
      </c>
      <c r="B409" s="806"/>
      <c r="C409" s="226" t="s">
        <v>1766</v>
      </c>
      <c r="D409" s="870"/>
      <c r="E409" s="870"/>
      <c r="F409" s="870"/>
      <c r="G409" s="876"/>
      <c r="H409" s="870"/>
      <c r="I409" s="876"/>
      <c r="J409" s="870"/>
      <c r="K409" s="870"/>
      <c r="L409" s="870"/>
      <c r="M409" s="874"/>
      <c r="N409" s="870"/>
    </row>
    <row r="410" spans="1:14" ht="16.5" customHeight="1">
      <c r="A410" s="123">
        <v>18</v>
      </c>
      <c r="B410" s="804" t="s">
        <v>253</v>
      </c>
      <c r="C410" s="877" t="s">
        <v>1767</v>
      </c>
      <c r="D410" s="869" t="s">
        <v>311</v>
      </c>
      <c r="E410" s="869" t="s">
        <v>320</v>
      </c>
      <c r="F410" s="869" t="s">
        <v>709</v>
      </c>
      <c r="G410" s="869" t="s">
        <v>1768</v>
      </c>
      <c r="H410" s="877" t="s">
        <v>1769</v>
      </c>
      <c r="I410" s="227" t="s">
        <v>1770</v>
      </c>
      <c r="J410" s="869"/>
      <c r="K410" s="879" t="s">
        <v>1771</v>
      </c>
      <c r="L410" s="869" t="s">
        <v>309</v>
      </c>
      <c r="M410" s="873" t="s">
        <v>1764</v>
      </c>
      <c r="N410" s="869" t="s">
        <v>1772</v>
      </c>
    </row>
    <row r="411" spans="1:14">
      <c r="A411" s="123">
        <v>18</v>
      </c>
      <c r="B411" s="805"/>
      <c r="C411" s="878"/>
      <c r="D411" s="870"/>
      <c r="E411" s="870"/>
      <c r="F411" s="870"/>
      <c r="G411" s="870"/>
      <c r="H411" s="878"/>
      <c r="I411" s="227" t="s">
        <v>1773</v>
      </c>
      <c r="J411" s="870"/>
      <c r="K411" s="880"/>
      <c r="L411" s="870"/>
      <c r="M411" s="874"/>
      <c r="N411" s="870"/>
    </row>
    <row r="412" spans="1:14" ht="22.5">
      <c r="A412" s="123">
        <v>18</v>
      </c>
      <c r="B412" s="8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5"/>
      <c r="C413" s="877" t="s">
        <v>1776</v>
      </c>
      <c r="D413" s="877" t="s">
        <v>700</v>
      </c>
      <c r="E413" s="869" t="s">
        <v>675</v>
      </c>
      <c r="F413" s="877" t="s">
        <v>1777</v>
      </c>
      <c r="G413" s="877" t="s">
        <v>1778</v>
      </c>
      <c r="H413" s="877" t="s">
        <v>662</v>
      </c>
      <c r="I413" s="227" t="s">
        <v>1779</v>
      </c>
      <c r="J413" s="869" t="s">
        <v>638</v>
      </c>
      <c r="K413" s="869" t="s">
        <v>731</v>
      </c>
      <c r="L413" s="869" t="s">
        <v>309</v>
      </c>
      <c r="M413" s="873" t="s">
        <v>1780</v>
      </c>
      <c r="N413" s="869" t="s">
        <v>1781</v>
      </c>
    </row>
    <row r="414" spans="1:14">
      <c r="A414" s="123">
        <v>18</v>
      </c>
      <c r="B414" s="806"/>
      <c r="C414" s="878"/>
      <c r="D414" s="878"/>
      <c r="E414" s="870"/>
      <c r="F414" s="878"/>
      <c r="G414" s="878"/>
      <c r="H414" s="878"/>
      <c r="I414" s="26"/>
      <c r="J414" s="870"/>
      <c r="K414" s="870"/>
      <c r="L414" s="870"/>
      <c r="M414" s="874"/>
      <c r="N414" s="870"/>
    </row>
    <row r="415" spans="1:14" ht="16.5" customHeight="1">
      <c r="A415" s="123">
        <v>19</v>
      </c>
      <c r="B415" s="804" t="s">
        <v>20</v>
      </c>
      <c r="C415" s="148" t="s">
        <v>1794</v>
      </c>
      <c r="D415" s="810" t="s">
        <v>306</v>
      </c>
      <c r="E415" s="810" t="s">
        <v>322</v>
      </c>
      <c r="F415" s="810" t="s">
        <v>307</v>
      </c>
      <c r="G415" s="812" t="s">
        <v>1796</v>
      </c>
      <c r="H415" s="810" t="s">
        <v>1797</v>
      </c>
      <c r="I415" s="812" t="s">
        <v>1792</v>
      </c>
      <c r="J415" s="810" t="s">
        <v>664</v>
      </c>
      <c r="K415" s="148" t="s">
        <v>1520</v>
      </c>
      <c r="L415" s="810" t="s">
        <v>324</v>
      </c>
      <c r="M415" s="820" t="s">
        <v>1799</v>
      </c>
      <c r="N415" s="810" t="s">
        <v>665</v>
      </c>
    </row>
    <row r="416" spans="1:14">
      <c r="A416" s="123">
        <v>19</v>
      </c>
      <c r="B416" s="805"/>
      <c r="C416" s="148" t="s">
        <v>1795</v>
      </c>
      <c r="D416" s="811"/>
      <c r="E416" s="811"/>
      <c r="F416" s="811"/>
      <c r="G416" s="813"/>
      <c r="H416" s="811"/>
      <c r="I416" s="813"/>
      <c r="J416" s="811"/>
      <c r="K416" s="148" t="s">
        <v>1798</v>
      </c>
      <c r="L416" s="811"/>
      <c r="M416" s="821"/>
      <c r="N416" s="811"/>
    </row>
    <row r="417" spans="1:14">
      <c r="A417" s="123">
        <v>19</v>
      </c>
      <c r="B417" s="805"/>
      <c r="C417" s="148" t="s">
        <v>1800</v>
      </c>
      <c r="D417" s="810" t="s">
        <v>306</v>
      </c>
      <c r="E417" s="810" t="s">
        <v>322</v>
      </c>
      <c r="F417" s="810" t="s">
        <v>307</v>
      </c>
      <c r="G417" s="812" t="s">
        <v>1801</v>
      </c>
      <c r="H417" s="810" t="s">
        <v>1802</v>
      </c>
      <c r="I417" s="812" t="s">
        <v>1803</v>
      </c>
      <c r="J417" s="810" t="s">
        <v>664</v>
      </c>
      <c r="K417" s="871" t="s">
        <v>1155</v>
      </c>
      <c r="L417" s="810" t="s">
        <v>324</v>
      </c>
      <c r="M417" s="820" t="s">
        <v>1804</v>
      </c>
      <c r="N417" s="810" t="s">
        <v>665</v>
      </c>
    </row>
    <row r="418" spans="1:14">
      <c r="A418" s="123">
        <v>19</v>
      </c>
      <c r="B418" s="806"/>
      <c r="C418" s="148" t="s">
        <v>1795</v>
      </c>
      <c r="D418" s="811"/>
      <c r="E418" s="811"/>
      <c r="F418" s="811"/>
      <c r="G418" s="813"/>
      <c r="H418" s="811"/>
      <c r="I418" s="813"/>
      <c r="J418" s="811"/>
      <c r="K418" s="872"/>
      <c r="L418" s="811"/>
      <c r="M418" s="821"/>
      <c r="N418" s="811"/>
    </row>
    <row r="419" spans="1:14" ht="16.5" customHeight="1">
      <c r="A419" s="123">
        <v>19</v>
      </c>
      <c r="B419" s="804" t="s">
        <v>21</v>
      </c>
      <c r="C419" s="861" t="s">
        <v>1805</v>
      </c>
      <c r="D419" s="861" t="s">
        <v>700</v>
      </c>
      <c r="E419" s="810" t="s">
        <v>675</v>
      </c>
      <c r="F419" s="861" t="s">
        <v>1806</v>
      </c>
      <c r="G419" s="861" t="s">
        <v>1807</v>
      </c>
      <c r="H419" s="861" t="s">
        <v>662</v>
      </c>
      <c r="I419" s="812" t="s">
        <v>1808</v>
      </c>
      <c r="J419" s="810"/>
      <c r="K419" s="863" t="s">
        <v>1809</v>
      </c>
      <c r="L419" s="810" t="s">
        <v>309</v>
      </c>
      <c r="M419" s="820" t="s">
        <v>1810</v>
      </c>
      <c r="N419" s="149" t="s">
        <v>1811</v>
      </c>
    </row>
    <row r="420" spans="1:14">
      <c r="A420" s="123">
        <v>19</v>
      </c>
      <c r="B420" s="805"/>
      <c r="C420" s="862"/>
      <c r="D420" s="862"/>
      <c r="E420" s="811"/>
      <c r="F420" s="862"/>
      <c r="G420" s="862"/>
      <c r="H420" s="862"/>
      <c r="I420" s="813"/>
      <c r="J420" s="811"/>
      <c r="K420" s="864"/>
      <c r="L420" s="811"/>
      <c r="M420" s="821"/>
      <c r="N420" s="149" t="s">
        <v>1812</v>
      </c>
    </row>
    <row r="421" spans="1:14">
      <c r="A421" s="123">
        <v>19</v>
      </c>
      <c r="B421" s="805"/>
      <c r="C421" s="865" t="s">
        <v>1813</v>
      </c>
      <c r="D421" s="861" t="s">
        <v>700</v>
      </c>
      <c r="E421" s="810" t="s">
        <v>320</v>
      </c>
      <c r="F421" s="810" t="s">
        <v>337</v>
      </c>
      <c r="G421" s="861" t="s">
        <v>353</v>
      </c>
      <c r="H421" s="861" t="s">
        <v>1814</v>
      </c>
      <c r="I421" s="812" t="s">
        <v>1815</v>
      </c>
      <c r="J421" s="810" t="s">
        <v>638</v>
      </c>
      <c r="K421" s="867" t="s">
        <v>692</v>
      </c>
      <c r="L421" s="810" t="s">
        <v>309</v>
      </c>
      <c r="M421" s="820" t="s">
        <v>1816</v>
      </c>
      <c r="N421" s="148" t="s">
        <v>1817</v>
      </c>
    </row>
    <row r="422" spans="1:14">
      <c r="A422" s="123">
        <v>19</v>
      </c>
      <c r="B422" s="805"/>
      <c r="C422" s="866"/>
      <c r="D422" s="862"/>
      <c r="E422" s="811"/>
      <c r="F422" s="811"/>
      <c r="G422" s="862"/>
      <c r="H422" s="862"/>
      <c r="I422" s="813"/>
      <c r="J422" s="811"/>
      <c r="K422" s="868"/>
      <c r="L422" s="811"/>
      <c r="M422" s="821"/>
      <c r="N422" s="148" t="s">
        <v>1818</v>
      </c>
    </row>
    <row r="423" spans="1:14">
      <c r="A423" s="123">
        <v>19</v>
      </c>
      <c r="B423" s="8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5"/>
      <c r="C424" s="861" t="s">
        <v>1820</v>
      </c>
      <c r="D424" s="861" t="s">
        <v>700</v>
      </c>
      <c r="E424" s="810" t="s">
        <v>320</v>
      </c>
      <c r="F424" s="810" t="s">
        <v>709</v>
      </c>
      <c r="G424" s="810" t="s">
        <v>1768</v>
      </c>
      <c r="H424" s="861" t="s">
        <v>1821</v>
      </c>
      <c r="I424" s="149" t="s">
        <v>1822</v>
      </c>
      <c r="J424" s="810" t="s">
        <v>638</v>
      </c>
      <c r="K424" s="810" t="s">
        <v>692</v>
      </c>
      <c r="L424" s="810" t="s">
        <v>309</v>
      </c>
      <c r="M424" s="820" t="s">
        <v>1535</v>
      </c>
      <c r="N424" s="812" t="s">
        <v>1824</v>
      </c>
    </row>
    <row r="425" spans="1:14">
      <c r="A425" s="123">
        <v>19</v>
      </c>
      <c r="B425" s="805"/>
      <c r="C425" s="862"/>
      <c r="D425" s="862"/>
      <c r="E425" s="811"/>
      <c r="F425" s="811"/>
      <c r="G425" s="811"/>
      <c r="H425" s="862"/>
      <c r="I425" s="149" t="s">
        <v>1823</v>
      </c>
      <c r="J425" s="811"/>
      <c r="K425" s="811"/>
      <c r="L425" s="811"/>
      <c r="M425" s="821"/>
      <c r="N425" s="813"/>
    </row>
    <row r="426" spans="1:14">
      <c r="A426" s="123">
        <v>19</v>
      </c>
      <c r="B426" s="8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4" t="s">
        <v>2078</v>
      </c>
      <c r="C452" s="243" t="s">
        <v>1906</v>
      </c>
      <c r="D452" s="841" t="s">
        <v>306</v>
      </c>
      <c r="E452" s="841" t="s">
        <v>322</v>
      </c>
      <c r="F452" s="841" t="s">
        <v>307</v>
      </c>
      <c r="G452" s="841">
        <v>3306</v>
      </c>
      <c r="H452" s="841" t="s">
        <v>1153</v>
      </c>
      <c r="I452" s="841" t="s">
        <v>1907</v>
      </c>
      <c r="J452" s="841" t="s">
        <v>1111</v>
      </c>
      <c r="K452" s="841" t="s">
        <v>692</v>
      </c>
      <c r="L452" s="841" t="s">
        <v>324</v>
      </c>
      <c r="M452" s="839" t="s">
        <v>1908</v>
      </c>
      <c r="N452" s="841" t="s">
        <v>665</v>
      </c>
    </row>
    <row r="453" spans="1:14">
      <c r="A453" s="123">
        <v>23</v>
      </c>
      <c r="B453" s="805"/>
      <c r="C453" s="243" t="s">
        <v>1909</v>
      </c>
      <c r="D453" s="842"/>
      <c r="E453" s="842"/>
      <c r="F453" s="842"/>
      <c r="G453" s="842"/>
      <c r="H453" s="842"/>
      <c r="I453" s="842"/>
      <c r="J453" s="842"/>
      <c r="K453" s="842"/>
      <c r="L453" s="842"/>
      <c r="M453" s="840"/>
      <c r="N453" s="842"/>
    </row>
    <row r="454" spans="1:14">
      <c r="A454" s="123">
        <v>23</v>
      </c>
      <c r="B454" s="805"/>
      <c r="C454" s="243" t="s">
        <v>1910</v>
      </c>
      <c r="D454" s="841" t="s">
        <v>306</v>
      </c>
      <c r="E454" s="841" t="s">
        <v>322</v>
      </c>
      <c r="F454" s="841" t="s">
        <v>307</v>
      </c>
      <c r="G454" s="843" t="s">
        <v>1418</v>
      </c>
      <c r="H454" s="841" t="s">
        <v>1911</v>
      </c>
      <c r="I454" s="843" t="s">
        <v>1154</v>
      </c>
      <c r="J454" s="841" t="s">
        <v>664</v>
      </c>
      <c r="K454" s="857" t="s">
        <v>1763</v>
      </c>
      <c r="L454" s="841" t="s">
        <v>324</v>
      </c>
      <c r="M454" s="839" t="s">
        <v>1535</v>
      </c>
      <c r="N454" s="841" t="s">
        <v>665</v>
      </c>
    </row>
    <row r="455" spans="1:14">
      <c r="A455" s="123">
        <v>23</v>
      </c>
      <c r="B455" s="805"/>
      <c r="C455" s="243" t="s">
        <v>1909</v>
      </c>
      <c r="D455" s="842"/>
      <c r="E455" s="842"/>
      <c r="F455" s="842"/>
      <c r="G455" s="844"/>
      <c r="H455" s="842"/>
      <c r="I455" s="844"/>
      <c r="J455" s="842"/>
      <c r="K455" s="858"/>
      <c r="L455" s="842"/>
      <c r="M455" s="840"/>
      <c r="N455" s="842"/>
    </row>
    <row r="456" spans="1:14">
      <c r="A456" s="123">
        <v>23</v>
      </c>
      <c r="B456" s="8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5"/>
      <c r="C457" s="243" t="s">
        <v>1917</v>
      </c>
      <c r="D457" s="841" t="s">
        <v>306</v>
      </c>
      <c r="E457" s="841" t="s">
        <v>322</v>
      </c>
      <c r="F457" s="841" t="s">
        <v>307</v>
      </c>
      <c r="G457" s="843">
        <v>4267</v>
      </c>
      <c r="H457" s="841" t="s">
        <v>640</v>
      </c>
      <c r="I457" s="843" t="s">
        <v>1154</v>
      </c>
      <c r="J457" s="841" t="s">
        <v>664</v>
      </c>
      <c r="K457" s="857" t="s">
        <v>1763</v>
      </c>
      <c r="L457" s="841" t="s">
        <v>324</v>
      </c>
      <c r="M457" s="839" t="s">
        <v>1535</v>
      </c>
      <c r="N457" s="841" t="s">
        <v>665</v>
      </c>
    </row>
    <row r="458" spans="1:14">
      <c r="A458" s="123">
        <v>23</v>
      </c>
      <c r="B458" s="805"/>
      <c r="C458" s="243" t="s">
        <v>1918</v>
      </c>
      <c r="D458" s="842"/>
      <c r="E458" s="842"/>
      <c r="F458" s="842"/>
      <c r="G458" s="844"/>
      <c r="H458" s="842"/>
      <c r="I458" s="844"/>
      <c r="J458" s="842"/>
      <c r="K458" s="858"/>
      <c r="L458" s="842"/>
      <c r="M458" s="840"/>
      <c r="N458" s="842"/>
    </row>
    <row r="459" spans="1:14">
      <c r="A459" s="123">
        <v>23</v>
      </c>
      <c r="B459" s="805"/>
      <c r="C459" s="243" t="s">
        <v>1917</v>
      </c>
      <c r="D459" s="841" t="s">
        <v>306</v>
      </c>
      <c r="E459" s="841" t="s">
        <v>322</v>
      </c>
      <c r="F459" s="841" t="s">
        <v>307</v>
      </c>
      <c r="G459" s="843" t="s">
        <v>1919</v>
      </c>
      <c r="H459" s="841" t="s">
        <v>662</v>
      </c>
      <c r="I459" s="843" t="s">
        <v>1920</v>
      </c>
      <c r="J459" s="841" t="s">
        <v>349</v>
      </c>
      <c r="K459" s="859" t="s">
        <v>1916</v>
      </c>
      <c r="L459" s="841" t="s">
        <v>324</v>
      </c>
      <c r="M459" s="839" t="s">
        <v>1535</v>
      </c>
      <c r="N459" s="841" t="s">
        <v>425</v>
      </c>
    </row>
    <row r="460" spans="1:14">
      <c r="A460" s="123">
        <v>23</v>
      </c>
      <c r="B460" s="806"/>
      <c r="C460" s="244" t="s">
        <v>1918</v>
      </c>
      <c r="D460" s="842"/>
      <c r="E460" s="842"/>
      <c r="F460" s="842"/>
      <c r="G460" s="844"/>
      <c r="H460" s="842"/>
      <c r="I460" s="844"/>
      <c r="J460" s="842"/>
      <c r="K460" s="860"/>
      <c r="L460" s="842"/>
      <c r="M460" s="840"/>
      <c r="N460" s="842"/>
    </row>
    <row r="461" spans="1:14">
      <c r="A461" s="123">
        <v>23</v>
      </c>
      <c r="B461" s="8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5"/>
      <c r="C462" s="841" t="s">
        <v>1921</v>
      </c>
      <c r="D462" s="841" t="s">
        <v>311</v>
      </c>
      <c r="E462" s="841" t="s">
        <v>675</v>
      </c>
      <c r="F462" s="841" t="s">
        <v>1926</v>
      </c>
      <c r="G462" s="841" t="s">
        <v>1927</v>
      </c>
      <c r="H462" s="948" t="s">
        <v>347</v>
      </c>
      <c r="I462" s="242" t="s">
        <v>1928</v>
      </c>
      <c r="J462" s="841"/>
      <c r="K462" s="843" t="s">
        <v>1924</v>
      </c>
      <c r="L462" s="841" t="s">
        <v>309</v>
      </c>
      <c r="M462" s="839" t="s">
        <v>1828</v>
      </c>
      <c r="N462" s="843" t="s">
        <v>1925</v>
      </c>
    </row>
    <row r="463" spans="1:14">
      <c r="A463" s="123">
        <v>23</v>
      </c>
      <c r="B463" s="805"/>
      <c r="C463" s="842"/>
      <c r="D463" s="842"/>
      <c r="E463" s="842"/>
      <c r="F463" s="842"/>
      <c r="G463" s="842"/>
      <c r="H463" s="949"/>
      <c r="I463" s="242" t="s">
        <v>1929</v>
      </c>
      <c r="J463" s="842"/>
      <c r="K463" s="844"/>
      <c r="L463" s="842"/>
      <c r="M463" s="840"/>
      <c r="N463" s="844"/>
    </row>
    <row r="464" spans="1:14" ht="24">
      <c r="A464" s="123">
        <v>23</v>
      </c>
      <c r="B464" s="8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53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5"/>
      <c r="C687" s="148" t="s">
        <v>2726</v>
      </c>
      <c r="D687" s="810" t="s">
        <v>306</v>
      </c>
      <c r="E687" s="810" t="s">
        <v>322</v>
      </c>
      <c r="F687" s="810" t="s">
        <v>307</v>
      </c>
      <c r="G687" s="812" t="s">
        <v>2719</v>
      </c>
      <c r="H687" s="810" t="s">
        <v>1047</v>
      </c>
      <c r="I687" s="812" t="s">
        <v>704</v>
      </c>
      <c r="J687" s="810" t="s">
        <v>664</v>
      </c>
      <c r="K687" s="849" t="s">
        <v>1763</v>
      </c>
      <c r="L687" s="810"/>
      <c r="M687" s="820" t="s">
        <v>458</v>
      </c>
      <c r="N687" s="810" t="s">
        <v>665</v>
      </c>
    </row>
    <row r="688" spans="1:14">
      <c r="A688" s="123">
        <v>8</v>
      </c>
      <c r="B688" s="805"/>
      <c r="C688" s="148" t="s">
        <v>2727</v>
      </c>
      <c r="D688" s="811"/>
      <c r="E688" s="811"/>
      <c r="F688" s="811"/>
      <c r="G688" s="813"/>
      <c r="H688" s="811"/>
      <c r="I688" s="813"/>
      <c r="J688" s="811"/>
      <c r="K688" s="850"/>
      <c r="L688" s="811"/>
      <c r="M688" s="821"/>
      <c r="N688" s="811"/>
    </row>
    <row r="689" spans="1:14">
      <c r="A689" s="123">
        <v>8</v>
      </c>
      <c r="B689" s="8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5"/>
      <c r="C690" s="148" t="s">
        <v>2730</v>
      </c>
      <c r="D690" s="810" t="s">
        <v>306</v>
      </c>
      <c r="E690" s="810" t="s">
        <v>322</v>
      </c>
      <c r="F690" s="810" t="s">
        <v>307</v>
      </c>
      <c r="G690" s="812" t="s">
        <v>2731</v>
      </c>
      <c r="H690" s="810" t="s">
        <v>640</v>
      </c>
      <c r="I690" s="812" t="s">
        <v>668</v>
      </c>
      <c r="J690" s="810" t="s">
        <v>349</v>
      </c>
      <c r="K690" s="851" t="s">
        <v>2732</v>
      </c>
      <c r="L690" s="810"/>
      <c r="M690" s="820" t="s">
        <v>2769</v>
      </c>
      <c r="N690" s="810" t="s">
        <v>425</v>
      </c>
    </row>
    <row r="691" spans="1:14">
      <c r="A691" s="123">
        <v>8</v>
      </c>
      <c r="B691" s="806"/>
      <c r="C691" s="148" t="s">
        <v>2723</v>
      </c>
      <c r="D691" s="811"/>
      <c r="E691" s="811"/>
      <c r="F691" s="811"/>
      <c r="G691" s="813"/>
      <c r="H691" s="811"/>
      <c r="I691" s="813"/>
      <c r="J691" s="811"/>
      <c r="K691" s="852"/>
      <c r="L691" s="811"/>
      <c r="M691" s="821"/>
      <c r="N691" s="811"/>
    </row>
    <row r="692" spans="1:14">
      <c r="A692" s="123">
        <v>8</v>
      </c>
      <c r="B692" s="8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5"/>
      <c r="C693" s="810" t="s">
        <v>2768</v>
      </c>
      <c r="D693" s="810" t="s">
        <v>311</v>
      </c>
      <c r="E693" s="810" t="s">
        <v>675</v>
      </c>
      <c r="F693" s="149" t="s">
        <v>1806</v>
      </c>
      <c r="G693" s="812" t="s">
        <v>689</v>
      </c>
      <c r="H693" s="812" t="s">
        <v>662</v>
      </c>
      <c r="I693" s="812" t="s">
        <v>2739</v>
      </c>
      <c r="J693" s="812"/>
      <c r="K693" s="812" t="s">
        <v>698</v>
      </c>
      <c r="L693" s="810" t="s">
        <v>309</v>
      </c>
      <c r="M693" s="820" t="s">
        <v>672</v>
      </c>
      <c r="N693" s="810" t="s">
        <v>2740</v>
      </c>
    </row>
    <row r="694" spans="1:14">
      <c r="A694" s="123">
        <v>8</v>
      </c>
      <c r="B694" s="806"/>
      <c r="C694" s="811"/>
      <c r="D694" s="811"/>
      <c r="E694" s="811"/>
      <c r="F694" s="149" t="s">
        <v>2738</v>
      </c>
      <c r="G694" s="813"/>
      <c r="H694" s="813"/>
      <c r="I694" s="813"/>
      <c r="J694" s="813"/>
      <c r="K694" s="813"/>
      <c r="L694" s="811"/>
      <c r="M694" s="821"/>
      <c r="N694" s="827"/>
    </row>
    <row r="695" spans="1:14">
      <c r="A695" s="123">
        <v>9</v>
      </c>
      <c r="B695" s="8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5"/>
      <c r="C697" s="243" t="s">
        <v>2745</v>
      </c>
      <c r="D697" s="841" t="s">
        <v>306</v>
      </c>
      <c r="E697" s="841" t="s">
        <v>322</v>
      </c>
      <c r="F697" s="841" t="s">
        <v>307</v>
      </c>
      <c r="G697" s="843" t="s">
        <v>2746</v>
      </c>
      <c r="H697" s="841" t="s">
        <v>405</v>
      </c>
      <c r="I697" s="843" t="s">
        <v>2747</v>
      </c>
      <c r="J697" s="841" t="s">
        <v>664</v>
      </c>
      <c r="K697" s="847" t="s">
        <v>1757</v>
      </c>
      <c r="L697" s="841"/>
      <c r="M697" s="839">
        <v>750000</v>
      </c>
      <c r="N697" s="841" t="s">
        <v>665</v>
      </c>
    </row>
    <row r="698" spans="1:14">
      <c r="A698" s="123">
        <v>9</v>
      </c>
      <c r="B698" s="805"/>
      <c r="C698" s="243" t="s">
        <v>2748</v>
      </c>
      <c r="D698" s="842"/>
      <c r="E698" s="842"/>
      <c r="F698" s="842"/>
      <c r="G698" s="844"/>
      <c r="H698" s="842"/>
      <c r="I698" s="844"/>
      <c r="J698" s="842"/>
      <c r="K698" s="848"/>
      <c r="L698" s="842"/>
      <c r="M698" s="840"/>
      <c r="N698" s="842"/>
    </row>
    <row r="699" spans="1:14">
      <c r="A699" s="123">
        <v>9</v>
      </c>
      <c r="B699" s="805"/>
      <c r="C699" s="243" t="s">
        <v>2745</v>
      </c>
      <c r="D699" s="841" t="s">
        <v>306</v>
      </c>
      <c r="E699" s="841" t="s">
        <v>322</v>
      </c>
      <c r="F699" s="841" t="s">
        <v>307</v>
      </c>
      <c r="G699" s="843" t="s">
        <v>2749</v>
      </c>
      <c r="H699" s="841" t="s">
        <v>662</v>
      </c>
      <c r="I699" s="843" t="s">
        <v>668</v>
      </c>
      <c r="J699" s="841" t="s">
        <v>349</v>
      </c>
      <c r="K699" s="845" t="s">
        <v>2732</v>
      </c>
      <c r="L699" s="841"/>
      <c r="M699" s="839">
        <v>1000000</v>
      </c>
      <c r="N699" s="841" t="s">
        <v>425</v>
      </c>
    </row>
    <row r="700" spans="1:14">
      <c r="A700" s="123">
        <v>9</v>
      </c>
      <c r="B700" s="805"/>
      <c r="C700" s="243" t="s">
        <v>2750</v>
      </c>
      <c r="D700" s="842"/>
      <c r="E700" s="842"/>
      <c r="F700" s="842"/>
      <c r="G700" s="844"/>
      <c r="H700" s="842"/>
      <c r="I700" s="844"/>
      <c r="J700" s="842"/>
      <c r="K700" s="846"/>
      <c r="L700" s="842"/>
      <c r="M700" s="840"/>
      <c r="N700" s="842"/>
    </row>
    <row r="701" spans="1:14">
      <c r="A701" s="123">
        <v>9</v>
      </c>
      <c r="B701" s="8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7" t="s">
        <v>2821</v>
      </c>
    </row>
    <row r="734" spans="1:14" ht="27">
      <c r="A734" s="123">
        <v>15</v>
      </c>
      <c r="B734" s="8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8"/>
    </row>
    <row r="735" spans="1:14">
      <c r="A735" s="123">
        <v>15</v>
      </c>
      <c r="B735" s="8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4" t="s">
        <v>3097</v>
      </c>
      <c r="C835" s="148" t="s">
        <v>3079</v>
      </c>
      <c r="D835" s="810" t="s">
        <v>306</v>
      </c>
      <c r="E835" s="810" t="s">
        <v>322</v>
      </c>
      <c r="F835" s="810" t="s">
        <v>307</v>
      </c>
      <c r="G835" s="812" t="s">
        <v>3051</v>
      </c>
      <c r="H835" s="810" t="s">
        <v>1993</v>
      </c>
      <c r="I835" s="812" t="s">
        <v>3052</v>
      </c>
      <c r="J835" s="810" t="s">
        <v>664</v>
      </c>
      <c r="K835" s="148" t="s">
        <v>3081</v>
      </c>
      <c r="L835" s="810"/>
      <c r="M835" s="829" t="s">
        <v>3082</v>
      </c>
      <c r="N835" s="148" t="s">
        <v>3083</v>
      </c>
    </row>
    <row r="836" spans="1:14">
      <c r="A836" s="123">
        <v>29</v>
      </c>
      <c r="B836" s="805"/>
      <c r="C836" s="148" t="s">
        <v>3080</v>
      </c>
      <c r="D836" s="827"/>
      <c r="E836" s="827"/>
      <c r="F836" s="827"/>
      <c r="G836" s="828"/>
      <c r="H836" s="827"/>
      <c r="I836" s="828"/>
      <c r="J836" s="827"/>
      <c r="K836" s="148" t="s">
        <v>707</v>
      </c>
      <c r="L836" s="827"/>
      <c r="M836" s="830"/>
      <c r="N836" s="148"/>
    </row>
    <row r="837" spans="1:14">
      <c r="A837" s="123">
        <v>29</v>
      </c>
      <c r="B837" s="805"/>
      <c r="C837" s="148"/>
      <c r="D837" s="811"/>
      <c r="E837" s="811"/>
      <c r="F837" s="811"/>
      <c r="G837" s="813"/>
      <c r="H837" s="811"/>
      <c r="I837" s="813"/>
      <c r="J837" s="811"/>
      <c r="K837" s="148"/>
      <c r="L837" s="811"/>
      <c r="M837" s="831"/>
      <c r="N837" s="148" t="s">
        <v>3084</v>
      </c>
    </row>
    <row r="838" spans="1:14">
      <c r="A838" s="123">
        <v>29</v>
      </c>
      <c r="B838" s="8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4" t="s">
        <v>21</v>
      </c>
      <c r="C840" s="111" t="s">
        <v>3087</v>
      </c>
      <c r="D840" s="810" t="s">
        <v>311</v>
      </c>
      <c r="E840" s="810" t="s">
        <v>320</v>
      </c>
      <c r="F840" s="812" t="s">
        <v>2601</v>
      </c>
      <c r="G840" s="812" t="s">
        <v>3059</v>
      </c>
      <c r="H840" s="812" t="s">
        <v>3060</v>
      </c>
      <c r="I840" s="812" t="s">
        <v>3061</v>
      </c>
      <c r="J840" s="812" t="s">
        <v>702</v>
      </c>
      <c r="K840" s="812" t="s">
        <v>3062</v>
      </c>
      <c r="L840" s="810" t="s">
        <v>309</v>
      </c>
      <c r="M840" s="829" t="s">
        <v>1816</v>
      </c>
      <c r="N840" s="810" t="s">
        <v>3088</v>
      </c>
    </row>
    <row r="841" spans="1:14">
      <c r="A841" s="123">
        <v>29</v>
      </c>
      <c r="B841" s="805"/>
      <c r="C841" s="111" t="s">
        <v>3065</v>
      </c>
      <c r="D841" s="811"/>
      <c r="E841" s="811"/>
      <c r="F841" s="813"/>
      <c r="G841" s="813"/>
      <c r="H841" s="813"/>
      <c r="I841" s="813"/>
      <c r="J841" s="813"/>
      <c r="K841" s="813"/>
      <c r="L841" s="811"/>
      <c r="M841" s="831"/>
      <c r="N841" s="811"/>
    </row>
    <row r="842" spans="1:14">
      <c r="A842" s="123">
        <v>29</v>
      </c>
      <c r="B842" s="8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5"/>
      <c r="C844" s="111" t="s">
        <v>3079</v>
      </c>
      <c r="D844" s="810" t="s">
        <v>311</v>
      </c>
      <c r="E844" s="810" t="s">
        <v>320</v>
      </c>
      <c r="F844" s="812" t="s">
        <v>3068</v>
      </c>
      <c r="G844" s="812" t="s">
        <v>1919</v>
      </c>
      <c r="H844" s="812" t="s">
        <v>3069</v>
      </c>
      <c r="I844" s="149" t="s">
        <v>3090</v>
      </c>
      <c r="J844" s="812"/>
      <c r="K844" s="812" t="s">
        <v>3070</v>
      </c>
      <c r="L844" s="810" t="s">
        <v>309</v>
      </c>
      <c r="M844" s="835" t="s">
        <v>3092</v>
      </c>
      <c r="N844" s="810" t="s">
        <v>1206</v>
      </c>
    </row>
    <row r="845" spans="1:14">
      <c r="A845" s="123">
        <v>29</v>
      </c>
      <c r="B845" s="805"/>
      <c r="C845" s="111" t="s">
        <v>3089</v>
      </c>
      <c r="D845" s="811"/>
      <c r="E845" s="811"/>
      <c r="F845" s="813"/>
      <c r="G845" s="813"/>
      <c r="H845" s="813"/>
      <c r="I845" s="149" t="s">
        <v>3091</v>
      </c>
      <c r="J845" s="813"/>
      <c r="K845" s="813"/>
      <c r="L845" s="811"/>
      <c r="M845" s="836"/>
      <c r="N845" s="811"/>
    </row>
    <row r="846" spans="1:14">
      <c r="A846" s="123">
        <v>29</v>
      </c>
      <c r="B846" s="805"/>
      <c r="C846" s="111" t="s">
        <v>3079</v>
      </c>
      <c r="D846" s="810" t="s">
        <v>311</v>
      </c>
      <c r="E846" s="810" t="s">
        <v>320</v>
      </c>
      <c r="F846" s="812" t="s">
        <v>2601</v>
      </c>
      <c r="G846" s="812" t="s">
        <v>3059</v>
      </c>
      <c r="H846" s="812" t="s">
        <v>3060</v>
      </c>
      <c r="I846" s="812" t="s">
        <v>3071</v>
      </c>
      <c r="J846" s="812" t="s">
        <v>702</v>
      </c>
      <c r="K846" s="812" t="s">
        <v>1054</v>
      </c>
      <c r="L846" s="810" t="s">
        <v>309</v>
      </c>
      <c r="M846" s="829" t="s">
        <v>3094</v>
      </c>
      <c r="N846" s="810" t="s">
        <v>3095</v>
      </c>
    </row>
    <row r="847" spans="1:14">
      <c r="A847" s="123">
        <v>29</v>
      </c>
      <c r="B847" s="805"/>
      <c r="C847" s="111"/>
      <c r="D847" s="827"/>
      <c r="E847" s="827"/>
      <c r="F847" s="828"/>
      <c r="G847" s="828"/>
      <c r="H847" s="828"/>
      <c r="I847" s="828"/>
      <c r="J847" s="828"/>
      <c r="K847" s="828"/>
      <c r="L847" s="827"/>
      <c r="M847" s="830"/>
      <c r="N847" s="827"/>
    </row>
    <row r="848" spans="1:14">
      <c r="A848" s="123">
        <v>29</v>
      </c>
      <c r="B848" s="805"/>
      <c r="C848" s="111" t="s">
        <v>3093</v>
      </c>
      <c r="D848" s="811"/>
      <c r="E848" s="811"/>
      <c r="F848" s="813"/>
      <c r="G848" s="813"/>
      <c r="H848" s="813"/>
      <c r="I848" s="813"/>
      <c r="J848" s="813"/>
      <c r="K848" s="813"/>
      <c r="L848" s="811"/>
      <c r="M848" s="831"/>
      <c r="N848" s="811"/>
    </row>
    <row r="849" spans="1:14">
      <c r="A849" s="123">
        <v>29</v>
      </c>
      <c r="B849" s="805"/>
      <c r="C849" s="111" t="s">
        <v>3096</v>
      </c>
      <c r="D849" s="810" t="s">
        <v>311</v>
      </c>
      <c r="E849" s="810" t="s">
        <v>320</v>
      </c>
      <c r="F849" s="812" t="s">
        <v>337</v>
      </c>
      <c r="G849" s="812" t="s">
        <v>3072</v>
      </c>
      <c r="H849" s="812" t="s">
        <v>354</v>
      </c>
      <c r="I849" s="812" t="s">
        <v>310</v>
      </c>
      <c r="J849" s="812" t="s">
        <v>638</v>
      </c>
      <c r="K849" s="812" t="s">
        <v>3073</v>
      </c>
      <c r="L849" s="810" t="s">
        <v>309</v>
      </c>
      <c r="M849" s="829" t="s">
        <v>1816</v>
      </c>
      <c r="N849" s="810" t="s">
        <v>3095</v>
      </c>
    </row>
    <row r="850" spans="1:14">
      <c r="A850" s="123">
        <v>29</v>
      </c>
      <c r="B850" s="806"/>
      <c r="C850" s="111" t="s">
        <v>3089</v>
      </c>
      <c r="D850" s="811"/>
      <c r="E850" s="811"/>
      <c r="F850" s="813"/>
      <c r="G850" s="813"/>
      <c r="H850" s="813"/>
      <c r="I850" s="813"/>
      <c r="J850" s="813"/>
      <c r="K850" s="813"/>
      <c r="L850" s="811"/>
      <c r="M850" s="831"/>
      <c r="N850" s="811"/>
    </row>
    <row r="851" spans="1:14">
      <c r="A851" s="123">
        <v>30</v>
      </c>
      <c r="B851" s="82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2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23"/>
      <c r="C853" s="148" t="s">
        <v>3106</v>
      </c>
      <c r="D853" s="810" t="s">
        <v>306</v>
      </c>
      <c r="E853" s="810" t="s">
        <v>322</v>
      </c>
      <c r="F853" s="810" t="s">
        <v>307</v>
      </c>
      <c r="G853" s="812" t="s">
        <v>3051</v>
      </c>
      <c r="H853" s="810" t="s">
        <v>1993</v>
      </c>
      <c r="I853" s="812" t="s">
        <v>3108</v>
      </c>
      <c r="J853" s="810" t="s">
        <v>664</v>
      </c>
      <c r="K853" s="148" t="s">
        <v>3109</v>
      </c>
      <c r="L853" s="810"/>
      <c r="M853" s="820" t="s">
        <v>3110</v>
      </c>
      <c r="N853" s="810" t="s">
        <v>665</v>
      </c>
    </row>
    <row r="854" spans="1:14">
      <c r="A854" s="123">
        <v>30</v>
      </c>
      <c r="B854" s="823"/>
      <c r="C854" s="148" t="s">
        <v>3107</v>
      </c>
      <c r="D854" s="811"/>
      <c r="E854" s="811"/>
      <c r="F854" s="811"/>
      <c r="G854" s="813"/>
      <c r="H854" s="811"/>
      <c r="I854" s="813"/>
      <c r="J854" s="811"/>
      <c r="K854" s="148" t="s">
        <v>655</v>
      </c>
      <c r="L854" s="811"/>
      <c r="M854" s="821"/>
      <c r="N854" s="811"/>
    </row>
    <row r="855" spans="1:14">
      <c r="A855" s="123">
        <v>30</v>
      </c>
      <c r="B855" s="82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4" t="s">
        <v>3116</v>
      </c>
      <c r="C856" s="825" t="s">
        <v>3117</v>
      </c>
      <c r="D856" s="810" t="s">
        <v>311</v>
      </c>
      <c r="E856" s="810" t="s">
        <v>320</v>
      </c>
      <c r="F856" s="812" t="s">
        <v>2601</v>
      </c>
      <c r="G856" s="812" t="s">
        <v>2749</v>
      </c>
      <c r="H856" s="812" t="s">
        <v>347</v>
      </c>
      <c r="I856" s="812" t="s">
        <v>3118</v>
      </c>
      <c r="J856" s="812" t="s">
        <v>638</v>
      </c>
      <c r="K856" s="812" t="s">
        <v>698</v>
      </c>
      <c r="L856" s="810" t="s">
        <v>309</v>
      </c>
      <c r="M856" s="820" t="s">
        <v>1810</v>
      </c>
      <c r="N856" s="148" t="s">
        <v>3119</v>
      </c>
    </row>
    <row r="857" spans="1:14">
      <c r="A857" s="123">
        <v>30</v>
      </c>
      <c r="B857" s="805"/>
      <c r="C857" s="826"/>
      <c r="D857" s="811"/>
      <c r="E857" s="811"/>
      <c r="F857" s="813"/>
      <c r="G857" s="813"/>
      <c r="H857" s="813"/>
      <c r="I857" s="813"/>
      <c r="J857" s="813"/>
      <c r="K857" s="813"/>
      <c r="L857" s="811"/>
      <c r="M857" s="821"/>
      <c r="N857" s="148" t="s">
        <v>3120</v>
      </c>
    </row>
    <row r="858" spans="1:14" ht="16.5" customHeight="1">
      <c r="A858" s="123">
        <v>30</v>
      </c>
      <c r="B858" s="805"/>
      <c r="C858" s="825" t="s">
        <v>3117</v>
      </c>
      <c r="D858" s="810" t="s">
        <v>311</v>
      </c>
      <c r="E858" s="810" t="s">
        <v>320</v>
      </c>
      <c r="F858" s="812" t="s">
        <v>709</v>
      </c>
      <c r="G858" s="149" t="s">
        <v>3121</v>
      </c>
      <c r="H858" s="812" t="s">
        <v>640</v>
      </c>
      <c r="I858" s="812" t="s">
        <v>3122</v>
      </c>
      <c r="J858" s="812"/>
      <c r="K858" s="812" t="s">
        <v>692</v>
      </c>
      <c r="L858" s="810" t="s">
        <v>309</v>
      </c>
      <c r="M858" s="820" t="s">
        <v>1535</v>
      </c>
      <c r="N858" s="810" t="s">
        <v>1772</v>
      </c>
    </row>
    <row r="859" spans="1:14">
      <c r="A859" s="123">
        <v>30</v>
      </c>
      <c r="B859" s="805"/>
      <c r="C859" s="826"/>
      <c r="D859" s="811"/>
      <c r="E859" s="811"/>
      <c r="F859" s="813"/>
      <c r="G859" s="149">
        <v>2651</v>
      </c>
      <c r="H859" s="813"/>
      <c r="I859" s="813"/>
      <c r="J859" s="813"/>
      <c r="K859" s="813"/>
      <c r="L859" s="811"/>
      <c r="M859" s="821"/>
      <c r="N859" s="811"/>
    </row>
    <row r="860" spans="1:14">
      <c r="A860" s="123">
        <v>30</v>
      </c>
      <c r="B860" s="805"/>
      <c r="C860" s="825" t="s">
        <v>3123</v>
      </c>
      <c r="D860" s="810" t="s">
        <v>311</v>
      </c>
      <c r="E860" s="810" t="s">
        <v>320</v>
      </c>
      <c r="F860" s="812" t="s">
        <v>720</v>
      </c>
      <c r="G860" s="812" t="s">
        <v>1756</v>
      </c>
      <c r="H860" s="812" t="s">
        <v>347</v>
      </c>
      <c r="I860" s="149" t="s">
        <v>3124</v>
      </c>
      <c r="J860" s="812"/>
      <c r="K860" s="812" t="s">
        <v>3126</v>
      </c>
      <c r="L860" s="810" t="s">
        <v>309</v>
      </c>
      <c r="M860" s="820" t="s">
        <v>1933</v>
      </c>
      <c r="N860" s="810" t="s">
        <v>1206</v>
      </c>
    </row>
    <row r="861" spans="1:14">
      <c r="A861" s="123">
        <v>30</v>
      </c>
      <c r="B861" s="805"/>
      <c r="C861" s="826"/>
      <c r="D861" s="811"/>
      <c r="E861" s="811"/>
      <c r="F861" s="813"/>
      <c r="G861" s="813"/>
      <c r="H861" s="813"/>
      <c r="I861" s="149" t="s">
        <v>3125</v>
      </c>
      <c r="J861" s="813"/>
      <c r="K861" s="813"/>
      <c r="L861" s="811"/>
      <c r="M861" s="821"/>
      <c r="N861" s="811"/>
    </row>
    <row r="862" spans="1:14">
      <c r="A862" s="123">
        <v>30</v>
      </c>
      <c r="B862" s="805"/>
      <c r="C862" s="111" t="s">
        <v>3127</v>
      </c>
      <c r="D862" s="810" t="s">
        <v>311</v>
      </c>
      <c r="E862" s="810" t="s">
        <v>320</v>
      </c>
      <c r="F862" s="812" t="s">
        <v>690</v>
      </c>
      <c r="G862" s="812" t="s">
        <v>3066</v>
      </c>
      <c r="H862" s="812" t="s">
        <v>354</v>
      </c>
      <c r="I862" s="812" t="s">
        <v>3129</v>
      </c>
      <c r="J862" s="812" t="s">
        <v>638</v>
      </c>
      <c r="K862" s="812" t="s">
        <v>655</v>
      </c>
      <c r="L862" s="810" t="s">
        <v>309</v>
      </c>
      <c r="M862" s="820" t="s">
        <v>1535</v>
      </c>
      <c r="N862" s="810" t="s">
        <v>1206</v>
      </c>
    </row>
    <row r="863" spans="1:14">
      <c r="A863" s="123">
        <v>30</v>
      </c>
      <c r="B863" s="805"/>
      <c r="C863" s="111" t="s">
        <v>3128</v>
      </c>
      <c r="D863" s="811"/>
      <c r="E863" s="811"/>
      <c r="F863" s="813"/>
      <c r="G863" s="813"/>
      <c r="H863" s="813"/>
      <c r="I863" s="813"/>
      <c r="J863" s="813"/>
      <c r="K863" s="813"/>
      <c r="L863" s="811"/>
      <c r="M863" s="821"/>
      <c r="N863" s="811"/>
    </row>
    <row r="864" spans="1:14">
      <c r="A864" s="123">
        <v>30</v>
      </c>
      <c r="B864" s="805"/>
      <c r="C864" s="111" t="s">
        <v>3130</v>
      </c>
      <c r="D864" s="810" t="s">
        <v>311</v>
      </c>
      <c r="E864" s="810" t="s">
        <v>320</v>
      </c>
      <c r="F864" s="812" t="s">
        <v>337</v>
      </c>
      <c r="G864" s="812" t="s">
        <v>3072</v>
      </c>
      <c r="H864" s="812" t="s">
        <v>354</v>
      </c>
      <c r="I864" s="812" t="s">
        <v>3131</v>
      </c>
      <c r="J864" s="812" t="s">
        <v>638</v>
      </c>
      <c r="K864" s="812" t="s">
        <v>713</v>
      </c>
      <c r="L864" s="810" t="s">
        <v>309</v>
      </c>
      <c r="M864" s="820" t="s">
        <v>1810</v>
      </c>
      <c r="N864" s="810" t="s">
        <v>1206</v>
      </c>
    </row>
    <row r="865" spans="1:14">
      <c r="A865" s="123">
        <v>30</v>
      </c>
      <c r="B865" s="805"/>
      <c r="C865" s="111" t="s">
        <v>3107</v>
      </c>
      <c r="D865" s="811"/>
      <c r="E865" s="811"/>
      <c r="F865" s="813"/>
      <c r="G865" s="813"/>
      <c r="H865" s="813"/>
      <c r="I865" s="813"/>
      <c r="J865" s="813"/>
      <c r="K865" s="813"/>
      <c r="L865" s="811"/>
      <c r="M865" s="821"/>
      <c r="N865" s="811"/>
    </row>
    <row r="866" spans="1:14" ht="25.5">
      <c r="A866" s="123">
        <v>30</v>
      </c>
      <c r="B866" s="8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5"/>
      <c r="C867" s="825" t="s">
        <v>3111</v>
      </c>
      <c r="D867" s="810" t="s">
        <v>311</v>
      </c>
      <c r="E867" s="810" t="s">
        <v>675</v>
      </c>
      <c r="F867" s="812" t="s">
        <v>660</v>
      </c>
      <c r="G867" s="812" t="s">
        <v>661</v>
      </c>
      <c r="H867" s="812" t="s">
        <v>662</v>
      </c>
      <c r="I867" s="149" t="s">
        <v>3134</v>
      </c>
      <c r="J867" s="812" t="s">
        <v>638</v>
      </c>
      <c r="K867" s="812" t="s">
        <v>731</v>
      </c>
      <c r="L867" s="810" t="s">
        <v>309</v>
      </c>
      <c r="M867" s="820" t="s">
        <v>1828</v>
      </c>
      <c r="N867" s="810" t="s">
        <v>3136</v>
      </c>
    </row>
    <row r="868" spans="1:14">
      <c r="A868" s="123">
        <v>30</v>
      </c>
      <c r="B868" s="806"/>
      <c r="C868" s="826"/>
      <c r="D868" s="811"/>
      <c r="E868" s="811"/>
      <c r="F868" s="813"/>
      <c r="G868" s="813"/>
      <c r="H868" s="813"/>
      <c r="I868" s="149" t="s">
        <v>3135</v>
      </c>
      <c r="J868" s="813"/>
      <c r="K868" s="813"/>
      <c r="L868" s="811"/>
      <c r="M868" s="821"/>
      <c r="N868" s="811"/>
    </row>
    <row r="869" spans="1:14">
      <c r="A869" s="123">
        <v>31</v>
      </c>
      <c r="B869" s="8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5"/>
      <c r="C870" s="148" t="s">
        <v>3140</v>
      </c>
      <c r="D870" s="810" t="s">
        <v>306</v>
      </c>
      <c r="E870" s="810" t="s">
        <v>322</v>
      </c>
      <c r="F870" s="810" t="s">
        <v>307</v>
      </c>
      <c r="G870" s="812">
        <v>1566</v>
      </c>
      <c r="H870" s="810" t="s">
        <v>1911</v>
      </c>
      <c r="I870" s="812" t="s">
        <v>3142</v>
      </c>
      <c r="J870" s="810" t="s">
        <v>664</v>
      </c>
      <c r="K870" s="810" t="s">
        <v>3143</v>
      </c>
      <c r="L870" s="810"/>
      <c r="M870" s="820" t="s">
        <v>3144</v>
      </c>
      <c r="N870" s="810" t="s">
        <v>665</v>
      </c>
    </row>
    <row r="871" spans="1:14">
      <c r="A871" s="123">
        <v>31</v>
      </c>
      <c r="B871" s="805"/>
      <c r="C871" s="148" t="s">
        <v>3141</v>
      </c>
      <c r="D871" s="811"/>
      <c r="E871" s="811"/>
      <c r="F871" s="811"/>
      <c r="G871" s="813"/>
      <c r="H871" s="811"/>
      <c r="I871" s="813"/>
      <c r="J871" s="811"/>
      <c r="K871" s="811"/>
      <c r="L871" s="811"/>
      <c r="M871" s="821"/>
      <c r="N871" s="811"/>
    </row>
    <row r="872" spans="1:14">
      <c r="A872" s="123">
        <v>31</v>
      </c>
      <c r="B872" s="8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5"/>
      <c r="C873" s="390" t="s">
        <v>3140</v>
      </c>
      <c r="D873" s="810" t="s">
        <v>306</v>
      </c>
      <c r="E873" s="810" t="s">
        <v>322</v>
      </c>
      <c r="F873" s="810" t="s">
        <v>307</v>
      </c>
      <c r="G873" s="812" t="s">
        <v>3147</v>
      </c>
      <c r="H873" s="810" t="s">
        <v>3148</v>
      </c>
      <c r="I873" s="812" t="s">
        <v>332</v>
      </c>
      <c r="J873" s="810" t="s">
        <v>1534</v>
      </c>
      <c r="K873" s="810" t="s">
        <v>1157</v>
      </c>
      <c r="L873" s="810"/>
      <c r="M873" s="820" t="s">
        <v>3149</v>
      </c>
      <c r="N873" s="810" t="s">
        <v>425</v>
      </c>
    </row>
    <row r="874" spans="1:14">
      <c r="A874" s="123">
        <v>31</v>
      </c>
      <c r="B874" s="806"/>
      <c r="C874" s="390" t="s">
        <v>3146</v>
      </c>
      <c r="D874" s="811"/>
      <c r="E874" s="811"/>
      <c r="F874" s="811"/>
      <c r="G874" s="813"/>
      <c r="H874" s="811"/>
      <c r="I874" s="813"/>
      <c r="J874" s="811"/>
      <c r="K874" s="811"/>
      <c r="L874" s="811"/>
      <c r="M874" s="821"/>
      <c r="N874" s="811"/>
    </row>
    <row r="875" spans="1:14">
      <c r="A875" s="123">
        <v>31</v>
      </c>
      <c r="B875" s="8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5"/>
      <c r="C876" s="810" t="s">
        <v>3128</v>
      </c>
      <c r="D876" s="810" t="s">
        <v>311</v>
      </c>
      <c r="E876" s="810" t="s">
        <v>675</v>
      </c>
      <c r="F876" s="812" t="s">
        <v>660</v>
      </c>
      <c r="G876" s="812" t="s">
        <v>661</v>
      </c>
      <c r="H876" s="812" t="s">
        <v>662</v>
      </c>
      <c r="I876" s="149" t="s">
        <v>3134</v>
      </c>
      <c r="J876" s="812"/>
      <c r="K876" s="812" t="s">
        <v>698</v>
      </c>
      <c r="L876" s="810" t="s">
        <v>309</v>
      </c>
      <c r="M876" s="820" t="s">
        <v>3139</v>
      </c>
      <c r="N876" s="810" t="s">
        <v>3152</v>
      </c>
    </row>
    <row r="877" spans="1:14">
      <c r="A877" s="123">
        <v>31</v>
      </c>
      <c r="B877" s="805"/>
      <c r="C877" s="811"/>
      <c r="D877" s="811"/>
      <c r="E877" s="811"/>
      <c r="F877" s="813"/>
      <c r="G877" s="813"/>
      <c r="H877" s="813"/>
      <c r="I877" s="149" t="s">
        <v>3135</v>
      </c>
      <c r="J877" s="813"/>
      <c r="K877" s="813"/>
      <c r="L877" s="811"/>
      <c r="M877" s="821"/>
      <c r="N877" s="811"/>
    </row>
    <row r="878" spans="1:14" ht="16.5" customHeight="1">
      <c r="A878" s="123">
        <v>31</v>
      </c>
      <c r="B878" s="805"/>
      <c r="C878" s="148" t="s">
        <v>3153</v>
      </c>
      <c r="D878" s="810" t="s">
        <v>311</v>
      </c>
      <c r="E878" s="810" t="s">
        <v>320</v>
      </c>
      <c r="F878" s="812" t="s">
        <v>3068</v>
      </c>
      <c r="G878" s="812" t="s">
        <v>1919</v>
      </c>
      <c r="H878" s="812" t="s">
        <v>3069</v>
      </c>
      <c r="I878" s="812" t="s">
        <v>3154</v>
      </c>
      <c r="J878" s="812"/>
      <c r="K878" s="812" t="s">
        <v>3155</v>
      </c>
      <c r="L878" s="810" t="s">
        <v>309</v>
      </c>
      <c r="M878" s="820" t="s">
        <v>3156</v>
      </c>
      <c r="N878" s="810" t="s">
        <v>3151</v>
      </c>
    </row>
    <row r="879" spans="1:14">
      <c r="A879" s="123">
        <v>31</v>
      </c>
      <c r="B879" s="805"/>
      <c r="C879" s="148" t="s">
        <v>3111</v>
      </c>
      <c r="D879" s="811"/>
      <c r="E879" s="811"/>
      <c r="F879" s="813"/>
      <c r="G879" s="813"/>
      <c r="H879" s="813"/>
      <c r="I879" s="813"/>
      <c r="J879" s="813"/>
      <c r="K879" s="813"/>
      <c r="L879" s="811"/>
      <c r="M879" s="821"/>
      <c r="N879" s="811"/>
    </row>
    <row r="880" spans="1:14">
      <c r="A880" s="123">
        <v>31</v>
      </c>
      <c r="B880" s="8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5"/>
      <c r="C883" s="111" t="s">
        <v>3166</v>
      </c>
      <c r="D883" s="810" t="s">
        <v>311</v>
      </c>
      <c r="E883" s="810" t="s">
        <v>320</v>
      </c>
      <c r="F883" s="812" t="s">
        <v>337</v>
      </c>
      <c r="G883" s="812" t="s">
        <v>3168</v>
      </c>
      <c r="H883" s="812" t="s">
        <v>3169</v>
      </c>
      <c r="I883" s="812" t="s">
        <v>3170</v>
      </c>
      <c r="J883" s="812" t="s">
        <v>3171</v>
      </c>
      <c r="K883" s="812" t="s">
        <v>3172</v>
      </c>
      <c r="L883" s="810" t="s">
        <v>309</v>
      </c>
      <c r="M883" s="820" t="s">
        <v>3173</v>
      </c>
      <c r="N883" s="810" t="s">
        <v>3136</v>
      </c>
    </row>
    <row r="884" spans="1:14">
      <c r="A884" s="123">
        <v>31</v>
      </c>
      <c r="B884" s="806"/>
      <c r="C884" s="111" t="s">
        <v>3167</v>
      </c>
      <c r="D884" s="811"/>
      <c r="E884" s="811"/>
      <c r="F884" s="813"/>
      <c r="G884" s="813"/>
      <c r="H884" s="813"/>
      <c r="I884" s="813"/>
      <c r="J884" s="813"/>
      <c r="K884" s="813"/>
      <c r="L884" s="811"/>
      <c r="M884" s="821"/>
      <c r="N884" s="811"/>
    </row>
    <row r="885" spans="1:14" ht="27">
      <c r="A885" s="123">
        <v>32</v>
      </c>
      <c r="B885" s="81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8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8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7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8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9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5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4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5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5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5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6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7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7"/>
      <c r="C1208" s="952" t="s">
        <v>5007</v>
      </c>
      <c r="D1208" s="950" t="s">
        <v>311</v>
      </c>
      <c r="E1208" s="950" t="s">
        <v>675</v>
      </c>
      <c r="F1208" s="952" t="s">
        <v>337</v>
      </c>
      <c r="G1208" s="952" t="s">
        <v>353</v>
      </c>
      <c r="H1208" s="952" t="s">
        <v>5008</v>
      </c>
      <c r="I1208" s="486" t="s">
        <v>5009</v>
      </c>
      <c r="J1208" s="952" t="s">
        <v>638</v>
      </c>
      <c r="K1208" s="952" t="s">
        <v>713</v>
      </c>
      <c r="L1208" s="950" t="s">
        <v>309</v>
      </c>
      <c r="M1208" s="951">
        <v>250000</v>
      </c>
      <c r="N1208" s="950" t="s">
        <v>4990</v>
      </c>
    </row>
    <row r="1209" spans="1:14">
      <c r="A1209" s="123">
        <v>2</v>
      </c>
      <c r="B1209" s="807"/>
      <c r="C1209" s="952"/>
      <c r="D1209" s="950"/>
      <c r="E1209" s="950"/>
      <c r="F1209" s="952"/>
      <c r="G1209" s="952"/>
      <c r="H1209" s="952"/>
      <c r="I1209" s="486" t="s">
        <v>5010</v>
      </c>
      <c r="J1209" s="952"/>
      <c r="K1209" s="952"/>
      <c r="L1209" s="950"/>
      <c r="M1209" s="951"/>
      <c r="N1209" s="950"/>
    </row>
    <row r="1210" spans="1:14">
      <c r="A1210" s="123">
        <v>2</v>
      </c>
      <c r="B1210" s="8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7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7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7"/>
      <c r="C1222" s="952" t="s">
        <v>5033</v>
      </c>
      <c r="D1222" s="950" t="s">
        <v>311</v>
      </c>
      <c r="E1222" s="950" t="s">
        <v>675</v>
      </c>
      <c r="F1222" s="149" t="s">
        <v>5034</v>
      </c>
      <c r="G1222" s="149" t="s">
        <v>5036</v>
      </c>
      <c r="H1222" s="952" t="s">
        <v>347</v>
      </c>
      <c r="I1222" s="149" t="s">
        <v>5038</v>
      </c>
      <c r="J1222" s="952"/>
      <c r="K1222" s="952" t="s">
        <v>705</v>
      </c>
      <c r="L1222" s="950" t="s">
        <v>309</v>
      </c>
      <c r="M1222" s="951">
        <v>500000</v>
      </c>
      <c r="N1222" s="950" t="s">
        <v>5032</v>
      </c>
    </row>
    <row r="1223" spans="1:14">
      <c r="A1223" s="123">
        <v>3</v>
      </c>
      <c r="B1223" s="807"/>
      <c r="C1223" s="952"/>
      <c r="D1223" s="950"/>
      <c r="E1223" s="950"/>
      <c r="F1223" s="149" t="s">
        <v>5035</v>
      </c>
      <c r="G1223" s="149" t="s">
        <v>5037</v>
      </c>
      <c r="H1223" s="952"/>
      <c r="I1223" s="149" t="s">
        <v>5039</v>
      </c>
      <c r="J1223" s="952"/>
      <c r="K1223" s="952"/>
      <c r="L1223" s="950"/>
      <c r="M1223" s="951"/>
      <c r="N1223" s="950"/>
    </row>
    <row r="1224" spans="1:14">
      <c r="A1224" s="123">
        <v>3</v>
      </c>
      <c r="B1224" s="8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7"/>
      <c r="C1250" s="952" t="s">
        <v>5098</v>
      </c>
      <c r="D1250" s="950" t="s">
        <v>311</v>
      </c>
      <c r="E1250" s="950" t="s">
        <v>675</v>
      </c>
      <c r="F1250" s="950" t="s">
        <v>4986</v>
      </c>
      <c r="G1250" s="950">
        <v>1017</v>
      </c>
      <c r="H1250" s="950" t="s">
        <v>347</v>
      </c>
      <c r="I1250" s="149" t="s">
        <v>5099</v>
      </c>
      <c r="J1250" s="952"/>
      <c r="K1250" s="952" t="s">
        <v>692</v>
      </c>
      <c r="L1250" s="950" t="s">
        <v>309</v>
      </c>
      <c r="M1250" s="951">
        <v>500000</v>
      </c>
      <c r="N1250" s="950" t="s">
        <v>5032</v>
      </c>
    </row>
    <row r="1251" spans="1:14">
      <c r="A1251" s="123">
        <v>5</v>
      </c>
      <c r="B1251" s="807"/>
      <c r="C1251" s="952"/>
      <c r="D1251" s="950"/>
      <c r="E1251" s="950"/>
      <c r="F1251" s="950"/>
      <c r="G1251" s="950"/>
      <c r="H1251" s="950"/>
      <c r="I1251" s="149" t="s">
        <v>5100</v>
      </c>
      <c r="J1251" s="952"/>
      <c r="K1251" s="952"/>
      <c r="L1251" s="950"/>
      <c r="M1251" s="951"/>
      <c r="N1251" s="950"/>
    </row>
    <row r="1252" spans="1:14">
      <c r="A1252" s="123">
        <v>5</v>
      </c>
      <c r="B1252" s="8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7"/>
      <c r="C1254" s="952" t="s">
        <v>5103</v>
      </c>
      <c r="D1254" s="950" t="s">
        <v>311</v>
      </c>
      <c r="E1254" s="950" t="s">
        <v>675</v>
      </c>
      <c r="F1254" s="952" t="s">
        <v>5070</v>
      </c>
      <c r="G1254" s="952">
        <v>3006</v>
      </c>
      <c r="H1254" s="952" t="s">
        <v>347</v>
      </c>
      <c r="I1254" s="486" t="s">
        <v>5104</v>
      </c>
      <c r="J1254" s="952"/>
      <c r="K1254" s="952" t="s">
        <v>705</v>
      </c>
      <c r="L1254" s="950" t="s">
        <v>309</v>
      </c>
      <c r="M1254" s="951">
        <v>500000</v>
      </c>
      <c r="N1254" s="950" t="s">
        <v>5032</v>
      </c>
    </row>
    <row r="1255" spans="1:14">
      <c r="A1255" s="123">
        <v>5</v>
      </c>
      <c r="B1255" s="807"/>
      <c r="C1255" s="952"/>
      <c r="D1255" s="950"/>
      <c r="E1255" s="950"/>
      <c r="F1255" s="952"/>
      <c r="G1255" s="952"/>
      <c r="H1255" s="952"/>
      <c r="I1255" s="486" t="s">
        <v>5105</v>
      </c>
      <c r="J1255" s="952"/>
      <c r="K1255" s="952"/>
      <c r="L1255" s="950"/>
      <c r="M1255" s="951"/>
      <c r="N1255" s="950"/>
    </row>
    <row r="1256" spans="1:14">
      <c r="A1256" s="123">
        <v>5</v>
      </c>
      <c r="B1256" s="807"/>
      <c r="C1256" s="952" t="s">
        <v>5103</v>
      </c>
      <c r="D1256" s="950" t="s">
        <v>311</v>
      </c>
      <c r="E1256" s="950" t="s">
        <v>675</v>
      </c>
      <c r="F1256" s="952" t="s">
        <v>5070</v>
      </c>
      <c r="G1256" s="952">
        <v>3006</v>
      </c>
      <c r="H1256" s="952" t="s">
        <v>347</v>
      </c>
      <c r="I1256" s="486" t="s">
        <v>5104</v>
      </c>
      <c r="J1256" s="952"/>
      <c r="K1256" s="952" t="s">
        <v>4936</v>
      </c>
      <c r="L1256" s="950" t="s">
        <v>309</v>
      </c>
      <c r="M1256" s="951">
        <v>600000</v>
      </c>
      <c r="N1256" s="950" t="s">
        <v>5032</v>
      </c>
    </row>
    <row r="1257" spans="1:14">
      <c r="A1257" s="123">
        <v>5</v>
      </c>
      <c r="B1257" s="807"/>
      <c r="C1257" s="952"/>
      <c r="D1257" s="950"/>
      <c r="E1257" s="950"/>
      <c r="F1257" s="952"/>
      <c r="G1257" s="952"/>
      <c r="H1257" s="952"/>
      <c r="I1257" s="486" t="s">
        <v>5105</v>
      </c>
      <c r="J1257" s="952"/>
      <c r="K1257" s="952"/>
      <c r="L1257" s="950"/>
      <c r="M1257" s="951"/>
      <c r="N1257" s="950"/>
    </row>
    <row r="1258" spans="1:14">
      <c r="A1258" s="123">
        <v>5</v>
      </c>
      <c r="B1258" s="8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7"/>
      <c r="C1268" s="952" t="s">
        <v>5122</v>
      </c>
      <c r="D1268" s="950" t="s">
        <v>311</v>
      </c>
      <c r="E1268" s="950" t="s">
        <v>675</v>
      </c>
      <c r="F1268" s="149" t="s">
        <v>5123</v>
      </c>
      <c r="G1268" s="485" t="s">
        <v>5125</v>
      </c>
      <c r="H1268" s="391" t="s">
        <v>347</v>
      </c>
      <c r="I1268" s="952" t="s">
        <v>5128</v>
      </c>
      <c r="J1268" s="952" t="s">
        <v>638</v>
      </c>
      <c r="K1268" s="952" t="s">
        <v>692</v>
      </c>
      <c r="L1268" s="950" t="s">
        <v>309</v>
      </c>
      <c r="M1268" s="951">
        <v>500000</v>
      </c>
      <c r="N1268" s="950" t="s">
        <v>1772</v>
      </c>
    </row>
    <row r="1269" spans="1:14">
      <c r="A1269" s="123">
        <v>6</v>
      </c>
      <c r="B1269" s="807"/>
      <c r="C1269" s="952"/>
      <c r="D1269" s="950"/>
      <c r="E1269" s="950"/>
      <c r="F1269" s="149" t="s">
        <v>5124</v>
      </c>
      <c r="G1269" s="485" t="s">
        <v>5126</v>
      </c>
      <c r="H1269" s="391" t="s">
        <v>5127</v>
      </c>
      <c r="I1269" s="952"/>
      <c r="J1269" s="952"/>
      <c r="K1269" s="952"/>
      <c r="L1269" s="950"/>
      <c r="M1269" s="951"/>
      <c r="N1269" s="950"/>
    </row>
    <row r="1270" spans="1:14" ht="24">
      <c r="A1270" s="123">
        <v>6</v>
      </c>
      <c r="B1270" s="807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7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7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7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7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7"/>
      <c r="C1289" s="953" t="s">
        <v>5158</v>
      </c>
      <c r="D1289" s="954" t="s">
        <v>311</v>
      </c>
      <c r="E1289" s="954" t="s">
        <v>675</v>
      </c>
      <c r="F1289" s="516" t="s">
        <v>5123</v>
      </c>
      <c r="G1289" s="517" t="s">
        <v>5125</v>
      </c>
      <c r="H1289" s="517" t="s">
        <v>347</v>
      </c>
      <c r="I1289" s="953" t="s">
        <v>5128</v>
      </c>
      <c r="J1289" s="953"/>
      <c r="K1289" s="953" t="s">
        <v>692</v>
      </c>
      <c r="L1289" s="954" t="s">
        <v>309</v>
      </c>
      <c r="M1289" s="955">
        <v>500000</v>
      </c>
      <c r="N1289" s="950" t="s">
        <v>5032</v>
      </c>
    </row>
    <row r="1290" spans="1:14" ht="19.5">
      <c r="A1290" s="123">
        <v>8</v>
      </c>
      <c r="B1290" s="807"/>
      <c r="C1290" s="952"/>
      <c r="D1290" s="950"/>
      <c r="E1290" s="950"/>
      <c r="F1290" s="149" t="s">
        <v>5124</v>
      </c>
      <c r="G1290" s="485" t="s">
        <v>5126</v>
      </c>
      <c r="H1290" s="487" t="s">
        <v>5127</v>
      </c>
      <c r="I1290" s="952"/>
      <c r="J1290" s="952"/>
      <c r="K1290" s="952"/>
      <c r="L1290" s="950"/>
      <c r="M1290" s="951"/>
      <c r="N1290" s="950"/>
    </row>
    <row r="1291" spans="1:14">
      <c r="A1291" s="123">
        <v>8</v>
      </c>
      <c r="B1291" s="807"/>
      <c r="C1291" s="953" t="s">
        <v>5159</v>
      </c>
      <c r="D1291" s="954" t="s">
        <v>311</v>
      </c>
      <c r="E1291" s="954" t="s">
        <v>320</v>
      </c>
      <c r="F1291" s="956" t="s">
        <v>709</v>
      </c>
      <c r="G1291" s="953" t="s">
        <v>3098</v>
      </c>
      <c r="H1291" s="953" t="s">
        <v>3099</v>
      </c>
      <c r="I1291" s="516" t="s">
        <v>5312</v>
      </c>
      <c r="J1291" s="953" t="s">
        <v>638</v>
      </c>
      <c r="K1291" s="953" t="s">
        <v>713</v>
      </c>
      <c r="L1291" s="954" t="s">
        <v>309</v>
      </c>
      <c r="M1291" s="955">
        <v>250000</v>
      </c>
      <c r="N1291" s="950" t="s">
        <v>5032</v>
      </c>
    </row>
    <row r="1292" spans="1:14">
      <c r="A1292" s="123">
        <v>8</v>
      </c>
      <c r="B1292" s="807"/>
      <c r="C1292" s="952"/>
      <c r="D1292" s="950"/>
      <c r="E1292" s="950"/>
      <c r="F1292" s="957"/>
      <c r="G1292" s="952"/>
      <c r="H1292" s="952"/>
      <c r="I1292" s="149" t="s">
        <v>5160</v>
      </c>
      <c r="J1292" s="952"/>
      <c r="K1292" s="952"/>
      <c r="L1292" s="950"/>
      <c r="M1292" s="951"/>
      <c r="N1292" s="950"/>
    </row>
    <row r="1293" spans="1:14">
      <c r="A1293" s="123">
        <v>8</v>
      </c>
      <c r="B1293" s="807"/>
      <c r="C1293" s="953" t="s">
        <v>5161</v>
      </c>
      <c r="D1293" s="954" t="s">
        <v>311</v>
      </c>
      <c r="E1293" s="954" t="s">
        <v>320</v>
      </c>
      <c r="F1293" s="953" t="s">
        <v>337</v>
      </c>
      <c r="G1293" s="953" t="s">
        <v>3168</v>
      </c>
      <c r="H1293" s="953" t="s">
        <v>3057</v>
      </c>
      <c r="I1293" s="516" t="s">
        <v>5313</v>
      </c>
      <c r="J1293" s="953" t="s">
        <v>638</v>
      </c>
      <c r="K1293" s="953" t="s">
        <v>692</v>
      </c>
      <c r="L1293" s="954" t="s">
        <v>309</v>
      </c>
      <c r="M1293" s="955">
        <v>500000</v>
      </c>
      <c r="N1293" s="950" t="s">
        <v>1206</v>
      </c>
    </row>
    <row r="1294" spans="1:14">
      <c r="A1294" s="123">
        <v>8</v>
      </c>
      <c r="B1294" s="807"/>
      <c r="C1294" s="952"/>
      <c r="D1294" s="950"/>
      <c r="E1294" s="950"/>
      <c r="F1294" s="952"/>
      <c r="G1294" s="952"/>
      <c r="H1294" s="952"/>
      <c r="I1294" s="149" t="s">
        <v>5162</v>
      </c>
      <c r="J1294" s="952"/>
      <c r="K1294" s="952"/>
      <c r="L1294" s="950"/>
      <c r="M1294" s="951"/>
      <c r="N1294" s="950"/>
    </row>
    <row r="1295" spans="1:14">
      <c r="A1295" s="123">
        <v>9</v>
      </c>
      <c r="B1295" s="8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7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7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7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7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7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7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7"/>
      <c r="C1304" s="953" t="s">
        <v>5175</v>
      </c>
      <c r="D1304" s="954" t="s">
        <v>311</v>
      </c>
      <c r="E1304" s="954" t="s">
        <v>320</v>
      </c>
      <c r="F1304" s="953" t="s">
        <v>337</v>
      </c>
      <c r="G1304" s="953" t="s">
        <v>3168</v>
      </c>
      <c r="H1304" s="953" t="s">
        <v>3057</v>
      </c>
      <c r="I1304" s="520" t="s">
        <v>5176</v>
      </c>
      <c r="J1304" s="953" t="s">
        <v>638</v>
      </c>
      <c r="K1304" s="953" t="s">
        <v>713</v>
      </c>
      <c r="L1304" s="954" t="s">
        <v>309</v>
      </c>
      <c r="M1304" s="955">
        <v>250000</v>
      </c>
      <c r="N1304" s="950" t="s">
        <v>5032</v>
      </c>
    </row>
    <row r="1305" spans="1:14">
      <c r="A1305" s="123">
        <v>9</v>
      </c>
      <c r="B1305" s="807"/>
      <c r="C1305" s="952"/>
      <c r="D1305" s="950"/>
      <c r="E1305" s="950"/>
      <c r="F1305" s="952"/>
      <c r="G1305" s="952"/>
      <c r="H1305" s="952"/>
      <c r="I1305" s="486" t="s">
        <v>5177</v>
      </c>
      <c r="J1305" s="952"/>
      <c r="K1305" s="952"/>
      <c r="L1305" s="950"/>
      <c r="M1305" s="951"/>
      <c r="N1305" s="950"/>
    </row>
    <row r="1306" spans="1:14">
      <c r="A1306" s="123">
        <v>9</v>
      </c>
      <c r="B1306" s="807"/>
      <c r="C1306" s="953" t="s">
        <v>5175</v>
      </c>
      <c r="D1306" s="954" t="s">
        <v>311</v>
      </c>
      <c r="E1306" s="954" t="s">
        <v>320</v>
      </c>
      <c r="F1306" s="953" t="s">
        <v>5178</v>
      </c>
      <c r="G1306" s="516" t="s">
        <v>689</v>
      </c>
      <c r="H1306" s="953" t="s">
        <v>5180</v>
      </c>
      <c r="I1306" s="516" t="s">
        <v>5315</v>
      </c>
      <c r="J1306" s="953"/>
      <c r="K1306" s="953" t="s">
        <v>713</v>
      </c>
      <c r="L1306" s="954" t="s">
        <v>309</v>
      </c>
      <c r="M1306" s="955">
        <v>250000</v>
      </c>
      <c r="N1306" s="950" t="s">
        <v>5032</v>
      </c>
    </row>
    <row r="1307" spans="1:14">
      <c r="A1307" s="123">
        <v>9</v>
      </c>
      <c r="B1307" s="807"/>
      <c r="C1307" s="952"/>
      <c r="D1307" s="950"/>
      <c r="E1307" s="950"/>
      <c r="F1307" s="952"/>
      <c r="G1307" s="149" t="s">
        <v>5179</v>
      </c>
      <c r="H1307" s="952"/>
      <c r="I1307" s="149" t="s">
        <v>5181</v>
      </c>
      <c r="J1307" s="952"/>
      <c r="K1307" s="952"/>
      <c r="L1307" s="950"/>
      <c r="M1307" s="951"/>
      <c r="N1307" s="950"/>
    </row>
    <row r="1308" spans="1:14">
      <c r="A1308" s="123">
        <v>9</v>
      </c>
      <c r="B1308" s="8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7"/>
      <c r="C1309" s="953" t="s">
        <v>5183</v>
      </c>
      <c r="D1309" s="954" t="s">
        <v>311</v>
      </c>
      <c r="E1309" s="954" t="s">
        <v>320</v>
      </c>
      <c r="F1309" s="953" t="s">
        <v>337</v>
      </c>
      <c r="G1309" s="516" t="s">
        <v>3401</v>
      </c>
      <c r="H1309" s="953" t="s">
        <v>5029</v>
      </c>
      <c r="I1309" s="953" t="s">
        <v>5316</v>
      </c>
      <c r="J1309" s="953"/>
      <c r="K1309" s="953" t="s">
        <v>692</v>
      </c>
      <c r="L1309" s="954" t="s">
        <v>309</v>
      </c>
      <c r="M1309" s="955">
        <v>500000</v>
      </c>
      <c r="N1309" s="950" t="s">
        <v>5032</v>
      </c>
    </row>
    <row r="1310" spans="1:14">
      <c r="A1310" s="123">
        <v>9</v>
      </c>
      <c r="B1310" s="807"/>
      <c r="C1310" s="952"/>
      <c r="D1310" s="950"/>
      <c r="E1310" s="950"/>
      <c r="F1310" s="952"/>
      <c r="G1310" s="149" t="s">
        <v>5184</v>
      </c>
      <c r="H1310" s="952"/>
      <c r="I1310" s="952"/>
      <c r="J1310" s="952"/>
      <c r="K1310" s="952"/>
      <c r="L1310" s="950"/>
      <c r="M1310" s="951"/>
      <c r="N1310" s="950"/>
    </row>
    <row r="1311" spans="1:14" ht="24">
      <c r="A1311" s="123">
        <v>9</v>
      </c>
      <c r="B1311" s="8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7"/>
      <c r="C1312" s="953" t="s">
        <v>5187</v>
      </c>
      <c r="D1312" s="954" t="s">
        <v>311</v>
      </c>
      <c r="E1312" s="954" t="s">
        <v>675</v>
      </c>
      <c r="F1312" s="953" t="s">
        <v>5188</v>
      </c>
      <c r="G1312" s="517" t="s">
        <v>1919</v>
      </c>
      <c r="H1312" s="953" t="s">
        <v>347</v>
      </c>
      <c r="I1312" s="953" t="s">
        <v>5319</v>
      </c>
      <c r="J1312" s="953"/>
      <c r="K1312" s="953" t="s">
        <v>692</v>
      </c>
      <c r="L1312" s="954" t="s">
        <v>309</v>
      </c>
      <c r="M1312" s="958">
        <v>500000</v>
      </c>
      <c r="N1312" s="950" t="s">
        <v>1925</v>
      </c>
    </row>
    <row r="1313" spans="1:14">
      <c r="A1313" s="123">
        <v>9</v>
      </c>
      <c r="B1313" s="807"/>
      <c r="C1313" s="952"/>
      <c r="D1313" s="950"/>
      <c r="E1313" s="950"/>
      <c r="F1313" s="952"/>
      <c r="G1313" s="485" t="s">
        <v>5189</v>
      </c>
      <c r="H1313" s="952"/>
      <c r="I1313" s="952"/>
      <c r="J1313" s="952"/>
      <c r="K1313" s="952"/>
      <c r="L1313" s="950"/>
      <c r="M1313" s="959"/>
      <c r="N1313" s="950"/>
    </row>
    <row r="1314" spans="1:14">
      <c r="A1314" s="123">
        <v>10</v>
      </c>
      <c r="B1314" s="807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7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7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7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7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7"/>
      <c r="C1321" s="952" t="s">
        <v>5201</v>
      </c>
      <c r="D1321" s="950" t="s">
        <v>311</v>
      </c>
      <c r="E1321" s="950" t="s">
        <v>320</v>
      </c>
      <c r="F1321" s="952" t="s">
        <v>337</v>
      </c>
      <c r="G1321" s="952" t="s">
        <v>3168</v>
      </c>
      <c r="H1321" s="952" t="s">
        <v>3057</v>
      </c>
      <c r="I1321" s="486" t="s">
        <v>5176</v>
      </c>
      <c r="J1321" s="952" t="s">
        <v>638</v>
      </c>
      <c r="K1321" s="952" t="s">
        <v>705</v>
      </c>
      <c r="L1321" s="950" t="s">
        <v>309</v>
      </c>
      <c r="M1321" s="951">
        <v>500000</v>
      </c>
      <c r="N1321" s="950" t="s">
        <v>1206</v>
      </c>
    </row>
    <row r="1322" spans="1:14">
      <c r="A1322" s="123">
        <v>10</v>
      </c>
      <c r="B1322" s="807"/>
      <c r="C1322" s="952"/>
      <c r="D1322" s="950"/>
      <c r="E1322" s="950"/>
      <c r="F1322" s="952"/>
      <c r="G1322" s="952"/>
      <c r="H1322" s="952"/>
      <c r="I1322" s="486" t="s">
        <v>5177</v>
      </c>
      <c r="J1322" s="952"/>
      <c r="K1322" s="952"/>
      <c r="L1322" s="950"/>
      <c r="M1322" s="951"/>
      <c r="N1322" s="950"/>
    </row>
    <row r="1323" spans="1:14">
      <c r="A1323" s="123">
        <v>10</v>
      </c>
      <c r="B1323" s="8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7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7"/>
      <c r="C1326" s="952" t="s">
        <v>5202</v>
      </c>
      <c r="D1326" s="950" t="s">
        <v>311</v>
      </c>
      <c r="E1326" s="950" t="s">
        <v>320</v>
      </c>
      <c r="F1326" s="952" t="s">
        <v>337</v>
      </c>
      <c r="G1326" s="952" t="s">
        <v>3168</v>
      </c>
      <c r="H1326" s="952" t="s">
        <v>3057</v>
      </c>
      <c r="I1326" s="486" t="s">
        <v>5176</v>
      </c>
      <c r="J1326" s="952"/>
      <c r="K1326" s="952" t="s">
        <v>705</v>
      </c>
      <c r="L1326" s="950" t="s">
        <v>309</v>
      </c>
      <c r="M1326" s="951">
        <v>500000</v>
      </c>
      <c r="N1326" s="950" t="s">
        <v>1206</v>
      </c>
    </row>
    <row r="1327" spans="1:14">
      <c r="A1327" s="123">
        <v>10</v>
      </c>
      <c r="B1327" s="807"/>
      <c r="C1327" s="952"/>
      <c r="D1327" s="950"/>
      <c r="E1327" s="950"/>
      <c r="F1327" s="952"/>
      <c r="G1327" s="952"/>
      <c r="H1327" s="952"/>
      <c r="I1327" s="486" t="s">
        <v>5177</v>
      </c>
      <c r="J1327" s="952"/>
      <c r="K1327" s="952"/>
      <c r="L1327" s="950"/>
      <c r="M1327" s="951"/>
      <c r="N1327" s="950"/>
    </row>
    <row r="1328" spans="1:14" ht="25.5">
      <c r="A1328" s="123">
        <v>10</v>
      </c>
      <c r="B1328" s="8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7"/>
      <c r="C1329" s="953" t="s">
        <v>5209</v>
      </c>
      <c r="D1329" s="954" t="s">
        <v>311</v>
      </c>
      <c r="E1329" s="954" t="s">
        <v>675</v>
      </c>
      <c r="F1329" s="516" t="s">
        <v>5210</v>
      </c>
      <c r="G1329" s="953" t="s">
        <v>5212</v>
      </c>
      <c r="H1329" s="953" t="s">
        <v>662</v>
      </c>
      <c r="I1329" s="953" t="s">
        <v>5321</v>
      </c>
      <c r="J1329" s="953" t="s">
        <v>638</v>
      </c>
      <c r="K1329" s="953" t="s">
        <v>713</v>
      </c>
      <c r="L1329" s="954" t="s">
        <v>309</v>
      </c>
      <c r="M1329" s="955">
        <v>250000</v>
      </c>
      <c r="N1329" s="950" t="s">
        <v>5032</v>
      </c>
    </row>
    <row r="1330" spans="1:14">
      <c r="A1330" s="123">
        <v>10</v>
      </c>
      <c r="B1330" s="807"/>
      <c r="C1330" s="952"/>
      <c r="D1330" s="950"/>
      <c r="E1330" s="950"/>
      <c r="F1330" s="149" t="s">
        <v>5211</v>
      </c>
      <c r="G1330" s="952"/>
      <c r="H1330" s="952"/>
      <c r="I1330" s="952"/>
      <c r="J1330" s="952"/>
      <c r="K1330" s="952"/>
      <c r="L1330" s="950"/>
      <c r="M1330" s="951"/>
      <c r="N1330" s="950"/>
    </row>
    <row r="1331" spans="1:14">
      <c r="A1331" s="123">
        <v>10</v>
      </c>
      <c r="B1331" s="807"/>
      <c r="C1331" s="953" t="s">
        <v>5213</v>
      </c>
      <c r="D1331" s="954" t="s">
        <v>311</v>
      </c>
      <c r="E1331" s="954" t="s">
        <v>675</v>
      </c>
      <c r="F1331" s="953" t="s">
        <v>5214</v>
      </c>
      <c r="G1331" s="517" t="s">
        <v>5126</v>
      </c>
      <c r="H1331" s="975" t="s">
        <v>347</v>
      </c>
      <c r="I1331" s="516" t="s">
        <v>5322</v>
      </c>
      <c r="J1331" s="953"/>
      <c r="K1331" s="953" t="s">
        <v>692</v>
      </c>
      <c r="L1331" s="954" t="s">
        <v>309</v>
      </c>
      <c r="M1331" s="955">
        <v>500000</v>
      </c>
      <c r="N1331" s="950" t="s">
        <v>5032</v>
      </c>
    </row>
    <row r="1332" spans="1:14">
      <c r="A1332" s="123">
        <v>10</v>
      </c>
      <c r="B1332" s="807"/>
      <c r="C1332" s="952"/>
      <c r="D1332" s="950"/>
      <c r="E1332" s="950"/>
      <c r="F1332" s="952"/>
      <c r="G1332" s="485" t="s">
        <v>5215</v>
      </c>
      <c r="H1332" s="976"/>
      <c r="I1332" s="149" t="s">
        <v>5217</v>
      </c>
      <c r="J1332" s="952"/>
      <c r="K1332" s="952"/>
      <c r="L1332" s="950"/>
      <c r="M1332" s="951"/>
      <c r="N1332" s="950"/>
    </row>
    <row r="1333" spans="1:14">
      <c r="A1333" s="123">
        <v>11</v>
      </c>
      <c r="B1333" s="807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7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7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7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7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7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7" t="s">
        <v>5163</v>
      </c>
      <c r="C1339" s="975" t="s">
        <v>5218</v>
      </c>
      <c r="D1339" s="977" t="s">
        <v>311</v>
      </c>
      <c r="E1339" s="977" t="s">
        <v>675</v>
      </c>
      <c r="F1339" s="975" t="s">
        <v>5214</v>
      </c>
      <c r="G1339" s="520" t="s">
        <v>5126</v>
      </c>
      <c r="H1339" s="975" t="s">
        <v>347</v>
      </c>
      <c r="I1339" s="520" t="s">
        <v>5216</v>
      </c>
      <c r="J1339" s="975"/>
      <c r="K1339" s="975" t="s">
        <v>692</v>
      </c>
      <c r="L1339" s="977" t="s">
        <v>309</v>
      </c>
      <c r="M1339" s="978">
        <v>500000</v>
      </c>
      <c r="N1339" s="976" t="s">
        <v>5225</v>
      </c>
    </row>
    <row r="1340" spans="1:14">
      <c r="A1340" s="123">
        <v>11</v>
      </c>
      <c r="B1340" s="807"/>
      <c r="C1340" s="976"/>
      <c r="D1340" s="973"/>
      <c r="E1340" s="973"/>
      <c r="F1340" s="976"/>
      <c r="G1340" s="486" t="s">
        <v>5215</v>
      </c>
      <c r="H1340" s="976"/>
      <c r="I1340" s="486" t="s">
        <v>5217</v>
      </c>
      <c r="J1340" s="976"/>
      <c r="K1340" s="976"/>
      <c r="L1340" s="973"/>
      <c r="M1340" s="979"/>
      <c r="N1340" s="976"/>
    </row>
    <row r="1341" spans="1:14">
      <c r="A1341" s="123">
        <v>11</v>
      </c>
      <c r="B1341" s="807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7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7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7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7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7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7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7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7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7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7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7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7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7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7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7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7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7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7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7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7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7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7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7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7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7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7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7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7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73" t="s">
        <v>5443</v>
      </c>
    </row>
    <row r="1370" spans="1:14">
      <c r="A1370" s="123">
        <v>14</v>
      </c>
      <c r="B1370" s="97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73"/>
    </row>
    <row r="1371" spans="1:14">
      <c r="A1371" s="123">
        <v>14</v>
      </c>
      <c r="B1371" s="972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72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7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7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72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7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4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4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4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7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7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7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7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7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7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7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7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7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7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7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7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7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7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7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8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8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8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8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4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5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5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5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6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4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5"/>
      <c r="C1439" s="799" t="s">
        <v>5861</v>
      </c>
      <c r="D1439" s="800" t="s">
        <v>311</v>
      </c>
      <c r="E1439" s="800" t="s">
        <v>320</v>
      </c>
      <c r="F1439" s="801" t="s">
        <v>5188</v>
      </c>
      <c r="G1439" s="692" t="s">
        <v>1919</v>
      </c>
      <c r="H1439" s="801" t="s">
        <v>347</v>
      </c>
      <c r="I1439" s="801" t="s">
        <v>5871</v>
      </c>
      <c r="J1439" s="801"/>
      <c r="K1439" s="801" t="s">
        <v>692</v>
      </c>
      <c r="L1439" s="800" t="s">
        <v>309</v>
      </c>
      <c r="M1439" s="802">
        <v>500000</v>
      </c>
      <c r="N1439" s="803"/>
    </row>
    <row r="1440" spans="1:14">
      <c r="A1440" s="743">
        <v>20</v>
      </c>
      <c r="B1440" s="805"/>
      <c r="C1440" s="799"/>
      <c r="D1440" s="800"/>
      <c r="E1440" s="800"/>
      <c r="F1440" s="801"/>
      <c r="G1440" s="692" t="s">
        <v>5189</v>
      </c>
      <c r="H1440" s="801"/>
      <c r="I1440" s="801"/>
      <c r="J1440" s="801"/>
      <c r="K1440" s="801"/>
      <c r="L1440" s="800"/>
      <c r="M1440" s="802"/>
      <c r="N1440" s="803"/>
    </row>
    <row r="1441" spans="1:14" ht="24">
      <c r="A1441" s="743">
        <v>20</v>
      </c>
      <c r="B1441" s="806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6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6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6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6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6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6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6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6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6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6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6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60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62" t="s">
        <v>5943</v>
      </c>
    </row>
    <row r="1454" spans="1:14">
      <c r="A1454" s="756">
        <v>22</v>
      </c>
      <c r="B1454" s="961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63"/>
    </row>
    <row r="1455" spans="1:14">
      <c r="A1455" s="756">
        <v>22</v>
      </c>
      <c r="B1455" s="961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61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61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61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60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5" t="s">
        <v>3274</v>
      </c>
      <c r="K1459" s="965" t="s">
        <v>3454</v>
      </c>
      <c r="L1459" s="678" t="s">
        <v>3265</v>
      </c>
      <c r="M1459" s="967">
        <v>250000</v>
      </c>
      <c r="N1459" s="740" t="s">
        <v>5965</v>
      </c>
    </row>
    <row r="1460" spans="1:14">
      <c r="A1460" s="756">
        <v>22</v>
      </c>
      <c r="B1460" s="961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6"/>
      <c r="K1460" s="966"/>
      <c r="L1460" s="678" t="s">
        <v>3265</v>
      </c>
      <c r="M1460" s="968"/>
      <c r="N1460" s="740" t="s">
        <v>5966</v>
      </c>
    </row>
    <row r="1461" spans="1:14">
      <c r="A1461" s="756">
        <v>22</v>
      </c>
      <c r="B1461" s="961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61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61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61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9" t="s">
        <v>5921</v>
      </c>
      <c r="L1464" s="678" t="s">
        <v>15</v>
      </c>
      <c r="M1464" s="967">
        <v>500000</v>
      </c>
      <c r="N1464" s="740" t="s">
        <v>5970</v>
      </c>
    </row>
    <row r="1465" spans="1:14">
      <c r="A1465" s="756">
        <v>22</v>
      </c>
      <c r="B1465" s="964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70"/>
      <c r="L1465" s="678" t="s">
        <v>15</v>
      </c>
      <c r="M1465" s="968"/>
      <c r="N1465" s="740" t="s">
        <v>5971</v>
      </c>
    </row>
    <row r="1466" spans="1:14">
      <c r="A1466" s="785">
        <v>23</v>
      </c>
      <c r="B1466" s="796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6083</v>
      </c>
      <c r="L1466" s="784" t="s">
        <v>6068</v>
      </c>
      <c r="M1466" s="768">
        <v>250000</v>
      </c>
      <c r="N1466" s="678" t="s">
        <v>5994</v>
      </c>
    </row>
    <row r="1467" spans="1:14">
      <c r="A1467" s="785">
        <v>23</v>
      </c>
      <c r="B1467" s="796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84" t="s">
        <v>6068</v>
      </c>
      <c r="M1467" s="768">
        <f>250000*5</f>
        <v>1250000</v>
      </c>
      <c r="N1467" s="660"/>
    </row>
    <row r="1468" spans="1:14">
      <c r="A1468" s="785">
        <v>23</v>
      </c>
      <c r="B1468" s="796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84" t="s">
        <v>6068</v>
      </c>
      <c r="M1468" s="768">
        <f>250000*2</f>
        <v>500000</v>
      </c>
      <c r="N1468" s="786"/>
    </row>
    <row r="1469" spans="1:14" ht="24">
      <c r="A1469" s="785">
        <v>23</v>
      </c>
      <c r="B1469" s="796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6080</v>
      </c>
      <c r="H1469" s="766" t="s">
        <v>6076</v>
      </c>
      <c r="I1469" s="767" t="s">
        <v>6075</v>
      </c>
      <c r="J1469" s="678"/>
      <c r="K1469" s="678" t="s">
        <v>6081</v>
      </c>
      <c r="L1469" s="784" t="s">
        <v>6068</v>
      </c>
      <c r="M1469" s="768">
        <f>250000*4</f>
        <v>1000000</v>
      </c>
      <c r="N1469" s="786"/>
    </row>
    <row r="1470" spans="1:14">
      <c r="A1470" s="785">
        <v>23</v>
      </c>
      <c r="B1470" s="796"/>
      <c r="C1470" s="672" t="s">
        <v>6077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6078</v>
      </c>
      <c r="I1470" s="767" t="s">
        <v>6079</v>
      </c>
      <c r="J1470" s="678"/>
      <c r="K1470" s="678" t="s">
        <v>6082</v>
      </c>
      <c r="L1470" s="784" t="s">
        <v>6068</v>
      </c>
      <c r="M1470" s="768">
        <f>250000*3</f>
        <v>750000</v>
      </c>
      <c r="N1470" s="786"/>
    </row>
    <row r="1471" spans="1:14">
      <c r="A1471" s="785">
        <v>23</v>
      </c>
      <c r="B1471" s="796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83">
        <v>250000</v>
      </c>
      <c r="N1471" s="678" t="s">
        <v>5994</v>
      </c>
    </row>
    <row r="1472" spans="1:14">
      <c r="A1472" s="785">
        <v>23</v>
      </c>
      <c r="B1472" s="796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83">
        <v>250000</v>
      </c>
      <c r="N1472" s="678" t="s">
        <v>5994</v>
      </c>
    </row>
    <row r="1473" spans="1:14">
      <c r="A1473" s="785">
        <v>23</v>
      </c>
      <c r="B1473" s="796"/>
      <c r="C1473" s="370">
        <v>46178</v>
      </c>
      <c r="D1473" s="4" t="s">
        <v>21</v>
      </c>
      <c r="E1473" s="4" t="s">
        <v>14</v>
      </c>
      <c r="F1473" s="780" t="s">
        <v>1893</v>
      </c>
      <c r="G1473" s="463" t="s">
        <v>4939</v>
      </c>
      <c r="H1473" s="16" t="s">
        <v>6017</v>
      </c>
      <c r="I1473" s="782" t="s">
        <v>6005</v>
      </c>
      <c r="J1473" s="780" t="s">
        <v>6042</v>
      </c>
      <c r="K1473" s="782" t="s">
        <v>6016</v>
      </c>
      <c r="L1473" s="125" t="s">
        <v>15</v>
      </c>
      <c r="M1473" s="783">
        <v>300000</v>
      </c>
      <c r="N1473" s="678" t="s">
        <v>5994</v>
      </c>
    </row>
    <row r="1474" spans="1:14" ht="27">
      <c r="A1474" s="785">
        <v>23</v>
      </c>
      <c r="B1474" s="796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7" t="s">
        <v>90</v>
      </c>
      <c r="K1474" s="797" t="s">
        <v>6012</v>
      </c>
      <c r="L1474" s="136" t="s">
        <v>15</v>
      </c>
      <c r="M1474" s="798">
        <v>250000</v>
      </c>
      <c r="N1474" s="678"/>
    </row>
    <row r="1475" spans="1:14" ht="27">
      <c r="A1475" s="785">
        <v>23</v>
      </c>
      <c r="B1475" s="796"/>
      <c r="C1475" s="370">
        <v>46181</v>
      </c>
      <c r="D1475" s="4" t="s">
        <v>21</v>
      </c>
      <c r="E1475" s="4" t="s">
        <v>17</v>
      </c>
      <c r="F1475" s="780" t="s">
        <v>78</v>
      </c>
      <c r="G1475" s="462" t="s">
        <v>6020</v>
      </c>
      <c r="H1475" s="16" t="s">
        <v>37</v>
      </c>
      <c r="I1475" s="782" t="s">
        <v>6001</v>
      </c>
      <c r="J1475" s="797"/>
      <c r="K1475" s="797"/>
      <c r="L1475" s="136" t="s">
        <v>15</v>
      </c>
      <c r="M1475" s="798"/>
      <c r="N1475" s="678"/>
    </row>
    <row r="1476" spans="1:14">
      <c r="A1476" s="785">
        <v>23</v>
      </c>
      <c r="B1476" s="796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83">
        <v>300000</v>
      </c>
      <c r="N1476" s="678"/>
    </row>
    <row r="1477" spans="1:14">
      <c r="A1477" s="785">
        <v>23</v>
      </c>
      <c r="B1477" s="796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83">
        <v>250000</v>
      </c>
      <c r="N1477" s="678"/>
    </row>
    <row r="1478" spans="1:14">
      <c r="A1478" s="785">
        <v>23</v>
      </c>
      <c r="B1478" s="796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83">
        <v>250000</v>
      </c>
      <c r="N1478" s="678"/>
    </row>
    <row r="1479" spans="1:14">
      <c r="A1479" s="785">
        <v>23</v>
      </c>
      <c r="B1479" s="796"/>
      <c r="C1479" s="370">
        <v>46182</v>
      </c>
      <c r="D1479" s="4" t="s">
        <v>21</v>
      </c>
      <c r="E1479" s="4" t="s">
        <v>14</v>
      </c>
      <c r="F1479" s="780" t="s">
        <v>1893</v>
      </c>
      <c r="G1479" s="463" t="s">
        <v>4939</v>
      </c>
      <c r="H1479" s="16" t="s">
        <v>3301</v>
      </c>
      <c r="I1479" s="782" t="s">
        <v>6058</v>
      </c>
      <c r="J1479" s="780"/>
      <c r="K1479" s="782" t="s">
        <v>6055</v>
      </c>
      <c r="L1479" s="125" t="s">
        <v>15</v>
      </c>
      <c r="M1479" s="783">
        <v>300000</v>
      </c>
      <c r="N1479" s="678"/>
    </row>
    <row r="1480" spans="1:14">
      <c r="A1480" s="785">
        <v>23</v>
      </c>
      <c r="B1480" s="796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82" t="s">
        <v>6048</v>
      </c>
      <c r="J1480" s="780" t="s">
        <v>6057</v>
      </c>
      <c r="K1480" s="782" t="s">
        <v>6056</v>
      </c>
      <c r="L1480" s="125" t="s">
        <v>6049</v>
      </c>
      <c r="M1480" s="783">
        <v>300000</v>
      </c>
      <c r="N1480" s="678"/>
    </row>
    <row r="1481" spans="1:14">
      <c r="A1481" s="785">
        <v>23</v>
      </c>
      <c r="B1481" s="796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82" t="s">
        <v>6052</v>
      </c>
      <c r="J1481" s="780"/>
      <c r="K1481" s="782" t="s">
        <v>6051</v>
      </c>
      <c r="L1481" s="125" t="s">
        <v>6049</v>
      </c>
      <c r="M1481" s="783">
        <v>300000</v>
      </c>
      <c r="N1481" s="678"/>
    </row>
    <row r="1482" spans="1:14">
      <c r="A1482" s="785">
        <v>23</v>
      </c>
      <c r="B1482" s="796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83">
        <v>800000</v>
      </c>
      <c r="N1482" s="678"/>
    </row>
    <row r="1483" spans="1:14">
      <c r="A1483" s="785">
        <v>23</v>
      </c>
      <c r="B1483" s="796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83">
        <v>800000</v>
      </c>
      <c r="N1483" s="678"/>
    </row>
    <row r="1484" spans="1:14">
      <c r="A1484" s="785">
        <v>23</v>
      </c>
      <c r="B1484" s="796"/>
      <c r="C1484" s="370">
        <v>46184</v>
      </c>
      <c r="D1484" s="4" t="s">
        <v>21</v>
      </c>
      <c r="E1484" s="4" t="s">
        <v>14</v>
      </c>
      <c r="F1484" s="780" t="s">
        <v>107</v>
      </c>
      <c r="G1484" s="780" t="s">
        <v>2959</v>
      </c>
      <c r="H1484" s="16" t="s">
        <v>376</v>
      </c>
      <c r="I1484" s="782" t="s">
        <v>5920</v>
      </c>
      <c r="J1484" s="780" t="s">
        <v>6022</v>
      </c>
      <c r="K1484" s="782" t="s">
        <v>6023</v>
      </c>
      <c r="L1484" s="125" t="s">
        <v>15</v>
      </c>
      <c r="M1484" s="783">
        <v>250000</v>
      </c>
      <c r="N1484" s="678"/>
    </row>
    <row r="1485" spans="1:14">
      <c r="A1485" s="785">
        <v>23</v>
      </c>
      <c r="B1485" s="796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83">
        <v>800000</v>
      </c>
      <c r="N1485" s="678"/>
    </row>
    <row r="1486" spans="1:14">
      <c r="A1486" s="785">
        <v>24</v>
      </c>
      <c r="B1486" s="796" t="s">
        <v>20</v>
      </c>
      <c r="C1486" s="370">
        <v>46186</v>
      </c>
      <c r="D1486" s="660" t="s">
        <v>19</v>
      </c>
      <c r="E1486" s="660" t="s">
        <v>151</v>
      </c>
      <c r="F1486" s="661" t="s">
        <v>5254</v>
      </c>
      <c r="G1486" s="661">
        <v>7063</v>
      </c>
      <c r="H1486" s="664" t="s">
        <v>1391</v>
      </c>
      <c r="I1486" s="779" t="s">
        <v>1105</v>
      </c>
      <c r="J1486" s="661" t="s">
        <v>1259</v>
      </c>
      <c r="K1486" s="779" t="s">
        <v>2828</v>
      </c>
      <c r="L1486" s="784" t="s">
        <v>209</v>
      </c>
      <c r="M1486" s="778">
        <v>250000</v>
      </c>
      <c r="N1486" s="678" t="s">
        <v>6109</v>
      </c>
    </row>
    <row r="1487" spans="1:14" ht="27">
      <c r="A1487" s="785">
        <v>24</v>
      </c>
      <c r="B1487" s="796"/>
      <c r="C1487" s="370" t="s">
        <v>6151</v>
      </c>
      <c r="D1487" s="660" t="s">
        <v>19</v>
      </c>
      <c r="E1487" s="660" t="s">
        <v>151</v>
      </c>
      <c r="F1487" s="661" t="s">
        <v>5254</v>
      </c>
      <c r="G1487" s="661">
        <v>7063</v>
      </c>
      <c r="H1487" s="664" t="s">
        <v>1391</v>
      </c>
      <c r="I1487" s="779" t="s">
        <v>1105</v>
      </c>
      <c r="J1487" s="661" t="s">
        <v>1259</v>
      </c>
      <c r="K1487" s="779" t="s">
        <v>3004</v>
      </c>
      <c r="L1487" s="784" t="s">
        <v>209</v>
      </c>
      <c r="M1487" s="778">
        <v>750000</v>
      </c>
      <c r="N1487" s="678"/>
    </row>
    <row r="1488" spans="1:14">
      <c r="A1488" s="785">
        <v>24</v>
      </c>
      <c r="B1488" s="796"/>
      <c r="C1488" s="370">
        <v>46188</v>
      </c>
      <c r="D1488" s="660" t="s">
        <v>19</v>
      </c>
      <c r="E1488" s="660" t="s">
        <v>151</v>
      </c>
      <c r="F1488" s="661" t="s">
        <v>5254</v>
      </c>
      <c r="G1488" s="661" t="s">
        <v>5848</v>
      </c>
      <c r="H1488" s="664" t="s">
        <v>6145</v>
      </c>
      <c r="I1488" s="779" t="s">
        <v>6146</v>
      </c>
      <c r="J1488" s="661" t="s">
        <v>168</v>
      </c>
      <c r="K1488" s="779" t="s">
        <v>1101</v>
      </c>
      <c r="L1488" s="784" t="s">
        <v>209</v>
      </c>
      <c r="M1488" s="778">
        <v>500000</v>
      </c>
      <c r="N1488" s="660"/>
    </row>
    <row r="1489" spans="1:14" ht="27">
      <c r="A1489" s="785">
        <v>24</v>
      </c>
      <c r="B1489" s="796"/>
      <c r="C1489" s="370" t="s">
        <v>6149</v>
      </c>
      <c r="D1489" s="660" t="s">
        <v>19</v>
      </c>
      <c r="E1489" s="660" t="s">
        <v>151</v>
      </c>
      <c r="F1489" s="661" t="s">
        <v>5254</v>
      </c>
      <c r="G1489" s="776">
        <v>7062</v>
      </c>
      <c r="H1489" s="776" t="s">
        <v>143</v>
      </c>
      <c r="I1489" s="777" t="s">
        <v>2962</v>
      </c>
      <c r="J1489" s="661" t="s">
        <v>168</v>
      </c>
      <c r="K1489" s="779" t="s">
        <v>1101</v>
      </c>
      <c r="L1489" s="784" t="s">
        <v>209</v>
      </c>
      <c r="M1489" s="778">
        <v>500000</v>
      </c>
      <c r="N1489" s="786"/>
    </row>
    <row r="1490" spans="1:14" ht="24">
      <c r="A1490" s="785">
        <v>24</v>
      </c>
      <c r="B1490" s="796"/>
      <c r="C1490" s="672" t="s">
        <v>6150</v>
      </c>
      <c r="D1490" s="660" t="s">
        <v>19</v>
      </c>
      <c r="E1490" s="660" t="s">
        <v>151</v>
      </c>
      <c r="F1490" s="661" t="s">
        <v>5254</v>
      </c>
      <c r="G1490" s="776" t="s">
        <v>6080</v>
      </c>
      <c r="H1490" s="776" t="s">
        <v>145</v>
      </c>
      <c r="I1490" s="777" t="s">
        <v>378</v>
      </c>
      <c r="J1490" s="678" t="s">
        <v>126</v>
      </c>
      <c r="K1490" s="678" t="s">
        <v>999</v>
      </c>
      <c r="L1490" s="784" t="s">
        <v>209</v>
      </c>
      <c r="M1490" s="778">
        <v>250000</v>
      </c>
      <c r="N1490" s="786"/>
    </row>
    <row r="1491" spans="1:14" ht="24">
      <c r="A1491" s="785">
        <v>24</v>
      </c>
      <c r="B1491" s="796"/>
      <c r="C1491" s="672" t="s">
        <v>6150</v>
      </c>
      <c r="D1491" s="660" t="s">
        <v>19</v>
      </c>
      <c r="E1491" s="660" t="s">
        <v>151</v>
      </c>
      <c r="F1491" s="661" t="s">
        <v>5254</v>
      </c>
      <c r="G1491" s="661" t="s">
        <v>6152</v>
      </c>
      <c r="H1491" s="664" t="s">
        <v>34</v>
      </c>
      <c r="I1491" s="779" t="s">
        <v>1105</v>
      </c>
      <c r="J1491" s="661" t="s">
        <v>1259</v>
      </c>
      <c r="K1491" s="779" t="s">
        <v>2838</v>
      </c>
      <c r="L1491" s="784" t="s">
        <v>209</v>
      </c>
      <c r="M1491" s="778">
        <v>500000</v>
      </c>
      <c r="N1491" s="786"/>
    </row>
    <row r="1492" spans="1:14">
      <c r="A1492" s="785">
        <v>24</v>
      </c>
      <c r="B1492" s="796"/>
      <c r="C1492" s="672">
        <v>46192</v>
      </c>
      <c r="D1492" s="660" t="s">
        <v>19</v>
      </c>
      <c r="E1492" s="660" t="s">
        <v>151</v>
      </c>
      <c r="F1492" s="661" t="s">
        <v>5254</v>
      </c>
      <c r="G1492" s="776" t="s">
        <v>6147</v>
      </c>
      <c r="H1492" s="776" t="s">
        <v>143</v>
      </c>
      <c r="I1492" s="777" t="s">
        <v>6148</v>
      </c>
      <c r="J1492" s="678" t="s">
        <v>168</v>
      </c>
      <c r="K1492" s="678" t="s">
        <v>2828</v>
      </c>
      <c r="L1492" s="784" t="s">
        <v>209</v>
      </c>
      <c r="M1492" s="778">
        <v>250000</v>
      </c>
      <c r="N1492" s="786"/>
    </row>
    <row r="1493" spans="1:14">
      <c r="A1493" s="785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82" t="s">
        <v>149</v>
      </c>
      <c r="G1493" s="463" t="s">
        <v>4090</v>
      </c>
      <c r="H1493" s="468" t="s">
        <v>4091</v>
      </c>
      <c r="I1493" s="462" t="s">
        <v>6110</v>
      </c>
      <c r="J1493" s="463" t="s">
        <v>168</v>
      </c>
      <c r="K1493" s="463" t="s">
        <v>999</v>
      </c>
      <c r="L1493" s="136" t="s">
        <v>15</v>
      </c>
      <c r="M1493" s="783">
        <v>300000</v>
      </c>
      <c r="N1493" s="678" t="s">
        <v>6109</v>
      </c>
    </row>
    <row r="1494" spans="1:14">
      <c r="A1494" s="785">
        <v>24</v>
      </c>
      <c r="B1494" s="796"/>
      <c r="C1494" s="127">
        <v>46182</v>
      </c>
      <c r="D1494" s="3" t="s">
        <v>21</v>
      </c>
      <c r="E1494" s="3" t="s">
        <v>14</v>
      </c>
      <c r="F1494" s="482" t="s">
        <v>149</v>
      </c>
      <c r="G1494" s="463" t="s">
        <v>4090</v>
      </c>
      <c r="H1494" s="468" t="s">
        <v>4091</v>
      </c>
      <c r="I1494" s="462" t="s">
        <v>6110</v>
      </c>
      <c r="J1494" s="463" t="s">
        <v>168</v>
      </c>
      <c r="K1494" s="463" t="s">
        <v>999</v>
      </c>
      <c r="L1494" s="136" t="s">
        <v>15</v>
      </c>
      <c r="M1494" s="783">
        <v>300000</v>
      </c>
      <c r="N1494" s="678" t="s">
        <v>6109</v>
      </c>
    </row>
    <row r="1495" spans="1:14">
      <c r="A1495" s="785">
        <v>24</v>
      </c>
      <c r="B1495" s="796"/>
      <c r="C1495" s="127">
        <v>46183</v>
      </c>
      <c r="D1495" s="3" t="s">
        <v>21</v>
      </c>
      <c r="E1495" s="3" t="s">
        <v>14</v>
      </c>
      <c r="F1495" s="482" t="s">
        <v>149</v>
      </c>
      <c r="G1495" s="463" t="s">
        <v>4090</v>
      </c>
      <c r="H1495" s="468" t="s">
        <v>4091</v>
      </c>
      <c r="I1495" s="462" t="s">
        <v>6128</v>
      </c>
      <c r="J1495" s="463" t="s">
        <v>168</v>
      </c>
      <c r="K1495" s="463" t="s">
        <v>999</v>
      </c>
      <c r="L1495" s="136" t="s">
        <v>15</v>
      </c>
      <c r="M1495" s="783">
        <v>300000</v>
      </c>
      <c r="N1495" s="678" t="s">
        <v>6109</v>
      </c>
    </row>
    <row r="1496" spans="1:14">
      <c r="A1496" s="785">
        <v>24</v>
      </c>
      <c r="B1496" s="796"/>
      <c r="C1496" s="127">
        <v>46184</v>
      </c>
      <c r="D1496" s="3" t="s">
        <v>21</v>
      </c>
      <c r="E1496" s="3" t="s">
        <v>14</v>
      </c>
      <c r="F1496" s="482" t="s">
        <v>149</v>
      </c>
      <c r="G1496" s="463" t="s">
        <v>4090</v>
      </c>
      <c r="H1496" s="468" t="s">
        <v>4091</v>
      </c>
      <c r="I1496" s="462" t="s">
        <v>303</v>
      </c>
      <c r="J1496" s="463" t="s">
        <v>168</v>
      </c>
      <c r="K1496" s="463" t="s">
        <v>999</v>
      </c>
      <c r="L1496" s="136" t="s">
        <v>15</v>
      </c>
      <c r="M1496" s="783">
        <v>300000</v>
      </c>
      <c r="N1496" s="678" t="s">
        <v>6109</v>
      </c>
    </row>
    <row r="1497" spans="1:14">
      <c r="A1497" s="785">
        <v>24</v>
      </c>
      <c r="B1497" s="796"/>
      <c r="C1497" s="370">
        <v>46185</v>
      </c>
      <c r="D1497" s="4" t="s">
        <v>138</v>
      </c>
      <c r="E1497" s="4" t="s">
        <v>14</v>
      </c>
      <c r="F1497" s="780" t="s">
        <v>1893</v>
      </c>
      <c r="G1497" s="780" t="s">
        <v>6094</v>
      </c>
      <c r="H1497" s="16" t="s">
        <v>34</v>
      </c>
      <c r="I1497" s="782" t="s">
        <v>6096</v>
      </c>
      <c r="J1497" s="463" t="s">
        <v>120</v>
      </c>
      <c r="K1497" s="468" t="s">
        <v>686</v>
      </c>
      <c r="L1497" s="468" t="s">
        <v>15</v>
      </c>
      <c r="M1497" s="783">
        <v>250000</v>
      </c>
      <c r="N1497" s="678" t="s">
        <v>6109</v>
      </c>
    </row>
    <row r="1498" spans="1:14">
      <c r="A1498" s="785">
        <v>24</v>
      </c>
      <c r="B1498" s="796"/>
      <c r="C1498" s="370">
        <v>46188</v>
      </c>
      <c r="D1498" s="3" t="s">
        <v>138</v>
      </c>
      <c r="E1498" s="3" t="s">
        <v>14</v>
      </c>
      <c r="F1498" s="463" t="s">
        <v>107</v>
      </c>
      <c r="G1498" s="463" t="s">
        <v>3386</v>
      </c>
      <c r="H1498" s="468" t="s">
        <v>115</v>
      </c>
      <c r="I1498" s="462" t="s">
        <v>6134</v>
      </c>
      <c r="J1498" s="462"/>
      <c r="K1498" s="462" t="s">
        <v>5606</v>
      </c>
      <c r="L1498" s="125" t="s">
        <v>15</v>
      </c>
      <c r="M1498" s="783">
        <v>500000</v>
      </c>
      <c r="N1498" s="678" t="s">
        <v>6153</v>
      </c>
    </row>
    <row r="1499" spans="1:14">
      <c r="A1499" s="785">
        <v>24</v>
      </c>
      <c r="B1499" s="796"/>
      <c r="C1499" s="370">
        <v>46189</v>
      </c>
      <c r="D1499" s="3" t="s">
        <v>138</v>
      </c>
      <c r="E1499" s="3" t="s">
        <v>14</v>
      </c>
      <c r="F1499" s="463" t="s">
        <v>107</v>
      </c>
      <c r="G1499" s="463" t="s">
        <v>3386</v>
      </c>
      <c r="H1499" s="468" t="s">
        <v>115</v>
      </c>
      <c r="I1499" s="782" t="s">
        <v>303</v>
      </c>
      <c r="J1499" s="780" t="s">
        <v>120</v>
      </c>
      <c r="K1499" s="1082" t="s">
        <v>3105</v>
      </c>
      <c r="L1499" s="125" t="s">
        <v>15</v>
      </c>
      <c r="M1499" s="783">
        <v>250000</v>
      </c>
      <c r="N1499" s="678" t="s">
        <v>128</v>
      </c>
    </row>
    <row r="1500" spans="1:14">
      <c r="A1500" s="785">
        <v>24</v>
      </c>
      <c r="B1500" s="796"/>
      <c r="C1500" s="370">
        <v>46189</v>
      </c>
      <c r="D1500" s="3" t="s">
        <v>21</v>
      </c>
      <c r="E1500" s="3" t="s">
        <v>14</v>
      </c>
      <c r="F1500" s="463" t="s">
        <v>1893</v>
      </c>
      <c r="G1500" s="463" t="s">
        <v>4939</v>
      </c>
      <c r="H1500" s="468" t="s">
        <v>482</v>
      </c>
      <c r="I1500" s="462" t="s">
        <v>271</v>
      </c>
      <c r="J1500" s="462" t="s">
        <v>493</v>
      </c>
      <c r="K1500" s="462" t="s">
        <v>999</v>
      </c>
      <c r="L1500" s="125" t="s">
        <v>15</v>
      </c>
      <c r="M1500" s="783">
        <v>300000</v>
      </c>
      <c r="N1500" s="678" t="s">
        <v>128</v>
      </c>
    </row>
    <row r="1501" spans="1:14" ht="27">
      <c r="A1501" s="785">
        <v>24</v>
      </c>
      <c r="B1501" s="796"/>
      <c r="C1501" s="370">
        <v>46189</v>
      </c>
      <c r="D1501" s="3" t="s">
        <v>24</v>
      </c>
      <c r="E1501" s="3" t="s">
        <v>31</v>
      </c>
      <c r="F1501" s="462" t="s">
        <v>6100</v>
      </c>
      <c r="G1501" s="780" t="s">
        <v>2713</v>
      </c>
      <c r="H1501" s="16" t="s">
        <v>115</v>
      </c>
      <c r="I1501" s="782" t="s">
        <v>6105</v>
      </c>
      <c r="J1501" s="780"/>
      <c r="K1501" s="782" t="s">
        <v>6101</v>
      </c>
      <c r="L1501" s="125" t="s">
        <v>15</v>
      </c>
      <c r="M1501" s="783">
        <v>500000</v>
      </c>
      <c r="N1501" s="678" t="s">
        <v>127</v>
      </c>
    </row>
    <row r="1502" spans="1:14" ht="27">
      <c r="A1502" s="785">
        <v>24</v>
      </c>
      <c r="B1502" s="796"/>
      <c r="C1502" s="370">
        <v>46190</v>
      </c>
      <c r="D1502" s="3" t="s">
        <v>24</v>
      </c>
      <c r="E1502" s="3" t="s">
        <v>31</v>
      </c>
      <c r="F1502" s="462" t="s">
        <v>6100</v>
      </c>
      <c r="G1502" s="780" t="s">
        <v>2713</v>
      </c>
      <c r="H1502" s="16" t="s">
        <v>23</v>
      </c>
      <c r="I1502" s="782" t="s">
        <v>6104</v>
      </c>
      <c r="J1502" s="780"/>
      <c r="K1502" s="782" t="s">
        <v>6101</v>
      </c>
      <c r="L1502" s="125" t="s">
        <v>15</v>
      </c>
      <c r="M1502" s="783">
        <v>500000</v>
      </c>
      <c r="N1502" s="678" t="s">
        <v>127</v>
      </c>
    </row>
    <row r="1503" spans="1:14">
      <c r="A1503" s="785">
        <v>24</v>
      </c>
      <c r="B1503" s="796"/>
      <c r="C1503" s="370">
        <v>46190</v>
      </c>
      <c r="D1503" s="3" t="s">
        <v>21</v>
      </c>
      <c r="E1503" s="3" t="s">
        <v>14</v>
      </c>
      <c r="F1503" s="463" t="s">
        <v>1893</v>
      </c>
      <c r="G1503" s="463" t="s">
        <v>4939</v>
      </c>
      <c r="H1503" s="468" t="s">
        <v>482</v>
      </c>
      <c r="I1503" s="462" t="s">
        <v>271</v>
      </c>
      <c r="J1503" s="462" t="s">
        <v>493</v>
      </c>
      <c r="K1503" s="462" t="s">
        <v>999</v>
      </c>
      <c r="L1503" s="125" t="s">
        <v>15</v>
      </c>
      <c r="M1503" s="783">
        <v>300000</v>
      </c>
      <c r="N1503" s="678" t="s">
        <v>128</v>
      </c>
    </row>
    <row r="1504" spans="1:14" ht="40.5">
      <c r="A1504" s="785">
        <v>24</v>
      </c>
      <c r="B1504" s="796"/>
      <c r="C1504" s="370">
        <v>46191</v>
      </c>
      <c r="D1504" s="4" t="s">
        <v>21</v>
      </c>
      <c r="E1504" s="4" t="s">
        <v>14</v>
      </c>
      <c r="F1504" s="291" t="s">
        <v>149</v>
      </c>
      <c r="G1504" s="780" t="s">
        <v>4090</v>
      </c>
      <c r="H1504" s="16" t="s">
        <v>4091</v>
      </c>
      <c r="I1504" s="782" t="s">
        <v>6126</v>
      </c>
      <c r="J1504" s="780"/>
      <c r="K1504" s="409" t="s">
        <v>6101</v>
      </c>
      <c r="L1504" s="125" t="s">
        <v>15</v>
      </c>
      <c r="M1504" s="783">
        <v>500000</v>
      </c>
      <c r="N1504" s="678" t="s">
        <v>128</v>
      </c>
    </row>
    <row r="1505" spans="1:14">
      <c r="A1505" s="785">
        <v>24</v>
      </c>
      <c r="B1505" s="796"/>
      <c r="C1505" s="370">
        <v>46191</v>
      </c>
      <c r="D1505" s="3" t="s">
        <v>24</v>
      </c>
      <c r="E1505" s="3" t="s">
        <v>31</v>
      </c>
      <c r="F1505" s="462" t="s">
        <v>78</v>
      </c>
      <c r="G1505" s="780">
        <v>7060</v>
      </c>
      <c r="H1505" s="16" t="s">
        <v>35</v>
      </c>
      <c r="I1505" s="782" t="s">
        <v>6123</v>
      </c>
      <c r="J1505" s="780" t="s">
        <v>120</v>
      </c>
      <c r="K1505" s="782" t="s">
        <v>2828</v>
      </c>
      <c r="L1505" s="125" t="s">
        <v>15</v>
      </c>
      <c r="M1505" s="783">
        <v>250000</v>
      </c>
      <c r="N1505" s="678" t="s">
        <v>127</v>
      </c>
    </row>
    <row r="1506" spans="1:14">
      <c r="A1506" s="785">
        <v>24</v>
      </c>
      <c r="B1506" s="796"/>
      <c r="C1506" s="370">
        <v>46192</v>
      </c>
      <c r="D1506" s="3" t="s">
        <v>21</v>
      </c>
      <c r="E1506" s="3" t="s">
        <v>14</v>
      </c>
      <c r="F1506" s="463" t="s">
        <v>211</v>
      </c>
      <c r="G1506" s="463" t="s">
        <v>5754</v>
      </c>
      <c r="H1506" s="468" t="s">
        <v>5833</v>
      </c>
      <c r="I1506" s="462" t="s">
        <v>6117</v>
      </c>
      <c r="J1506" s="780" t="s">
        <v>120</v>
      </c>
      <c r="K1506" s="1082" t="s">
        <v>2828</v>
      </c>
      <c r="L1506" s="125" t="s">
        <v>15</v>
      </c>
      <c r="M1506" s="783">
        <v>250000</v>
      </c>
      <c r="N1506" s="678" t="s">
        <v>1192</v>
      </c>
    </row>
    <row r="1507" spans="1:14">
      <c r="A1507" s="785">
        <v>24</v>
      </c>
      <c r="B1507" s="796"/>
      <c r="C1507" s="370">
        <v>46191</v>
      </c>
      <c r="D1507" s="3" t="s">
        <v>21</v>
      </c>
      <c r="E1507" s="3" t="s">
        <v>14</v>
      </c>
      <c r="F1507" s="463" t="s">
        <v>1893</v>
      </c>
      <c r="G1507" s="463" t="s">
        <v>4939</v>
      </c>
      <c r="H1507" s="468" t="s">
        <v>482</v>
      </c>
      <c r="I1507" s="462" t="s">
        <v>271</v>
      </c>
      <c r="J1507" s="462" t="s">
        <v>493</v>
      </c>
      <c r="K1507" s="462" t="s">
        <v>999</v>
      </c>
      <c r="L1507" s="125" t="s">
        <v>15</v>
      </c>
      <c r="M1507" s="783">
        <v>300000</v>
      </c>
      <c r="N1507" s="678" t="s">
        <v>128</v>
      </c>
    </row>
    <row r="1508" spans="1:14">
      <c r="A1508" s="785">
        <v>24</v>
      </c>
      <c r="B1508" s="796"/>
      <c r="C1508" s="370">
        <v>46192</v>
      </c>
      <c r="D1508" s="3" t="s">
        <v>21</v>
      </c>
      <c r="E1508" s="3" t="s">
        <v>14</v>
      </c>
      <c r="F1508" s="463" t="s">
        <v>1893</v>
      </c>
      <c r="G1508" s="463" t="s">
        <v>4939</v>
      </c>
      <c r="H1508" s="468" t="s">
        <v>482</v>
      </c>
      <c r="I1508" s="462" t="s">
        <v>271</v>
      </c>
      <c r="J1508" s="462" t="s">
        <v>493</v>
      </c>
      <c r="K1508" s="462" t="s">
        <v>999</v>
      </c>
      <c r="L1508" s="125" t="s">
        <v>15</v>
      </c>
      <c r="M1508" s="783">
        <v>300000</v>
      </c>
      <c r="N1508" s="678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80" t="s">
        <v>4857</v>
      </c>
      <c r="D10" s="980"/>
    </row>
    <row r="11" spans="1:4">
      <c r="A11" s="603" t="s">
        <v>4858</v>
      </c>
      <c r="B11" s="603">
        <v>7</v>
      </c>
      <c r="C11" s="981">
        <f>'사전품의양식 (12)'!L11</f>
        <v>0</v>
      </c>
      <c r="D11" s="981"/>
    </row>
    <row r="12" spans="1:4">
      <c r="A12" s="603" t="s">
        <v>4859</v>
      </c>
      <c r="B12" s="603">
        <v>16</v>
      </c>
      <c r="C12" s="981">
        <f>'사전품의양식 (12)'!L28</f>
        <v>0</v>
      </c>
      <c r="D12" s="981"/>
    </row>
    <row r="13" spans="1:4">
      <c r="A13" s="605" t="s">
        <v>53</v>
      </c>
      <c r="B13" s="605">
        <f>SUM(B11:B12)</f>
        <v>23</v>
      </c>
      <c r="C13" s="982">
        <f>SUM(C11:C12)</f>
        <v>0</v>
      </c>
      <c r="D13" s="98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-250000</v>
      </c>
      <c r="C18" s="604">
        <f>C12-C17</f>
        <v>-1450000</v>
      </c>
      <c r="D18" s="604">
        <f>SUM(B18:C18)</f>
        <v>-1700000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83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4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92" t="s">
        <v>6257</v>
      </c>
      <c r="B2" s="994" t="s">
        <v>1</v>
      </c>
      <c r="C2" s="994" t="s">
        <v>2</v>
      </c>
      <c r="D2" s="994" t="s">
        <v>3</v>
      </c>
      <c r="E2" s="735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6" t="s">
        <v>56</v>
      </c>
      <c r="L2" s="994" t="s">
        <v>57</v>
      </c>
      <c r="M2" s="990" t="s">
        <v>58</v>
      </c>
    </row>
    <row r="3" spans="1:13">
      <c r="A3" s="993"/>
      <c r="B3" s="995"/>
      <c r="C3" s="995"/>
      <c r="D3" s="995"/>
      <c r="E3" s="736" t="s">
        <v>1724</v>
      </c>
      <c r="F3" s="995"/>
      <c r="G3" s="995"/>
      <c r="H3" s="995"/>
      <c r="I3" s="995"/>
      <c r="J3" s="995"/>
      <c r="K3" s="997"/>
      <c r="L3" s="995"/>
      <c r="M3" s="991"/>
    </row>
    <row r="4" spans="1:13" s="730" customFormat="1" ht="16.5" customHeight="1">
      <c r="A4" s="987" t="s">
        <v>20</v>
      </c>
      <c r="B4" s="370">
        <v>46189</v>
      </c>
      <c r="C4" s="660"/>
      <c r="D4" s="660"/>
      <c r="E4" s="661"/>
      <c r="F4" s="661"/>
      <c r="G4" s="664"/>
      <c r="H4" s="725"/>
      <c r="I4" s="661"/>
      <c r="J4" s="725" t="s">
        <v>6259</v>
      </c>
      <c r="K4" s="784"/>
      <c r="L4" s="768"/>
      <c r="M4" s="740" t="s">
        <v>6258</v>
      </c>
    </row>
    <row r="5" spans="1:13" s="730" customFormat="1" ht="16.5" customHeight="1">
      <c r="A5" s="988"/>
      <c r="B5" s="370">
        <v>46192</v>
      </c>
      <c r="C5" s="660"/>
      <c r="D5" s="660"/>
      <c r="E5" s="661"/>
      <c r="F5" s="661"/>
      <c r="G5" s="664"/>
      <c r="H5" s="772"/>
      <c r="I5" s="661"/>
      <c r="J5" s="779" t="s">
        <v>6259</v>
      </c>
      <c r="K5" s="784"/>
      <c r="L5" s="768"/>
      <c r="M5" s="740" t="s">
        <v>6260</v>
      </c>
    </row>
    <row r="6" spans="1:13" s="730" customFormat="1" ht="16.5" customHeight="1">
      <c r="A6" s="988"/>
      <c r="B6" s="401"/>
      <c r="C6" s="660"/>
      <c r="D6" s="660"/>
      <c r="E6" s="661"/>
      <c r="F6" s="661"/>
      <c r="G6" s="664"/>
      <c r="H6" s="772"/>
      <c r="I6" s="661"/>
      <c r="J6" s="772"/>
      <c r="K6" s="784"/>
      <c r="L6" s="768"/>
      <c r="M6" s="769"/>
    </row>
    <row r="7" spans="1:13" s="730" customFormat="1" ht="16.5" customHeight="1">
      <c r="A7" s="988"/>
      <c r="B7" s="401"/>
      <c r="C7" s="660"/>
      <c r="D7" s="660"/>
      <c r="E7" s="661"/>
      <c r="F7" s="715"/>
      <c r="G7" s="715"/>
      <c r="H7" s="716"/>
      <c r="I7" s="661"/>
      <c r="J7" s="772"/>
      <c r="K7" s="784"/>
      <c r="L7" s="768"/>
      <c r="M7" s="738"/>
    </row>
    <row r="8" spans="1:13" s="730" customFormat="1" ht="16.5" customHeight="1">
      <c r="A8" s="988"/>
      <c r="B8" s="689"/>
      <c r="C8" s="660"/>
      <c r="D8" s="660"/>
      <c r="E8" s="661"/>
      <c r="F8" s="715"/>
      <c r="G8" s="715"/>
      <c r="H8" s="716"/>
      <c r="I8" s="737"/>
      <c r="J8" s="717"/>
      <c r="K8" s="784"/>
      <c r="L8" s="768"/>
      <c r="M8" s="738"/>
    </row>
    <row r="9" spans="1:13" s="730" customFormat="1" ht="16.5" customHeight="1">
      <c r="A9" s="988"/>
      <c r="B9" s="689"/>
      <c r="C9" s="660"/>
      <c r="D9" s="660"/>
      <c r="E9" s="661"/>
      <c r="F9" s="661"/>
      <c r="G9" s="664"/>
      <c r="H9" s="772"/>
      <c r="I9" s="661"/>
      <c r="J9" s="772"/>
      <c r="K9" s="784"/>
      <c r="L9" s="768"/>
      <c r="M9" s="738"/>
    </row>
    <row r="10" spans="1:13" s="730" customFormat="1">
      <c r="A10" s="988"/>
      <c r="B10" s="689"/>
      <c r="C10" s="660"/>
      <c r="D10" s="660"/>
      <c r="E10" s="661"/>
      <c r="F10" s="715"/>
      <c r="G10" s="715"/>
      <c r="H10" s="716"/>
      <c r="I10" s="737"/>
      <c r="J10" s="717"/>
      <c r="K10" s="784"/>
      <c r="L10" s="768"/>
      <c r="M10" s="738"/>
    </row>
    <row r="11" spans="1:13">
      <c r="A11" s="989"/>
      <c r="B11" s="796" t="s">
        <v>1136</v>
      </c>
      <c r="C11" s="796"/>
      <c r="D11" s="796"/>
      <c r="E11" s="796"/>
      <c r="F11" s="796"/>
      <c r="G11" s="796"/>
      <c r="H11" s="796"/>
      <c r="I11" s="796"/>
      <c r="J11" s="796"/>
      <c r="K11" s="796"/>
      <c r="L11" s="719">
        <f>SUM(L4:L10)</f>
        <v>0</v>
      </c>
      <c r="M11" s="740"/>
    </row>
    <row r="12" spans="1:13" ht="13.5">
      <c r="A12" s="987" t="s">
        <v>21</v>
      </c>
      <c r="B12" s="198"/>
      <c r="C12" s="3"/>
      <c r="D12" s="3"/>
      <c r="E12" s="482"/>
      <c r="F12" s="463"/>
      <c r="G12" s="468"/>
      <c r="H12" s="462"/>
      <c r="I12" s="463"/>
      <c r="J12" s="463"/>
      <c r="K12" s="136"/>
      <c r="L12" s="770"/>
      <c r="M12" s="740"/>
    </row>
    <row r="13" spans="1:13" ht="16.5" customHeight="1">
      <c r="A13" s="988"/>
      <c r="B13" s="198"/>
      <c r="C13" s="3"/>
      <c r="D13" s="3"/>
      <c r="E13" s="482"/>
      <c r="F13" s="463"/>
      <c r="G13" s="468"/>
      <c r="H13" s="462"/>
      <c r="I13" s="463"/>
      <c r="J13" s="463"/>
      <c r="K13" s="136"/>
      <c r="L13" s="770"/>
      <c r="M13" s="740"/>
    </row>
    <row r="14" spans="1:13" ht="16.5" customHeight="1">
      <c r="A14" s="988"/>
      <c r="B14" s="198"/>
      <c r="C14" s="3"/>
      <c r="D14" s="3"/>
      <c r="E14" s="482"/>
      <c r="F14" s="463"/>
      <c r="G14" s="468"/>
      <c r="H14" s="462"/>
      <c r="I14" s="463"/>
      <c r="J14" s="463"/>
      <c r="K14" s="136"/>
      <c r="L14" s="770"/>
      <c r="M14" s="740"/>
    </row>
    <row r="15" spans="1:13" ht="16.5" customHeight="1">
      <c r="A15" s="988"/>
      <c r="B15" s="198"/>
      <c r="C15" s="3"/>
      <c r="D15" s="3"/>
      <c r="E15" s="482"/>
      <c r="F15" s="463"/>
      <c r="G15" s="468"/>
      <c r="H15" s="462"/>
      <c r="I15" s="463"/>
      <c r="J15" s="463"/>
      <c r="K15" s="136"/>
      <c r="L15" s="770"/>
      <c r="M15" s="740"/>
    </row>
    <row r="16" spans="1:13" ht="16.5" customHeight="1">
      <c r="A16" s="988"/>
      <c r="B16" s="401"/>
      <c r="C16" s="4"/>
      <c r="D16" s="4"/>
      <c r="E16" s="773"/>
      <c r="F16" s="773"/>
      <c r="G16" s="16"/>
      <c r="H16" s="775"/>
      <c r="I16" s="463"/>
      <c r="J16" s="468"/>
      <c r="K16" s="468"/>
      <c r="L16" s="719"/>
      <c r="M16" s="740"/>
    </row>
    <row r="17" spans="1:13" ht="16.5" customHeight="1">
      <c r="A17" s="988"/>
      <c r="B17" s="401"/>
      <c r="C17" s="3"/>
      <c r="D17" s="3"/>
      <c r="E17" s="463"/>
      <c r="F17" s="463"/>
      <c r="G17" s="468"/>
      <c r="H17" s="462"/>
      <c r="I17" s="462"/>
      <c r="J17" s="462"/>
      <c r="K17" s="125"/>
      <c r="L17" s="719"/>
      <c r="M17" s="740"/>
    </row>
    <row r="18" spans="1:13" ht="16.5" customHeight="1">
      <c r="A18" s="988"/>
      <c r="B18" s="401"/>
      <c r="C18" s="3"/>
      <c r="D18" s="3"/>
      <c r="E18" s="463"/>
      <c r="F18" s="463"/>
      <c r="G18" s="468"/>
      <c r="H18" s="775"/>
      <c r="I18" s="773"/>
      <c r="J18" s="773"/>
      <c r="K18" s="125"/>
      <c r="L18" s="719"/>
      <c r="M18" s="740"/>
    </row>
    <row r="19" spans="1:13" ht="16.5" customHeight="1">
      <c r="A19" s="988"/>
      <c r="B19" s="401"/>
      <c r="C19" s="3"/>
      <c r="D19" s="3"/>
      <c r="E19" s="463"/>
      <c r="F19" s="463"/>
      <c r="G19" s="468"/>
      <c r="H19" s="462"/>
      <c r="I19" s="462"/>
      <c r="J19" s="462"/>
      <c r="K19" s="125"/>
      <c r="L19" s="719"/>
      <c r="M19" s="740"/>
    </row>
    <row r="20" spans="1:13" ht="13.5">
      <c r="A20" s="988"/>
      <c r="B20" s="401"/>
      <c r="C20" s="3"/>
      <c r="D20" s="3"/>
      <c r="E20" s="462"/>
      <c r="F20" s="773"/>
      <c r="G20" s="16"/>
      <c r="H20" s="775"/>
      <c r="I20" s="773"/>
      <c r="J20" s="775"/>
      <c r="K20" s="125"/>
      <c r="L20" s="719"/>
      <c r="M20" s="740"/>
    </row>
    <row r="21" spans="1:13" ht="13.5">
      <c r="A21" s="988"/>
      <c r="B21" s="401"/>
      <c r="C21" s="3"/>
      <c r="D21" s="3"/>
      <c r="E21" s="462"/>
      <c r="F21" s="773"/>
      <c r="G21" s="16"/>
      <c r="H21" s="775"/>
      <c r="I21" s="773"/>
      <c r="J21" s="775"/>
      <c r="K21" s="125"/>
      <c r="L21" s="719"/>
      <c r="M21" s="740"/>
    </row>
    <row r="22" spans="1:13" ht="16.5" customHeight="1">
      <c r="A22" s="988"/>
      <c r="B22" s="401"/>
      <c r="C22" s="3"/>
      <c r="D22" s="3"/>
      <c r="E22" s="463"/>
      <c r="F22" s="463"/>
      <c r="G22" s="468"/>
      <c r="H22" s="462"/>
      <c r="I22" s="462"/>
      <c r="J22" s="462"/>
      <c r="K22" s="125"/>
      <c r="L22" s="719"/>
      <c r="M22" s="740"/>
    </row>
    <row r="23" spans="1:13" ht="13.5">
      <c r="A23" s="988"/>
      <c r="B23" s="401"/>
      <c r="C23" s="4"/>
      <c r="D23" s="4"/>
      <c r="E23" s="291"/>
      <c r="F23" s="773"/>
      <c r="G23" s="16"/>
      <c r="H23" s="775"/>
      <c r="I23" s="773"/>
      <c r="J23" s="775"/>
      <c r="K23" s="125"/>
      <c r="L23" s="719"/>
      <c r="M23" s="740"/>
    </row>
    <row r="24" spans="1:13" ht="16.5" customHeight="1">
      <c r="A24" s="988"/>
      <c r="B24" s="401"/>
      <c r="C24" s="3"/>
      <c r="D24" s="3"/>
      <c r="E24" s="462"/>
      <c r="F24" s="773"/>
      <c r="G24" s="16"/>
      <c r="H24" s="775"/>
      <c r="I24" s="773"/>
      <c r="J24" s="775"/>
      <c r="K24" s="125"/>
      <c r="L24" s="719"/>
      <c r="M24" s="740"/>
    </row>
    <row r="25" spans="1:13" ht="16.5" customHeight="1">
      <c r="A25" s="988"/>
      <c r="B25" s="401"/>
      <c r="C25" s="3"/>
      <c r="D25" s="3"/>
      <c r="E25" s="463"/>
      <c r="F25" s="463"/>
      <c r="G25" s="468"/>
      <c r="H25" s="462"/>
      <c r="I25" s="773"/>
      <c r="J25" s="773"/>
      <c r="K25" s="125"/>
      <c r="L25" s="719"/>
      <c r="M25" s="740"/>
    </row>
    <row r="26" spans="1:13" ht="16.5" customHeight="1">
      <c r="A26" s="988"/>
      <c r="B26" s="401"/>
      <c r="C26" s="3"/>
      <c r="D26" s="3"/>
      <c r="E26" s="463"/>
      <c r="F26" s="463"/>
      <c r="G26" s="468"/>
      <c r="H26" s="462"/>
      <c r="I26" s="462"/>
      <c r="J26" s="462"/>
      <c r="K26" s="125"/>
      <c r="L26" s="719"/>
      <c r="M26" s="740"/>
    </row>
    <row r="27" spans="1:13" ht="16.5" customHeight="1">
      <c r="A27" s="988"/>
      <c r="B27" s="401"/>
      <c r="C27" s="3"/>
      <c r="D27" s="3"/>
      <c r="E27" s="463"/>
      <c r="F27" s="463"/>
      <c r="G27" s="468"/>
      <c r="H27" s="462"/>
      <c r="I27" s="462"/>
      <c r="J27" s="462"/>
      <c r="K27" s="125"/>
      <c r="L27" s="771"/>
      <c r="M27" s="740"/>
    </row>
    <row r="28" spans="1:13">
      <c r="A28" s="989"/>
      <c r="B28" s="796" t="s">
        <v>4879</v>
      </c>
      <c r="C28" s="796"/>
      <c r="D28" s="796"/>
      <c r="E28" s="796"/>
      <c r="F28" s="796"/>
      <c r="G28" s="796"/>
      <c r="H28" s="796"/>
      <c r="I28" s="796"/>
      <c r="J28" s="796"/>
      <c r="K28" s="796"/>
      <c r="L28" s="719">
        <f>SUM(L12:L27)</f>
        <v>0</v>
      </c>
      <c r="M28" s="740"/>
    </row>
    <row r="29" spans="1:13" ht="25.5" customHeight="1" thickBot="1">
      <c r="A29" s="985" t="s">
        <v>62</v>
      </c>
      <c r="B29" s="986"/>
      <c r="C29" s="986"/>
      <c r="D29" s="986"/>
      <c r="E29" s="986"/>
      <c r="F29" s="986"/>
      <c r="G29" s="986"/>
      <c r="H29" s="986"/>
      <c r="I29" s="986"/>
      <c r="J29" s="986"/>
      <c r="K29" s="986"/>
      <c r="L29" s="741">
        <f>L11+L28</f>
        <v>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3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3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3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3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3" ht="16.5" hidden="1" customHeight="1"/>
    <row r="38" spans="1:13" ht="20.100000000000001" hidden="1" customHeight="1">
      <c r="J38" s="732"/>
    </row>
    <row r="41" spans="1:13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7" t="s">
        <v>53</v>
      </c>
      <c r="B21" s="807"/>
      <c r="C21" s="807"/>
      <c r="D21" s="807"/>
      <c r="E21" s="807"/>
      <c r="F21" s="807"/>
      <c r="G21" s="807"/>
      <c r="H21" s="807"/>
      <c r="I21" s="80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5" t="s">
        <v>53</v>
      </c>
      <c r="B26" s="1026"/>
      <c r="C26" s="1026"/>
      <c r="D26" s="1026"/>
      <c r="E26" s="1026"/>
      <c r="F26" s="1026"/>
      <c r="G26" s="1026"/>
      <c r="H26" s="1026"/>
      <c r="I26" s="102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5" t="s">
        <v>53</v>
      </c>
      <c r="B35" s="1026"/>
      <c r="C35" s="1026"/>
      <c r="D35" s="1026"/>
      <c r="E35" s="1026"/>
      <c r="F35" s="1026"/>
      <c r="G35" s="1026"/>
      <c r="H35" s="1026"/>
      <c r="I35" s="102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5" t="s">
        <v>53</v>
      </c>
      <c r="B42" s="1026"/>
      <c r="C42" s="1026"/>
      <c r="D42" s="1026"/>
      <c r="E42" s="1026"/>
      <c r="F42" s="1026"/>
      <c r="G42" s="1026"/>
      <c r="H42" s="1026"/>
      <c r="I42" s="102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5" t="s">
        <v>53</v>
      </c>
      <c r="B48" s="1026"/>
      <c r="C48" s="1026"/>
      <c r="D48" s="1026"/>
      <c r="E48" s="1026"/>
      <c r="F48" s="1026"/>
      <c r="G48" s="1026"/>
      <c r="H48" s="1026"/>
      <c r="I48" s="102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5" t="s">
        <v>53</v>
      </c>
      <c r="B54" s="1026"/>
      <c r="C54" s="1026"/>
      <c r="D54" s="1026"/>
      <c r="E54" s="1026"/>
      <c r="F54" s="1026"/>
      <c r="G54" s="1026"/>
      <c r="H54" s="1026"/>
      <c r="I54" s="102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3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3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3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5" t="s">
        <v>53</v>
      </c>
      <c r="B64" s="1026"/>
      <c r="C64" s="1026"/>
      <c r="D64" s="1026"/>
      <c r="E64" s="1026"/>
      <c r="F64" s="1026"/>
      <c r="G64" s="1026"/>
      <c r="H64" s="1026"/>
      <c r="I64" s="102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5" t="s">
        <v>53</v>
      </c>
      <c r="B70" s="1026"/>
      <c r="C70" s="1026"/>
      <c r="D70" s="1026"/>
      <c r="E70" s="1026"/>
      <c r="F70" s="1026"/>
      <c r="G70" s="1026"/>
      <c r="H70" s="1026"/>
      <c r="I70" s="102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7" t="s">
        <v>53</v>
      </c>
      <c r="B78" s="807"/>
      <c r="C78" s="807"/>
      <c r="D78" s="807"/>
      <c r="E78" s="807"/>
      <c r="F78" s="807"/>
      <c r="G78" s="807"/>
      <c r="H78" s="807"/>
      <c r="I78" s="80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5" t="s">
        <v>53</v>
      </c>
      <c r="B86" s="1026"/>
      <c r="C86" s="1026"/>
      <c r="D86" s="1026"/>
      <c r="E86" s="1026"/>
      <c r="F86" s="1026"/>
      <c r="G86" s="1026"/>
      <c r="H86" s="1026"/>
      <c r="I86" s="102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5" t="s">
        <v>53</v>
      </c>
      <c r="B92" s="1026"/>
      <c r="C92" s="1026"/>
      <c r="D92" s="1026"/>
      <c r="E92" s="1026"/>
      <c r="F92" s="1026"/>
      <c r="G92" s="1026"/>
      <c r="H92" s="1026"/>
      <c r="I92" s="102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5" t="s">
        <v>53</v>
      </c>
      <c r="B101" s="1026"/>
      <c r="C101" s="1026"/>
      <c r="D101" s="1026"/>
      <c r="E101" s="1026"/>
      <c r="F101" s="1026"/>
      <c r="G101" s="1026"/>
      <c r="H101" s="1026"/>
      <c r="I101" s="102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3"/>
      <c r="B107" s="105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3"/>
      <c r="B108" s="105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7" t="s">
        <v>53</v>
      </c>
      <c r="B112" s="807"/>
      <c r="C112" s="807"/>
      <c r="D112" s="807"/>
      <c r="E112" s="807"/>
      <c r="F112" s="807"/>
      <c r="G112" s="807"/>
      <c r="H112" s="807"/>
      <c r="I112" s="80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4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5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7" t="s">
        <v>53</v>
      </c>
      <c r="B121" s="807"/>
      <c r="C121" s="807"/>
      <c r="D121" s="807"/>
      <c r="E121" s="807"/>
      <c r="F121" s="807"/>
      <c r="G121" s="807"/>
      <c r="H121" s="807"/>
      <c r="I121" s="80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5"/>
      <c r="B129" s="106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3">
        <v>2</v>
      </c>
      <c r="K129" s="25" t="s">
        <v>52</v>
      </c>
      <c r="L129" s="25" t="s">
        <v>51</v>
      </c>
    </row>
    <row r="130" spans="1:12">
      <c r="A130" s="805"/>
      <c r="B130" s="106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44"/>
      <c r="K130" s="25" t="s">
        <v>52</v>
      </c>
      <c r="L130" s="25" t="s">
        <v>51</v>
      </c>
    </row>
    <row r="131" spans="1:12">
      <c r="A131" s="8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5"/>
      <c r="B133" s="90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1" t="s">
        <v>1277</v>
      </c>
      <c r="J133" s="1043">
        <v>1</v>
      </c>
      <c r="K133" s="25" t="s">
        <v>52</v>
      </c>
      <c r="L133" s="25" t="s">
        <v>51</v>
      </c>
    </row>
    <row r="134" spans="1:12">
      <c r="A134" s="805"/>
      <c r="B134" s="90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11"/>
      <c r="J134" s="1044"/>
      <c r="K134" s="25" t="s">
        <v>52</v>
      </c>
      <c r="L134" s="25" t="s">
        <v>51</v>
      </c>
    </row>
    <row r="135" spans="1:12">
      <c r="A135" s="8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7" t="s">
        <v>53</v>
      </c>
      <c r="B137" s="807"/>
      <c r="C137" s="807"/>
      <c r="D137" s="807"/>
      <c r="E137" s="807"/>
      <c r="F137" s="807"/>
      <c r="G137" s="807"/>
      <c r="H137" s="807"/>
      <c r="I137" s="80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5" t="s">
        <v>1007</v>
      </c>
      <c r="B142" s="90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5"/>
      <c r="B143" s="90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7" t="s">
        <v>53</v>
      </c>
      <c r="B145" s="807"/>
      <c r="C145" s="807"/>
      <c r="D145" s="807"/>
      <c r="E145" s="807"/>
      <c r="F145" s="807"/>
      <c r="G145" s="807"/>
      <c r="H145" s="807"/>
      <c r="I145" s="80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0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0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7" t="s">
        <v>53</v>
      </c>
      <c r="B154" s="797"/>
      <c r="C154" s="797"/>
      <c r="D154" s="797"/>
      <c r="E154" s="797"/>
      <c r="F154" s="797"/>
      <c r="G154" s="797"/>
      <c r="H154" s="797"/>
      <c r="I154" s="79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7" t="s">
        <v>53</v>
      </c>
      <c r="B163" s="807"/>
      <c r="C163" s="807"/>
      <c r="D163" s="807"/>
      <c r="E163" s="807"/>
      <c r="F163" s="807"/>
      <c r="G163" s="807"/>
      <c r="H163" s="807"/>
      <c r="I163" s="80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7" t="s">
        <v>53</v>
      </c>
      <c r="B167" s="797"/>
      <c r="C167" s="797"/>
      <c r="D167" s="797"/>
      <c r="E167" s="797"/>
      <c r="F167" s="797"/>
      <c r="G167" s="797"/>
      <c r="H167" s="797"/>
      <c r="I167" s="79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7" t="s">
        <v>53</v>
      </c>
      <c r="B183" s="807"/>
      <c r="C183" s="807"/>
      <c r="D183" s="807"/>
      <c r="E183" s="807"/>
      <c r="F183" s="807"/>
      <c r="G183" s="807"/>
      <c r="H183" s="807"/>
      <c r="I183" s="80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4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5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5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5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7" t="s">
        <v>53</v>
      </c>
      <c r="B193" s="807"/>
      <c r="C193" s="807"/>
      <c r="D193" s="807"/>
      <c r="E193" s="807"/>
      <c r="F193" s="807"/>
      <c r="G193" s="807"/>
      <c r="H193" s="807"/>
      <c r="I193" s="80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7" t="s">
        <v>53</v>
      </c>
      <c r="B203" s="797"/>
      <c r="C203" s="797"/>
      <c r="D203" s="797"/>
      <c r="E203" s="797"/>
      <c r="F203" s="797"/>
      <c r="G203" s="797"/>
      <c r="H203" s="797"/>
      <c r="I203" s="79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7" t="s">
        <v>53</v>
      </c>
      <c r="B214" s="797"/>
      <c r="C214" s="797"/>
      <c r="D214" s="797"/>
      <c r="E214" s="797"/>
      <c r="F214" s="797"/>
      <c r="G214" s="797"/>
      <c r="H214" s="797"/>
      <c r="I214" s="79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7" t="s">
        <v>1458</v>
      </c>
      <c r="B226" s="797"/>
      <c r="C226" s="797"/>
      <c r="D226" s="797"/>
      <c r="E226" s="797"/>
      <c r="F226" s="797"/>
      <c r="G226" s="797"/>
      <c r="H226" s="797"/>
      <c r="I226" s="79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7" t="s">
        <v>1499</v>
      </c>
      <c r="B236" s="797"/>
      <c r="C236" s="797"/>
      <c r="D236" s="797"/>
      <c r="E236" s="797"/>
      <c r="F236" s="797"/>
      <c r="G236" s="797"/>
      <c r="H236" s="797"/>
      <c r="I236" s="79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5" t="s">
        <v>53</v>
      </c>
      <c r="B244" s="1026"/>
      <c r="C244" s="1026"/>
      <c r="D244" s="1026"/>
      <c r="E244" s="1026"/>
      <c r="F244" s="1026"/>
      <c r="G244" s="1026"/>
      <c r="H244" s="1026"/>
      <c r="I244" s="102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5" t="s">
        <v>53</v>
      </c>
      <c r="B250" s="1026"/>
      <c r="C250" s="1026"/>
      <c r="D250" s="1026"/>
      <c r="E250" s="1026"/>
      <c r="F250" s="1026"/>
      <c r="G250" s="1026"/>
      <c r="H250" s="1026"/>
      <c r="I250" s="102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5" t="s">
        <v>53</v>
      </c>
      <c r="B257" s="1026"/>
      <c r="C257" s="1026"/>
      <c r="D257" s="1026"/>
      <c r="E257" s="1026"/>
      <c r="F257" s="1026"/>
      <c r="G257" s="1026"/>
      <c r="H257" s="1026"/>
      <c r="I257" s="102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5" t="s">
        <v>53</v>
      </c>
      <c r="B262" s="1026"/>
      <c r="C262" s="1026"/>
      <c r="D262" s="1026"/>
      <c r="E262" s="1026"/>
      <c r="F262" s="1026"/>
      <c r="G262" s="1026"/>
      <c r="H262" s="1026"/>
      <c r="I262" s="102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5" t="s">
        <v>53</v>
      </c>
      <c r="B271" s="1026"/>
      <c r="C271" s="1026"/>
      <c r="D271" s="1026"/>
      <c r="E271" s="1026"/>
      <c r="F271" s="1026"/>
      <c r="G271" s="1026"/>
      <c r="H271" s="1026"/>
      <c r="I271" s="102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5" t="s">
        <v>53</v>
      </c>
      <c r="B275" s="1026"/>
      <c r="C275" s="1026"/>
      <c r="D275" s="1026"/>
      <c r="E275" s="1026"/>
      <c r="F275" s="1026"/>
      <c r="G275" s="1026"/>
      <c r="H275" s="1026"/>
      <c r="I275" s="102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5" t="s">
        <v>1646</v>
      </c>
      <c r="B296" s="1026"/>
      <c r="C296" s="1026"/>
      <c r="D296" s="1026"/>
      <c r="E296" s="1026"/>
      <c r="F296" s="1026"/>
      <c r="G296" s="1026"/>
      <c r="H296" s="1026"/>
      <c r="I296" s="1026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7" t="s">
        <v>1659</v>
      </c>
      <c r="B305" s="797"/>
      <c r="C305" s="797"/>
      <c r="D305" s="797"/>
      <c r="E305" s="797"/>
      <c r="F305" s="797"/>
      <c r="G305" s="797"/>
      <c r="H305" s="797"/>
      <c r="I305" s="79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7" t="s">
        <v>53</v>
      </c>
      <c r="B309" s="797"/>
      <c r="C309" s="797"/>
      <c r="D309" s="797"/>
      <c r="E309" s="797"/>
      <c r="F309" s="797"/>
      <c r="G309" s="797"/>
      <c r="H309" s="797"/>
      <c r="I309" s="79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7" t="s">
        <v>1659</v>
      </c>
      <c r="B314" s="797"/>
      <c r="C314" s="797"/>
      <c r="D314" s="797"/>
      <c r="E314" s="797"/>
      <c r="F314" s="797"/>
      <c r="G314" s="797"/>
      <c r="H314" s="797"/>
      <c r="I314" s="79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7" t="s">
        <v>1659</v>
      </c>
      <c r="B321" s="797"/>
      <c r="C321" s="797"/>
      <c r="D321" s="797"/>
      <c r="E321" s="797"/>
      <c r="F321" s="797"/>
      <c r="G321" s="797"/>
      <c r="H321" s="797"/>
      <c r="I321" s="797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7" t="s">
        <v>1659</v>
      </c>
      <c r="B330" s="797"/>
      <c r="C330" s="797"/>
      <c r="D330" s="797"/>
      <c r="E330" s="797"/>
      <c r="F330" s="797"/>
      <c r="G330" s="797"/>
      <c r="H330" s="797"/>
      <c r="I330" s="797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7" t="s">
        <v>1659</v>
      </c>
      <c r="B338" s="797"/>
      <c r="C338" s="797"/>
      <c r="D338" s="797"/>
      <c r="E338" s="797"/>
      <c r="F338" s="797"/>
      <c r="G338" s="797"/>
      <c r="H338" s="797"/>
      <c r="I338" s="797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5" t="s">
        <v>1521</v>
      </c>
      <c r="B343" s="128" t="s">
        <v>1531</v>
      </c>
      <c r="C343" s="936" t="s">
        <v>306</v>
      </c>
      <c r="D343" s="936" t="s">
        <v>322</v>
      </c>
      <c r="E343" s="810" t="s">
        <v>307</v>
      </c>
      <c r="F343" s="1068">
        <v>4266</v>
      </c>
      <c r="G343" s="936" t="s">
        <v>640</v>
      </c>
      <c r="H343" s="1068" t="s">
        <v>1533</v>
      </c>
      <c r="I343" s="936" t="s">
        <v>1534</v>
      </c>
      <c r="J343" s="810">
        <v>2</v>
      </c>
      <c r="K343" s="1022" t="s">
        <v>50</v>
      </c>
      <c r="L343" s="1022" t="s">
        <v>51</v>
      </c>
    </row>
    <row r="344" spans="1:13">
      <c r="A344" s="1066"/>
      <c r="B344" s="129" t="s">
        <v>1532</v>
      </c>
      <c r="C344" s="811"/>
      <c r="D344" s="811"/>
      <c r="E344" s="811"/>
      <c r="F344" s="813"/>
      <c r="G344" s="811"/>
      <c r="H344" s="813"/>
      <c r="I344" s="811"/>
      <c r="J344" s="811"/>
      <c r="K344" s="1024"/>
      <c r="L344" s="1024"/>
    </row>
    <row r="345" spans="1:13">
      <c r="A345" s="1066"/>
      <c r="B345" s="128" t="s">
        <v>1536</v>
      </c>
      <c r="C345" s="810" t="s">
        <v>306</v>
      </c>
      <c r="D345" s="810" t="s">
        <v>322</v>
      </c>
      <c r="E345" s="810" t="s">
        <v>307</v>
      </c>
      <c r="F345" s="812">
        <v>3306</v>
      </c>
      <c r="G345" s="810" t="s">
        <v>1153</v>
      </c>
      <c r="H345" s="812" t="s">
        <v>1538</v>
      </c>
      <c r="I345" s="810" t="s">
        <v>1534</v>
      </c>
      <c r="J345" s="810">
        <v>2</v>
      </c>
      <c r="K345" s="1022" t="s">
        <v>50</v>
      </c>
      <c r="L345" s="1022" t="s">
        <v>51</v>
      </c>
    </row>
    <row r="346" spans="1:13">
      <c r="A346" s="1067"/>
      <c r="B346" s="129" t="s">
        <v>1537</v>
      </c>
      <c r="C346" s="811"/>
      <c r="D346" s="811"/>
      <c r="E346" s="811"/>
      <c r="F346" s="813"/>
      <c r="G346" s="811"/>
      <c r="H346" s="813"/>
      <c r="I346" s="811"/>
      <c r="J346" s="811"/>
      <c r="K346" s="1024"/>
      <c r="L346" s="1024"/>
    </row>
    <row r="347" spans="1:13">
      <c r="A347" s="1025" t="s">
        <v>53</v>
      </c>
      <c r="B347" s="1026"/>
      <c r="C347" s="1026"/>
      <c r="D347" s="1026"/>
      <c r="E347" s="1026"/>
      <c r="F347" s="1026"/>
      <c r="G347" s="1026"/>
      <c r="H347" s="1026"/>
      <c r="I347" s="102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7" t="s">
        <v>53</v>
      </c>
      <c r="B357" s="807"/>
      <c r="C357" s="807"/>
      <c r="D357" s="807"/>
      <c r="E357" s="807"/>
      <c r="F357" s="807"/>
      <c r="G357" s="807"/>
      <c r="H357" s="807"/>
      <c r="I357" s="80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7" t="s">
        <v>1458</v>
      </c>
      <c r="B361" s="797"/>
      <c r="C361" s="797"/>
      <c r="D361" s="797"/>
      <c r="E361" s="797"/>
      <c r="F361" s="797"/>
      <c r="G361" s="797"/>
      <c r="H361" s="797"/>
      <c r="I361" s="79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7" t="s">
        <v>1659</v>
      </c>
      <c r="B370" s="797"/>
      <c r="C370" s="797"/>
      <c r="D370" s="797"/>
      <c r="E370" s="797"/>
      <c r="F370" s="797"/>
      <c r="G370" s="797"/>
      <c r="H370" s="797"/>
      <c r="I370" s="797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7" t="s">
        <v>1646</v>
      </c>
      <c r="B378" s="807"/>
      <c r="C378" s="807"/>
      <c r="D378" s="807"/>
      <c r="E378" s="807"/>
      <c r="F378" s="807"/>
      <c r="G378" s="807"/>
      <c r="H378" s="807"/>
      <c r="I378" s="807"/>
      <c r="J378" s="807"/>
      <c r="K378" s="4">
        <v>25</v>
      </c>
      <c r="L378" s="55"/>
    </row>
    <row r="381" spans="1:12">
      <c r="B381" s="1048" t="s">
        <v>1</v>
      </c>
      <c r="C381" s="1048" t="s">
        <v>2</v>
      </c>
      <c r="D381" s="1048" t="s">
        <v>3</v>
      </c>
      <c r="E381" s="36" t="s">
        <v>54</v>
      </c>
      <c r="F381" s="1048" t="s">
        <v>5</v>
      </c>
      <c r="G381" s="1048" t="s">
        <v>6</v>
      </c>
      <c r="H381" s="1048" t="s">
        <v>7</v>
      </c>
      <c r="I381" s="1048" t="s">
        <v>55</v>
      </c>
      <c r="J381" s="1048" t="s">
        <v>9</v>
      </c>
      <c r="K381" s="1050" t="s">
        <v>56</v>
      </c>
      <c r="L381" s="1048" t="s">
        <v>57</v>
      </c>
    </row>
    <row r="382" spans="1:12">
      <c r="B382" s="1049"/>
      <c r="C382" s="1049"/>
      <c r="D382" s="1049"/>
      <c r="E382" s="37" t="s">
        <v>59</v>
      </c>
      <c r="F382" s="1049"/>
      <c r="G382" s="1049"/>
      <c r="H382" s="1049"/>
      <c r="I382" s="1049"/>
      <c r="J382" s="1049"/>
      <c r="K382" s="1051"/>
      <c r="L382" s="104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7" t="s">
        <v>53</v>
      </c>
      <c r="B394" s="797"/>
      <c r="C394" s="797"/>
      <c r="D394" s="797"/>
      <c r="E394" s="797"/>
      <c r="F394" s="797"/>
      <c r="G394" s="797"/>
      <c r="H394" s="797"/>
      <c r="I394" s="797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7" t="s">
        <v>53</v>
      </c>
      <c r="B401" s="797"/>
      <c r="C401" s="797"/>
      <c r="D401" s="797"/>
      <c r="E401" s="797"/>
      <c r="F401" s="797"/>
      <c r="G401" s="797"/>
      <c r="H401" s="797"/>
      <c r="I401" s="797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0" t="s">
        <v>229</v>
      </c>
      <c r="B405" s="1033" t="s">
        <v>1805</v>
      </c>
      <c r="C405" s="1033" t="s">
        <v>700</v>
      </c>
      <c r="D405" s="1029" t="s">
        <v>675</v>
      </c>
      <c r="E405" s="1033" t="s">
        <v>1806</v>
      </c>
      <c r="F405" s="1033" t="s">
        <v>1807</v>
      </c>
      <c r="G405" s="1033" t="s">
        <v>662</v>
      </c>
      <c r="H405" s="1034" t="s">
        <v>1808</v>
      </c>
      <c r="I405" s="1029"/>
      <c r="J405" s="1034">
        <v>1</v>
      </c>
      <c r="K405" s="1022" t="s">
        <v>631</v>
      </c>
      <c r="L405" s="817" t="s">
        <v>51</v>
      </c>
    </row>
    <row r="406" spans="1:12" ht="13.5" customHeight="1">
      <c r="A406" s="1040"/>
      <c r="B406" s="1033"/>
      <c r="C406" s="1033"/>
      <c r="D406" s="1029"/>
      <c r="E406" s="1033"/>
      <c r="F406" s="1033"/>
      <c r="G406" s="1033"/>
      <c r="H406" s="1034"/>
      <c r="I406" s="1029"/>
      <c r="J406" s="1034"/>
      <c r="K406" s="1024"/>
      <c r="L406" s="819"/>
    </row>
    <row r="407" spans="1:12" ht="27" customHeight="1">
      <c r="A407" s="10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40" t="s">
        <v>1646</v>
      </c>
      <c r="B409" s="1040"/>
      <c r="C409" s="1040"/>
      <c r="D409" s="1040"/>
      <c r="E409" s="1040"/>
      <c r="F409" s="1040"/>
      <c r="G409" s="1040"/>
      <c r="H409" s="1040"/>
      <c r="I409" s="104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0" t="s">
        <v>2008</v>
      </c>
      <c r="B412" s="1045" t="s">
        <v>2009</v>
      </c>
      <c r="C412" s="1022" t="s">
        <v>21</v>
      </c>
      <c r="D412" s="893" t="s">
        <v>14</v>
      </c>
      <c r="E412" s="1022" t="s">
        <v>78</v>
      </c>
      <c r="F412" s="1033" t="s">
        <v>2010</v>
      </c>
      <c r="G412" s="1033" t="s">
        <v>40</v>
      </c>
      <c r="H412" s="1034" t="s">
        <v>614</v>
      </c>
      <c r="I412" s="1029"/>
      <c r="J412" s="1034">
        <v>1</v>
      </c>
      <c r="K412" s="1022" t="s">
        <v>2011</v>
      </c>
      <c r="L412" s="817" t="s">
        <v>1997</v>
      </c>
    </row>
    <row r="413" spans="1:12" ht="20.100000000000001" customHeight="1">
      <c r="A413" s="1040"/>
      <c r="B413" s="1033"/>
      <c r="C413" s="1024"/>
      <c r="D413" s="895"/>
      <c r="E413" s="1024"/>
      <c r="F413" s="1033"/>
      <c r="G413" s="1033"/>
      <c r="H413" s="1034"/>
      <c r="I413" s="1029"/>
      <c r="J413" s="1034"/>
      <c r="K413" s="1024"/>
      <c r="L413" s="819"/>
    </row>
    <row r="414" spans="1:12" ht="20.100000000000001" customHeight="1">
      <c r="A414" s="1040" t="s">
        <v>1646</v>
      </c>
      <c r="B414" s="1040"/>
      <c r="C414" s="1040"/>
      <c r="D414" s="1040"/>
      <c r="E414" s="1040"/>
      <c r="F414" s="1040"/>
      <c r="G414" s="1040"/>
      <c r="H414" s="1040"/>
      <c r="I414" s="104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8"/>
      <c r="B418" s="78" t="s">
        <v>1748</v>
      </c>
      <c r="C418" s="1029" t="s">
        <v>306</v>
      </c>
      <c r="D418" s="1029" t="s">
        <v>322</v>
      </c>
      <c r="E418" s="1029" t="s">
        <v>307</v>
      </c>
      <c r="F418" s="1034">
        <v>3306</v>
      </c>
      <c r="G418" s="1029" t="s">
        <v>1153</v>
      </c>
      <c r="H418" s="1034" t="s">
        <v>1749</v>
      </c>
      <c r="I418" s="1029" t="s">
        <v>664</v>
      </c>
      <c r="J418" s="1029">
        <v>4</v>
      </c>
      <c r="K418" s="1022" t="s">
        <v>631</v>
      </c>
      <c r="L418" s="817" t="s">
        <v>51</v>
      </c>
    </row>
    <row r="419" spans="1:12" ht="13.5" customHeight="1">
      <c r="A419" s="818"/>
      <c r="B419" s="79" t="s">
        <v>1751</v>
      </c>
      <c r="C419" s="1029"/>
      <c r="D419" s="1029"/>
      <c r="E419" s="1029"/>
      <c r="F419" s="1034"/>
      <c r="G419" s="1029"/>
      <c r="H419" s="1034"/>
      <c r="I419" s="1029"/>
      <c r="J419" s="1029"/>
      <c r="K419" s="1024"/>
      <c r="L419" s="819"/>
    </row>
    <row r="420" spans="1:12" ht="13.5" customHeight="1">
      <c r="A420" s="818"/>
      <c r="B420" s="78" t="s">
        <v>1800</v>
      </c>
      <c r="C420" s="1029" t="s">
        <v>306</v>
      </c>
      <c r="D420" s="1029" t="s">
        <v>322</v>
      </c>
      <c r="E420" s="1029" t="s">
        <v>307</v>
      </c>
      <c r="F420" s="1034" t="s">
        <v>1801</v>
      </c>
      <c r="G420" s="1029" t="s">
        <v>1802</v>
      </c>
      <c r="H420" s="1034" t="s">
        <v>1803</v>
      </c>
      <c r="I420" s="1029" t="s">
        <v>664</v>
      </c>
      <c r="J420" s="1029">
        <v>5</v>
      </c>
      <c r="K420" s="1022" t="s">
        <v>631</v>
      </c>
      <c r="L420" s="817" t="s">
        <v>51</v>
      </c>
    </row>
    <row r="421" spans="1:12" ht="13.5" customHeight="1">
      <c r="A421" s="818"/>
      <c r="B421" s="79" t="s">
        <v>1795</v>
      </c>
      <c r="C421" s="1029"/>
      <c r="D421" s="1029"/>
      <c r="E421" s="1029"/>
      <c r="F421" s="1034"/>
      <c r="G421" s="1029"/>
      <c r="H421" s="1034"/>
      <c r="I421" s="1029"/>
      <c r="J421" s="1029"/>
      <c r="K421" s="1024"/>
      <c r="L421" s="819"/>
    </row>
    <row r="422" spans="1:12" ht="27" customHeight="1">
      <c r="A422" s="81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40" t="s">
        <v>1646</v>
      </c>
      <c r="B423" s="1040"/>
      <c r="C423" s="1040"/>
      <c r="D423" s="1040"/>
      <c r="E423" s="1040"/>
      <c r="F423" s="1040"/>
      <c r="G423" s="1040"/>
      <c r="H423" s="1040"/>
      <c r="I423" s="104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7" t="s">
        <v>1646</v>
      </c>
      <c r="B431" s="797"/>
      <c r="C431" s="797"/>
      <c r="D431" s="797"/>
      <c r="E431" s="797"/>
      <c r="F431" s="797"/>
      <c r="G431" s="797"/>
      <c r="H431" s="797"/>
      <c r="I431" s="797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7" t="s">
        <v>1646</v>
      </c>
      <c r="B435" s="797"/>
      <c r="C435" s="797"/>
      <c r="D435" s="797"/>
      <c r="E435" s="797"/>
      <c r="F435" s="797"/>
      <c r="G435" s="797"/>
      <c r="H435" s="797"/>
      <c r="I435" s="797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8" t="s">
        <v>306</v>
      </c>
      <c r="D438" s="898" t="s">
        <v>322</v>
      </c>
      <c r="E438" s="898" t="s">
        <v>307</v>
      </c>
      <c r="F438" s="1041" t="s">
        <v>1761</v>
      </c>
      <c r="G438" s="898" t="s">
        <v>329</v>
      </c>
      <c r="H438" s="1043" t="s">
        <v>1762</v>
      </c>
      <c r="I438" s="881" t="s">
        <v>664</v>
      </c>
      <c r="J438" s="1038">
        <v>2</v>
      </c>
      <c r="K438" s="1022" t="s">
        <v>1996</v>
      </c>
      <c r="L438" s="1022" t="s">
        <v>51</v>
      </c>
    </row>
    <row r="439" spans="1:12" ht="13.5" customHeight="1">
      <c r="A439" s="833"/>
      <c r="B439" s="253" t="s">
        <v>2028</v>
      </c>
      <c r="C439" s="899"/>
      <c r="D439" s="899"/>
      <c r="E439" s="899"/>
      <c r="F439" s="1042"/>
      <c r="G439" s="899"/>
      <c r="H439" s="1044"/>
      <c r="I439" s="882"/>
      <c r="J439" s="1039"/>
      <c r="K439" s="1024"/>
      <c r="L439" s="1024"/>
    </row>
    <row r="440" spans="1:12" ht="13.5" customHeight="1">
      <c r="A440" s="833"/>
      <c r="B440" s="254" t="s">
        <v>1794</v>
      </c>
      <c r="C440" s="950" t="s">
        <v>306</v>
      </c>
      <c r="D440" s="950" t="s">
        <v>322</v>
      </c>
      <c r="E440" s="950" t="s">
        <v>307</v>
      </c>
      <c r="F440" s="952" t="s">
        <v>1796</v>
      </c>
      <c r="G440" s="950" t="s">
        <v>1797</v>
      </c>
      <c r="H440" s="952" t="s">
        <v>1792</v>
      </c>
      <c r="I440" s="950" t="s">
        <v>664</v>
      </c>
      <c r="J440" s="810">
        <v>4</v>
      </c>
      <c r="K440" s="1022" t="s">
        <v>631</v>
      </c>
      <c r="L440" s="1022" t="s">
        <v>1997</v>
      </c>
    </row>
    <row r="441" spans="1:12" ht="13.5" customHeight="1">
      <c r="A441" s="833"/>
      <c r="B441" s="255" t="s">
        <v>1795</v>
      </c>
      <c r="C441" s="950"/>
      <c r="D441" s="950"/>
      <c r="E441" s="950"/>
      <c r="F441" s="952"/>
      <c r="G441" s="950"/>
      <c r="H441" s="952"/>
      <c r="I441" s="950"/>
      <c r="J441" s="811"/>
      <c r="K441" s="1024"/>
      <c r="L441" s="1024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5" t="s">
        <v>1646</v>
      </c>
      <c r="B450" s="1026"/>
      <c r="C450" s="1026"/>
      <c r="D450" s="1026"/>
      <c r="E450" s="1026"/>
      <c r="F450" s="1026"/>
      <c r="G450" s="1026"/>
      <c r="H450" s="1026"/>
      <c r="I450" s="1026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7" t="s">
        <v>2059</v>
      </c>
      <c r="B459" s="807"/>
      <c r="C459" s="807"/>
      <c r="D459" s="807"/>
      <c r="E459" s="807"/>
      <c r="F459" s="807"/>
      <c r="G459" s="807"/>
      <c r="H459" s="807"/>
      <c r="I459" s="80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6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93" t="s">
        <v>631</v>
      </c>
      <c r="L463" s="925" t="s">
        <v>51</v>
      </c>
    </row>
    <row r="464" spans="1:12" ht="13.5" customHeight="1">
      <c r="A464" s="1036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95"/>
      <c r="L464" s="926"/>
    </row>
    <row r="465" spans="1:12" ht="13.5" customHeight="1">
      <c r="A465" s="1036"/>
      <c r="B465" s="1032" t="s">
        <v>1813</v>
      </c>
      <c r="C465" s="1033" t="s">
        <v>700</v>
      </c>
      <c r="D465" s="1029" t="s">
        <v>320</v>
      </c>
      <c r="E465" s="1029" t="s">
        <v>337</v>
      </c>
      <c r="F465" s="1033" t="s">
        <v>353</v>
      </c>
      <c r="G465" s="1033" t="s">
        <v>1814</v>
      </c>
      <c r="H465" s="1034" t="s">
        <v>1815</v>
      </c>
      <c r="I465" s="1029" t="s">
        <v>638</v>
      </c>
      <c r="J465" s="1034">
        <v>2</v>
      </c>
      <c r="K465" s="1022" t="s">
        <v>631</v>
      </c>
      <c r="L465" s="1022" t="s">
        <v>51</v>
      </c>
    </row>
    <row r="466" spans="1:12" ht="13.5" customHeight="1">
      <c r="A466" s="1036"/>
      <c r="B466" s="1032"/>
      <c r="C466" s="1033"/>
      <c r="D466" s="1029"/>
      <c r="E466" s="1029"/>
      <c r="F466" s="1033"/>
      <c r="G466" s="1033"/>
      <c r="H466" s="1034"/>
      <c r="I466" s="1029"/>
      <c r="J466" s="1034"/>
      <c r="K466" s="1024"/>
      <c r="L466" s="1024"/>
    </row>
    <row r="467" spans="1:12" ht="27" customHeight="1">
      <c r="A467" s="103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6"/>
      <c r="B468" s="1033" t="s">
        <v>1820</v>
      </c>
      <c r="C468" s="1033" t="s">
        <v>700</v>
      </c>
      <c r="D468" s="1029" t="s">
        <v>320</v>
      </c>
      <c r="E468" s="1029" t="s">
        <v>709</v>
      </c>
      <c r="F468" s="1029" t="s">
        <v>1768</v>
      </c>
      <c r="G468" s="1033" t="s">
        <v>1821</v>
      </c>
      <c r="H468" s="261" t="s">
        <v>1822</v>
      </c>
      <c r="I468" s="1029" t="s">
        <v>638</v>
      </c>
      <c r="J468" s="1029">
        <v>2</v>
      </c>
      <c r="K468" s="1022" t="s">
        <v>631</v>
      </c>
      <c r="L468" s="1022" t="s">
        <v>51</v>
      </c>
    </row>
    <row r="469" spans="1:12" ht="13.5" customHeight="1">
      <c r="A469" s="1036"/>
      <c r="B469" s="1033"/>
      <c r="C469" s="1033"/>
      <c r="D469" s="1029"/>
      <c r="E469" s="1029"/>
      <c r="F469" s="1029"/>
      <c r="G469" s="1033"/>
      <c r="H469" s="262" t="s">
        <v>1823</v>
      </c>
      <c r="I469" s="1029"/>
      <c r="J469" s="1029"/>
      <c r="K469" s="1024"/>
      <c r="L469" s="1024"/>
    </row>
    <row r="470" spans="1:12" ht="27" customHeight="1">
      <c r="A470" s="103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7" t="s">
        <v>53</v>
      </c>
      <c r="B472" s="797"/>
      <c r="C472" s="797"/>
      <c r="D472" s="797"/>
      <c r="E472" s="797"/>
      <c r="F472" s="797"/>
      <c r="G472" s="797"/>
      <c r="H472" s="797"/>
      <c r="I472" s="797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7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93" t="s">
        <v>631</v>
      </c>
      <c r="L476" s="925" t="s">
        <v>51</v>
      </c>
    </row>
    <row r="477" spans="1:12" ht="13.5" customHeight="1">
      <c r="A477" s="797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95"/>
      <c r="L477" s="926"/>
    </row>
    <row r="478" spans="1:12" ht="27" customHeight="1">
      <c r="A478" s="79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7" t="s">
        <v>1646</v>
      </c>
      <c r="B479" s="797"/>
      <c r="C479" s="797"/>
      <c r="D479" s="797"/>
      <c r="E479" s="797"/>
      <c r="F479" s="797"/>
      <c r="G479" s="797"/>
      <c r="H479" s="797"/>
      <c r="I479" s="797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5" t="s">
        <v>53</v>
      </c>
      <c r="B487" s="1026"/>
      <c r="C487" s="1026"/>
      <c r="D487" s="1026"/>
      <c r="E487" s="1026"/>
      <c r="F487" s="1026"/>
      <c r="G487" s="1026"/>
      <c r="H487" s="1026"/>
      <c r="I487" s="102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1"/>
      <c r="B494" s="1019" t="s">
        <v>2182</v>
      </c>
      <c r="C494" s="1019" t="s">
        <v>306</v>
      </c>
      <c r="D494" s="1019" t="s">
        <v>322</v>
      </c>
      <c r="E494" s="1019" t="s">
        <v>307</v>
      </c>
      <c r="F494" s="1028" t="s">
        <v>1919</v>
      </c>
      <c r="G494" s="1019" t="s">
        <v>662</v>
      </c>
      <c r="H494" s="1028" t="s">
        <v>1920</v>
      </c>
      <c r="I494" s="1019" t="s">
        <v>349</v>
      </c>
      <c r="J494" s="1019">
        <v>2</v>
      </c>
      <c r="K494" s="1033" t="s">
        <v>50</v>
      </c>
      <c r="L494" s="222">
        <v>23</v>
      </c>
    </row>
    <row r="495" spans="1:12" ht="12.6" customHeight="1">
      <c r="A495" s="1021"/>
      <c r="B495" s="1019"/>
      <c r="C495" s="1019"/>
      <c r="D495" s="1019"/>
      <c r="E495" s="1019"/>
      <c r="F495" s="1028"/>
      <c r="G495" s="1019"/>
      <c r="H495" s="1028"/>
      <c r="I495" s="1019"/>
      <c r="J495" s="1019"/>
      <c r="K495" s="1033"/>
    </row>
    <row r="496" spans="1:12" ht="24.95" customHeight="1">
      <c r="A496" s="102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7" t="s">
        <v>53</v>
      </c>
      <c r="B500" s="797"/>
      <c r="C500" s="797"/>
      <c r="D500" s="797"/>
      <c r="E500" s="797"/>
      <c r="F500" s="797"/>
      <c r="G500" s="797"/>
      <c r="H500" s="797"/>
      <c r="I500" s="797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7" t="s">
        <v>2217</v>
      </c>
      <c r="B511" s="797"/>
      <c r="C511" s="797"/>
      <c r="D511" s="797"/>
      <c r="E511" s="797"/>
      <c r="F511" s="797"/>
      <c r="G511" s="797"/>
      <c r="H511" s="797"/>
      <c r="I511" s="797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7" t="s">
        <v>2233</v>
      </c>
      <c r="B522" s="807"/>
      <c r="C522" s="807"/>
      <c r="D522" s="807"/>
      <c r="E522" s="807"/>
      <c r="F522" s="807"/>
      <c r="G522" s="807"/>
      <c r="H522" s="807"/>
      <c r="I522" s="80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7" t="s">
        <v>2238</v>
      </c>
      <c r="B528" s="797"/>
      <c r="C528" s="797"/>
      <c r="D528" s="797"/>
      <c r="E528" s="797"/>
      <c r="F528" s="797"/>
      <c r="G528" s="797"/>
      <c r="H528" s="797"/>
      <c r="I528" s="797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7" t="s">
        <v>2233</v>
      </c>
      <c r="B535" s="797"/>
      <c r="C535" s="797"/>
      <c r="D535" s="797"/>
      <c r="E535" s="797"/>
      <c r="F535" s="797"/>
      <c r="G535" s="797"/>
      <c r="H535" s="797"/>
      <c r="I535" s="797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5" t="s">
        <v>2238</v>
      </c>
      <c r="B540" s="1026"/>
      <c r="C540" s="1026"/>
      <c r="D540" s="1026"/>
      <c r="E540" s="1026"/>
      <c r="F540" s="1026"/>
      <c r="G540" s="1026"/>
      <c r="H540" s="1026"/>
      <c r="I540" s="102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0" t="s">
        <v>2233</v>
      </c>
      <c r="B546" s="1040"/>
      <c r="C546" s="1040"/>
      <c r="D546" s="1040"/>
      <c r="E546" s="1040"/>
      <c r="F546" s="1040"/>
      <c r="G546" s="1040"/>
      <c r="H546" s="1040"/>
      <c r="I546" s="104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7" t="s">
        <v>2233</v>
      </c>
      <c r="B550" s="797"/>
      <c r="C550" s="797"/>
      <c r="D550" s="797"/>
      <c r="E550" s="797"/>
      <c r="F550" s="797"/>
      <c r="G550" s="797"/>
      <c r="H550" s="797"/>
      <c r="I550" s="797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7" t="s">
        <v>2233</v>
      </c>
      <c r="B565" s="797"/>
      <c r="C565" s="797"/>
      <c r="D565" s="797"/>
      <c r="E565" s="797"/>
      <c r="F565" s="797"/>
      <c r="G565" s="797"/>
      <c r="H565" s="797"/>
      <c r="I565" s="797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1" t="s">
        <v>306</v>
      </c>
      <c r="D569" s="841" t="s">
        <v>322</v>
      </c>
      <c r="E569" s="841" t="s">
        <v>307</v>
      </c>
      <c r="F569" s="841">
        <v>3306</v>
      </c>
      <c r="G569" s="841" t="s">
        <v>1153</v>
      </c>
      <c r="H569" s="841" t="s">
        <v>1907</v>
      </c>
      <c r="I569" s="841" t="s">
        <v>1111</v>
      </c>
      <c r="J569" s="841" t="s">
        <v>692</v>
      </c>
      <c r="K569" s="1071" t="s">
        <v>2291</v>
      </c>
    </row>
    <row r="570" spans="1:12">
      <c r="B570" s="243" t="s">
        <v>1909</v>
      </c>
      <c r="C570" s="842"/>
      <c r="D570" s="842"/>
      <c r="E570" s="842"/>
      <c r="F570" s="842"/>
      <c r="G570" s="842"/>
      <c r="H570" s="842"/>
      <c r="I570" s="842"/>
      <c r="J570" s="842"/>
      <c r="K570" s="107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7" t="s">
        <v>1458</v>
      </c>
      <c r="B582" s="797"/>
      <c r="C582" s="797"/>
      <c r="D582" s="797"/>
      <c r="E582" s="797"/>
      <c r="F582" s="797"/>
      <c r="G582" s="797"/>
      <c r="H582" s="797"/>
      <c r="I582" s="797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7" t="s">
        <v>2393</v>
      </c>
      <c r="B588" s="797"/>
      <c r="C588" s="797"/>
      <c r="D588" s="797"/>
      <c r="E588" s="797"/>
      <c r="F588" s="797"/>
      <c r="G588" s="797"/>
      <c r="H588" s="797"/>
      <c r="I588" s="797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7" t="s">
        <v>2406</v>
      </c>
      <c r="B592" s="807"/>
      <c r="C592" s="807"/>
      <c r="D592" s="807"/>
      <c r="E592" s="807"/>
      <c r="F592" s="807"/>
      <c r="G592" s="807"/>
      <c r="H592" s="807"/>
      <c r="I592" s="80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7" t="s">
        <v>2406</v>
      </c>
      <c r="B601" s="807"/>
      <c r="C601" s="807"/>
      <c r="D601" s="807"/>
      <c r="E601" s="807"/>
      <c r="F601" s="807"/>
      <c r="G601" s="807"/>
      <c r="H601" s="807"/>
      <c r="I601" s="80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7" t="s">
        <v>2437</v>
      </c>
      <c r="B606" s="797"/>
      <c r="C606" s="797"/>
      <c r="D606" s="797"/>
      <c r="E606" s="797"/>
      <c r="F606" s="797"/>
      <c r="G606" s="797"/>
      <c r="H606" s="797"/>
      <c r="I606" s="797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7" t="s">
        <v>2406</v>
      </c>
      <c r="B613" s="797"/>
      <c r="C613" s="797"/>
      <c r="D613" s="797"/>
      <c r="E613" s="797"/>
      <c r="F613" s="797"/>
      <c r="G613" s="797"/>
      <c r="H613" s="797"/>
      <c r="I613" s="797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7" t="s">
        <v>2406</v>
      </c>
      <c r="B627" s="797"/>
      <c r="C627" s="797"/>
      <c r="D627" s="797"/>
      <c r="E627" s="797"/>
      <c r="F627" s="797"/>
      <c r="G627" s="797"/>
      <c r="H627" s="797"/>
      <c r="I627" s="797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4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4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4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4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4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4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4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4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4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4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4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4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4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4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6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6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6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7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8" t="s">
        <v>1646</v>
      </c>
      <c r="B655" s="1018"/>
      <c r="C655" s="1018"/>
      <c r="D655" s="1018"/>
      <c r="E655" s="1018"/>
      <c r="F655" s="1018"/>
      <c r="G655" s="1018"/>
      <c r="H655" s="1018"/>
      <c r="I655" s="1018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8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8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8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8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8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8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8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8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8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8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8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8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8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8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8" t="s">
        <v>1646</v>
      </c>
      <c r="B674" s="1018"/>
      <c r="C674" s="1018"/>
      <c r="D674" s="1018"/>
      <c r="E674" s="1018"/>
      <c r="F674" s="1018"/>
      <c r="G674" s="1018"/>
      <c r="H674" s="1018"/>
      <c r="I674" s="1018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8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8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8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8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8" t="s">
        <v>1646</v>
      </c>
      <c r="B681" s="1018"/>
      <c r="C681" s="1018"/>
      <c r="D681" s="1018"/>
      <c r="E681" s="1018"/>
      <c r="F681" s="1018"/>
      <c r="G681" s="1018"/>
      <c r="H681" s="1018"/>
      <c r="I681" s="1018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13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13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13" t="s">
        <v>1646</v>
      </c>
      <c r="B688" s="1013"/>
      <c r="C688" s="1013"/>
      <c r="D688" s="1013"/>
      <c r="E688" s="1013"/>
      <c r="F688" s="1013"/>
      <c r="G688" s="1013"/>
      <c r="H688" s="1013"/>
      <c r="I688" s="1013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4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4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4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4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4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4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4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13" t="s">
        <v>1646</v>
      </c>
      <c r="B699" s="1013"/>
      <c r="C699" s="1013"/>
      <c r="D699" s="1013"/>
      <c r="E699" s="1013"/>
      <c r="F699" s="1013"/>
      <c r="G699" s="1013"/>
      <c r="H699" s="1013"/>
      <c r="I699" s="1013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9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9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9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9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9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9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9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9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9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9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9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9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9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70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7" t="s">
        <v>1646</v>
      </c>
      <c r="B717" s="1007"/>
      <c r="C717" s="1007"/>
      <c r="D717" s="1007"/>
      <c r="E717" s="1007"/>
      <c r="F717" s="1007"/>
      <c r="G717" s="1007"/>
      <c r="H717" s="1007"/>
      <c r="I717" s="1007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1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7" t="s">
        <v>1646</v>
      </c>
      <c r="B731" s="1007"/>
      <c r="C731" s="1007"/>
      <c r="D731" s="1007"/>
      <c r="E731" s="1007"/>
      <c r="F731" s="1007"/>
      <c r="G731" s="1007"/>
      <c r="H731" s="1007"/>
      <c r="I731" s="1007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1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1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1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1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1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1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1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1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1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1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1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1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1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7" t="s">
        <v>1646</v>
      </c>
      <c r="B749" s="1007"/>
      <c r="C749" s="1007"/>
      <c r="D749" s="1007"/>
      <c r="E749" s="1007"/>
      <c r="F749" s="1007"/>
      <c r="G749" s="1007"/>
      <c r="H749" s="1007"/>
      <c r="I749" s="1007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8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9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9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9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9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9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9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9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12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00" t="s">
        <v>1646</v>
      </c>
      <c r="B762" s="1000"/>
      <c r="C762" s="1000"/>
      <c r="D762" s="1000"/>
      <c r="E762" s="1000"/>
      <c r="F762" s="1000"/>
      <c r="G762" s="1000"/>
      <c r="H762" s="1000"/>
      <c r="I762" s="100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03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4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4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4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5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1000" t="s">
        <v>1646</v>
      </c>
      <c r="B770" s="1000"/>
      <c r="C770" s="1000"/>
      <c r="D770" s="1000"/>
      <c r="E770" s="1000"/>
      <c r="F770" s="1000"/>
      <c r="G770" s="1000"/>
      <c r="H770" s="1000"/>
      <c r="I770" s="100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6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6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6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6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6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00" t="s">
        <v>1646</v>
      </c>
      <c r="B778" s="1000"/>
      <c r="C778" s="1000"/>
      <c r="D778" s="1000"/>
      <c r="E778" s="1000"/>
      <c r="F778" s="1000"/>
      <c r="G778" s="1000"/>
      <c r="H778" s="1000"/>
      <c r="I778" s="100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6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6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6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6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6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6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6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6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00" t="s">
        <v>1646</v>
      </c>
      <c r="B790" s="1000"/>
      <c r="C790" s="1000"/>
      <c r="D790" s="1000"/>
      <c r="E790" s="1000"/>
      <c r="F790" s="1000"/>
      <c r="G790" s="1000"/>
      <c r="H790" s="1000"/>
      <c r="I790" s="100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8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9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9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9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9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9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9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9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1000" t="s">
        <v>1646</v>
      </c>
      <c r="B802" s="1000"/>
      <c r="C802" s="1000"/>
      <c r="D802" s="1000"/>
      <c r="E802" s="1000"/>
      <c r="F802" s="1000"/>
      <c r="G802" s="1000"/>
      <c r="H802" s="1000"/>
      <c r="I802" s="100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01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1002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02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02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1002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1002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1000" t="s">
        <v>1646</v>
      </c>
      <c r="B812" s="1000"/>
      <c r="C812" s="1000"/>
      <c r="D812" s="1000"/>
      <c r="E812" s="1000"/>
      <c r="F812" s="1000"/>
      <c r="G812" s="1000"/>
      <c r="H812" s="1000"/>
      <c r="I812" s="100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7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7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1000" t="s">
        <v>1646</v>
      </c>
      <c r="B819" s="1000"/>
      <c r="C819" s="1000"/>
      <c r="D819" s="1000"/>
      <c r="E819" s="1000"/>
      <c r="F819" s="1000"/>
      <c r="G819" s="1000"/>
      <c r="H819" s="1000"/>
      <c r="I819" s="1000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1003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4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4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4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4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4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4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4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4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5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1000" t="s">
        <v>1646</v>
      </c>
      <c r="B834" s="1000"/>
      <c r="C834" s="1000"/>
      <c r="D834" s="1000"/>
      <c r="E834" s="1000"/>
      <c r="F834" s="1000"/>
      <c r="G834" s="1000"/>
      <c r="H834" s="1000"/>
      <c r="I834" s="1000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1003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4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5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1000" t="s">
        <v>1646</v>
      </c>
      <c r="B841" s="1000"/>
      <c r="C841" s="1000"/>
      <c r="D841" s="1000"/>
      <c r="E841" s="1000"/>
      <c r="F841" s="1000"/>
      <c r="G841" s="1000"/>
      <c r="H841" s="1000"/>
      <c r="I841" s="1000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7" t="s">
        <v>5385</v>
      </c>
      <c r="I12" s="807"/>
      <c r="J12" s="807"/>
      <c r="K12" s="807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7" t="s">
        <v>5386</v>
      </c>
      <c r="I20" s="807"/>
      <c r="J20" s="807"/>
      <c r="K20" s="807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8" t="s">
        <v>2</v>
      </c>
      <c r="B23" s="788" t="s">
        <v>6136</v>
      </c>
      <c r="C23" s="788" t="s">
        <v>6137</v>
      </c>
    </row>
    <row r="24" spans="1:13">
      <c r="A24" s="788" t="s">
        <v>6138</v>
      </c>
      <c r="B24" s="787">
        <v>10500000</v>
      </c>
      <c r="C24" s="788" t="s">
        <v>6139</v>
      </c>
    </row>
    <row r="25" spans="1:13">
      <c r="A25" s="788" t="s">
        <v>6140</v>
      </c>
      <c r="B25" s="787">
        <v>4500000</v>
      </c>
      <c r="C25" s="788" t="s">
        <v>6141</v>
      </c>
    </row>
    <row r="26" spans="1:13">
      <c r="A26" s="788" t="s">
        <v>6142</v>
      </c>
      <c r="B26" s="787">
        <v>15000000</v>
      </c>
      <c r="C26" s="788" t="s">
        <v>6143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8" t="s">
        <v>6167</v>
      </c>
      <c r="E4" s="1074" t="s">
        <v>6168</v>
      </c>
      <c r="F4" s="1074" t="s">
        <v>6</v>
      </c>
      <c r="G4" s="1074" t="s">
        <v>6169</v>
      </c>
      <c r="H4" s="1074" t="s">
        <v>6170</v>
      </c>
      <c r="I4" s="1074" t="s">
        <v>6171</v>
      </c>
    </row>
    <row r="5" spans="4:9" ht="66">
      <c r="D5" s="1079">
        <v>5</v>
      </c>
      <c r="E5" s="1076">
        <v>45701</v>
      </c>
      <c r="F5" s="1077" t="s">
        <v>6172</v>
      </c>
      <c r="G5" s="1077" t="s">
        <v>6173</v>
      </c>
      <c r="H5" s="1077" t="s">
        <v>6174</v>
      </c>
      <c r="I5" s="1077" t="s">
        <v>6175</v>
      </c>
    </row>
    <row r="6" spans="4:9" ht="82.5">
      <c r="D6" s="1079">
        <v>51</v>
      </c>
      <c r="E6" s="1076">
        <v>45746</v>
      </c>
      <c r="F6" s="1077" t="s">
        <v>6176</v>
      </c>
      <c r="G6" s="1077" t="s">
        <v>6177</v>
      </c>
      <c r="H6" s="1077" t="s">
        <v>6178</v>
      </c>
      <c r="I6" s="1077" t="s">
        <v>6179</v>
      </c>
    </row>
    <row r="7" spans="4:9" ht="49.5">
      <c r="D7" s="1079">
        <v>61</v>
      </c>
      <c r="E7" s="1076">
        <v>45783</v>
      </c>
      <c r="F7" s="1077" t="s">
        <v>6180</v>
      </c>
      <c r="G7" s="1077" t="s">
        <v>6181</v>
      </c>
      <c r="H7" s="1077" t="s">
        <v>6182</v>
      </c>
      <c r="I7" s="1077" t="s">
        <v>6183</v>
      </c>
    </row>
    <row r="8" spans="4:9" ht="66">
      <c r="D8" s="1079">
        <v>87</v>
      </c>
      <c r="E8" s="1076">
        <v>45859</v>
      </c>
      <c r="F8" s="1077" t="s">
        <v>6184</v>
      </c>
      <c r="G8" s="1077" t="s">
        <v>6185</v>
      </c>
      <c r="H8" s="1077" t="s">
        <v>6186</v>
      </c>
      <c r="I8" s="1077" t="s">
        <v>6187</v>
      </c>
    </row>
    <row r="9" spans="4:9" ht="49.5">
      <c r="D9" s="1079">
        <v>88</v>
      </c>
      <c r="E9" s="1076">
        <v>45859</v>
      </c>
      <c r="F9" s="1077" t="s">
        <v>6188</v>
      </c>
      <c r="G9" s="1077" t="s">
        <v>6189</v>
      </c>
      <c r="H9" s="1077" t="s">
        <v>6190</v>
      </c>
      <c r="I9" s="1077" t="s">
        <v>6191</v>
      </c>
    </row>
    <row r="10" spans="4:9" ht="33">
      <c r="D10" s="1079">
        <v>96</v>
      </c>
      <c r="E10" s="1076">
        <v>45872</v>
      </c>
      <c r="F10" s="1077" t="s">
        <v>6192</v>
      </c>
      <c r="G10" s="1077" t="s">
        <v>6193</v>
      </c>
      <c r="H10" s="1077" t="s">
        <v>6194</v>
      </c>
      <c r="I10" s="1077" t="s">
        <v>6195</v>
      </c>
    </row>
    <row r="11" spans="4:9" ht="49.5">
      <c r="D11" s="1079">
        <v>114</v>
      </c>
      <c r="E11" s="1076">
        <v>45899</v>
      </c>
      <c r="F11" s="1077" t="s">
        <v>6192</v>
      </c>
      <c r="G11" s="1077" t="s">
        <v>6196</v>
      </c>
      <c r="H11" s="1077" t="s">
        <v>6197</v>
      </c>
      <c r="I11" s="1077" t="s">
        <v>6198</v>
      </c>
    </row>
    <row r="12" spans="4:9" ht="49.5">
      <c r="D12" s="1079">
        <v>130</v>
      </c>
      <c r="E12" s="1075" t="s">
        <v>6199</v>
      </c>
      <c r="F12" s="1077" t="s">
        <v>6200</v>
      </c>
      <c r="G12" s="1077" t="s">
        <v>6201</v>
      </c>
      <c r="H12" s="1077" t="s">
        <v>6202</v>
      </c>
      <c r="I12" s="1077" t="s">
        <v>6203</v>
      </c>
    </row>
    <row r="13" spans="4:9" ht="33">
      <c r="D13" s="1079">
        <v>150</v>
      </c>
      <c r="E13" s="1075" t="s">
        <v>6199</v>
      </c>
      <c r="F13" s="1077" t="s">
        <v>6204</v>
      </c>
      <c r="G13" s="1077" t="s">
        <v>6205</v>
      </c>
      <c r="H13" s="1077" t="s">
        <v>6206</v>
      </c>
      <c r="I13" s="1077" t="s">
        <v>6207</v>
      </c>
    </row>
    <row r="14" spans="4:9" ht="33">
      <c r="D14" s="1079">
        <v>158</v>
      </c>
      <c r="E14" s="1075" t="s">
        <v>6199</v>
      </c>
      <c r="F14" s="1077" t="s">
        <v>6208</v>
      </c>
      <c r="G14" s="1077" t="s">
        <v>6209</v>
      </c>
      <c r="H14" s="1077" t="s">
        <v>6210</v>
      </c>
      <c r="I14" s="1077" t="s">
        <v>6211</v>
      </c>
    </row>
    <row r="15" spans="4:9" ht="66">
      <c r="D15" s="1079">
        <v>166</v>
      </c>
      <c r="E15" s="1076">
        <v>46051</v>
      </c>
      <c r="F15" s="1077" t="s">
        <v>6212</v>
      </c>
      <c r="G15" s="1077" t="s">
        <v>6213</v>
      </c>
      <c r="H15" s="1077" t="s">
        <v>6214</v>
      </c>
      <c r="I15" s="1077" t="s">
        <v>6215</v>
      </c>
    </row>
    <row r="16" spans="4:9" ht="49.5">
      <c r="D16" s="1079">
        <v>168</v>
      </c>
      <c r="E16" s="1075" t="s">
        <v>6199</v>
      </c>
      <c r="F16" s="1077" t="s">
        <v>6216</v>
      </c>
      <c r="G16" s="1077" t="s">
        <v>6217</v>
      </c>
      <c r="H16" s="1077" t="s">
        <v>6218</v>
      </c>
      <c r="I16" s="1077" t="s">
        <v>6219</v>
      </c>
    </row>
    <row r="17" spans="4:9" ht="33">
      <c r="D17" s="1079">
        <v>176</v>
      </c>
      <c r="E17" s="1075" t="s">
        <v>6199</v>
      </c>
      <c r="F17" s="1077" t="s">
        <v>6220</v>
      </c>
      <c r="G17" s="1077" t="s">
        <v>6221</v>
      </c>
      <c r="H17" s="1077" t="s">
        <v>6222</v>
      </c>
      <c r="I17" s="1077" t="s">
        <v>6223</v>
      </c>
    </row>
    <row r="18" spans="4:9" ht="49.5">
      <c r="D18" s="1079">
        <v>177</v>
      </c>
      <c r="E18" s="1075" t="s">
        <v>6199</v>
      </c>
      <c r="F18" s="1077" t="s">
        <v>6224</v>
      </c>
      <c r="G18" s="1077" t="s">
        <v>6225</v>
      </c>
      <c r="H18" s="1077" t="s">
        <v>6226</v>
      </c>
      <c r="I18" s="1077" t="s">
        <v>6227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2026-06-18T01:34:09Z</dcterms:modified>
</cp:coreProperties>
</file>