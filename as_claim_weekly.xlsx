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24" i="2" l="1"/>
  <c r="M1623" i="2"/>
  <c r="M1622" i="2"/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<sst xmlns="http://schemas.openxmlformats.org/spreadsheetml/2006/main" count="28066" uniqueCount="7029">
  <si>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</si>
  <si>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</si>
  <si>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</si>
  <si>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</si>
  <si>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</si>
  <si>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</si>
  <si>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</si>
  <si>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</si>
  <si>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</si>
  <si>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</si>
  <si>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</si>
  <si>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</si>
  <si>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</si>
  <si>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</si>
  <si>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</si>
  <si>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</si>
  <si>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</si>
  <si>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</si>
  <si>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</si>
  <si>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</si>
  <si>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</si>
  <si>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</si>
  <si>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</si>
  <si>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</si>
  <si>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</si>
  <si>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</si>
  <si>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</si>
  <si>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</si>
  <si>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</si>
  <si>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</si>
  <si>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</si>
  <si>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</si>
  <si>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</si>
  <si>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</si>
  <si>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</si>
  <si>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</si>
  <si>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</si>
  <si>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</si>
  <si>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</si>
  <si>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</si>
  <si>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</si>
  <si>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</si>
  <si>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</si>
  <si>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</si>
  <si>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</si>
  <si>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</si>
  <si>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</si>
  <si>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</si>
  <si>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</si>
  <si>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</si>
  <si>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</si>
  <si>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</si>
  <si>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</si>
  <si>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</si>
  <si>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</si>
  <si>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</si>
  <si>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</si>
  <si>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</si>
  <si>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</si>
  <si>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</si>
  <si>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</si>
  <si>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</si>
  <si>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</si>
  <si>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</si>
  <si>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</si>
  <si>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</si>
  <si>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</si>
  <si>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</si>
  <si>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</si>
  <si>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</si>
  <si>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</si>
  <si>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</si>
  <si>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</si>
  <si>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</si>
  <si>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</si>
  <si>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</si>
  <si>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</si>
  <si>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</si>
  <si>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</si>
  <si>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</si>
  <si>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</si>
  <si>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</si>
  <si>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</si>
  <si>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</si>
  <si>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</si>
  <si>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</si>
  <si>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</si>
  <si>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</si>
  <si>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</si>
  <si>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</si>
  <si>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</si>
  <si>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</si>
  <si>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</si>
  <si>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</si>
  <si>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</si>
  <si>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</si>
  <si>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</si>
  <si>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</si>
  <si>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</si>
  <si>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</si>
  <si>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</si>
  <si>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</si>
  <si>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</si>
  <si>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</si>
  <si>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</si>
  <si>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</si>
  <si>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</si>
  <si>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</si>
  <si>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</si>
  <si>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</si>
  <si>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</si>
  <si>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</si>
  <si>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</si>
  <si>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</si>
  <si>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</si>
  <si>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</si>
  <si>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</si>
  <si>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</si>
  <si>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</si>
  <si>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</si>
  <si>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</si>
  <si>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</si>
  <si>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</si>
  <si>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</si>
  <si>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</si>
  <si>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</si>
  <si>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</si>
  <si>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</si>
  <si>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</si>
  <si>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</si>
  <si>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</si>
  <si>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</si>
  <si>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</si>
  <si>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</si>
  <si>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</si>
  <si>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</si>
  <si>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</si>
  <si>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</si>
  <si>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</si>
  <si>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</si>
  <si>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</si>
  <si>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</si>
  <si>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</si>
  <si>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</si>
  <si>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</si>
  <si>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</si>
  <si>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</si>
  <si>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</si>
  <si>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</si>
  <si>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</si>
  <si>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</si>
  <si>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</si>
  <si>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</si>
  <si>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</si>
  <si>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</si>
  <si>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</si>
  <si>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</si>
  <si>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</si>
  <si>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</si>
  <si>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</si>
  <si>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</si>
  <si>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</si>
  <si>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</si>
  <si>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</si>
  <si>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</si>
  <si>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</si>
  <si>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</si>
  <si>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</si>
  <si>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</si>
  <si>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</si>
  <si>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</si>
  <si>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</si>
  <si>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</si>
  <si>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</si>
  <si>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</si>
  <si>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</si>
  <si>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</si>
  <si>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</si>
  <si>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</si>
  <si>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</si>
  <si>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</si>
  <si>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</si>
  <si>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</si>
  <si>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</si>
  <si>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</si>
  <si>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</si>
  <si>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</si>
  <si>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</si>
  <si>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</si>
  <si>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</si>
  <si>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</si>
  <si>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</si>
  <si>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</si>
  <si>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</si>
  <si>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</si>
  <si>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</si>
  <si>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</si>
  <si>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</si>
  <si>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</si>
  <si>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</si>
  <si>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</si>
  <si>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</si>
  <si>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</si>
  <si>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</si>
  <si>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</si>
  <si>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</si>
  <si>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</si>
  <si>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</si>
  <si>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</si>
  <si>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</si>
  <si>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</si>
  <si>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</si>
  <si>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</si>
  <si>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</si>
  <si>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</si>
  <si>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</si>
  <si>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</si>
  <si>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</si>
  <si>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</si>
  <si>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</si>
  <si>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</si>
  <si>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</si>
  <si>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</si>
  <si>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</si>
  <si>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</si>
  <si>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</si>
  <si>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</si>
  <si>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</si>
  <si>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</si>
  <si>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</si>
  <si>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</si>
  <si>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</si>
  <si>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</si>
  <si>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</si>
  <si>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</si>
  <si>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</si>
  <si>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</si>
  <si>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</si>
  <si>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</si>
  <si>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</si>
  <si>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</si>
  <si>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</si>
  <si>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</si>
  <si>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</si>
  <si>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</si>
  <si>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</si>
  <si>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</si>
  <si>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</si>
  <si>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</si>
  <si>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</si>
  <si>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</si>
  <si>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</si>
  <si>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</si>
  <si>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</si>
  <si>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</si>
  <si>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</si>
  <si>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</si>
  <si>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</si>
  <si>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</si>
  <si>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</si>
  <si>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</si>
  <si>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</si>
  <si>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</si>
  <si>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</si>
  <si>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</si>
  <si>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</si>
  <si>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</si>
  <si>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</si>
  <si>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</si>
  <si>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</si>
  <si>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</si>
  <si>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</si>
  <si>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</si>
  <si>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</si>
  <si>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</si>
  <si>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</si>
  <si>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</si>
  <si>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</si>
  <si>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</si>
  <si>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</si>
  <si>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</si>
  <si>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</si>
  <si>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</si>
  <si>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</si>
  <si>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</si>
  <si>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</si>
  <si>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</si>
  <si>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</si>
  <si>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</si>
  <si>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</si>
  <si>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</si>
  <si>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</si>
  <si>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</si>
  <si>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</si>
  <si>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</si>
  <si>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</si>
  <si>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</si>
  <si>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</si>
  <si>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</si>
  <si>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</si>
  <si>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</si>
  <si>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</si>
  <si>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</si>
  <si>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</si>
  <si>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</si>
  <si>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</si>
  <si>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</si>
  <si>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</si>
  <si>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</si>
  <si>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</si>
  <si>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</si>
  <si>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</si>
  <si>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</si>
  <si>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</si>
  <si>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</si>
  <si>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</si>
  <si>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</si>
  <si>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</si>
  <si>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</si>
  <si>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</si>
  <si>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</si>
  <si>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</si>
  <si>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</si>
  <si>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</si>
  <si>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</si>
  <si>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</si>
  <si>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</si>
  <si>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</si>
  <si>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</si>
  <si>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</si>
  <si>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</si>
  <si>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</si>
  <si>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</si>
  <si>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</si>
  <si>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</si>
  <si>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</si>
  <si>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</si>
  <si>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</si>
  <si>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</si>
  <si>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</si>
  <si>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</si>
  <si>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</si>
  <si>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</si>
  <si>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</si>
  <si>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</si>
  <si>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</si>
  <si>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</si>
  <si>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</si>
  <si>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</si>
  <si>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</si>
  <si>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</si>
  <si>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</si>
  <si>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</si>
  <si>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</si>
  <si>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</si>
  <si>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</si>
  <si>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</si>
  <si>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</si>
  <si>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</si>
  <si>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</si>
  <si>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</si>
  <si>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</si>
  <si>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</si>
  <si>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</si>
  <si>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</si>
  <si>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</si>
  <si>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</si>
  <si>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</si>
  <si>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</si>
  <si>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</si>
  <si>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</si>
  <si>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</si>
  <si>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</si>
  <si>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</si>
  <si>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</si>
  <si>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</si>
  <si>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</si>
  <si>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</si>
  <si>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</si>
  <si>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</si>
  <si>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</si>
  <si>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</si>
  <si>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</si>
  <si>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</si>
  <si>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</si>
  <si>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</si>
  <si>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</si>
  <si>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</si>
  <si>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</si>
  <si>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</si>
  <si>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</si>
  <si>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</si>
  <si>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</si>
  <si>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</si>
  <si>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</si>
  <si>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</si>
  <si>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</si>
  <si>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</si>
  <si>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</si>
  <si>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</si>
  <si>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</si>
  <si>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</si>
  <si>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</si>
  <si>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</si>
  <si>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</si>
  <si>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</si>
  <si>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</si>
  <si>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</si>
  <si>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</si>
  <si>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</si>
  <si>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</si>
  <si>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</si>
  <si>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</si>
  <si>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</si>
  <si>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</si>
  <si>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</si>
  <si>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</si>
  <si>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</si>
  <si>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</si>
  <si>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</si>
  <si>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</si>
  <si>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</si>
  <si>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</si>
  <si>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</si>
  <si>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</si>
  <si>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</si>
  <si>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</si>
  <si>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</si>
  <si>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</si>
  <si>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</si>
  <si>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</si>
  <si>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</si>
  <si>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</si>
  <si>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</si>
  <si>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</si>
  <si>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</si>
  <si>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</si>
  <si>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</si>
  <si>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</si>
  <si>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</si>
  <si>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</si>
  <si>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</si>
  <si>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</si>
  <si>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</si>
  <si>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</si>
  <si>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</si>
  <si>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</si>
  <si>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</si>
  <si>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</si>
  <si>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</si>
  <si>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</si>
  <si>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</si>
  <si>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</si>
  <si>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</si>
  <si>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</si>
  <si>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</si>
  <si>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</si>
  <si>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</si>
  <si>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</si>
  <si>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</si>
  <si>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</si>
  <si>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</si>
  <si>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</si>
  <si>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</si>
  <si>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</si>
  <si>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</si>
  <si>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</si>
  <si>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</si>
  <si>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</si>
  <si>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</si>
  <si>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</si>
  <si>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</si>
  <si>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</si>
  <si>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</si>
  <si>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</si>
  <si>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</si>
  <si>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</si>
  <si>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</si>
  <si>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</si>
  <si>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</si>
  <si>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</si>
  <si>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</si>
  <si>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</si>
  <si>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</si>
  <si>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</si>
  <si>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</si>
  <si>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</si>
  <si>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</si>
  <si>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</si>
  <si>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</si>
  <si>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</si>
  <si>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</si>
  <si>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</si>
  <si>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</si>
  <si>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</si>
  <si>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</si>
  <si>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</si>
  <si>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</si>
  <si>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</si>
  <si>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</si>
  <si>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</si>
  <si>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</si>
  <si>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</si>
  <si>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</si>
  <si>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</si>
  <si>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</si>
  <si>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</si>
  <si>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</si>
  <si>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</si>
  <si>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</si>
  <si>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</si>
  <si>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</si>
  <si>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</si>
  <si>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</si>
  <si>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</si>
  <si>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</si>
  <si>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</si>
  <si>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</si>
  <si>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</si>
  <si>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</si>
  <si>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</si>
  <si>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</si>
  <si>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</si>
  <si>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</si>
  <si>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</si>
  <si>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</si>
  <si>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</si>
  <si>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</si>
  <si>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</si>
  <si>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</si>
  <si>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</si>
  <si>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</si>
  <si>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</si>
  <si>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</si>
  <si>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</si>
  <si>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</si>
  <si>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</si>
  <si>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</si>
  <si>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</si>
  <si>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</si>
  <si>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</si>
  <si>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</si>
  <si>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</si>
  <si>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</si>
  <si>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</si>
  <si>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</si>
  <si>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</si>
  <si>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</si>
  <si>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</si>
  <si>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</si>
  <si>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</si>
  <si>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</si>
  <si>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</si>
  <si>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</si>
  <si>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</si>
  <si>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</si>
  <si>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</si>
  <si>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</si>
  <si>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</si>
  <si>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</si>
  <si>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</si>
  <si>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</si>
  <si>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</si>
  <si>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</si>
  <si>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</si>
  <si>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</si>
  <si>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</si>
  <si>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</si>
  <si>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</si>
  <si>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</si>
  <si>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</si>
  <si>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</si>
  <si>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</si>
  <si>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</si>
  <si>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</si>
  <si>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</si>
  <si>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</si>
  <si>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</si>
  <si>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</si>
  <si>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</si>
  <si>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</si>
  <si>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</si>
  <si>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</si>
  <si>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</si>
  <si>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</si>
  <si>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</si>
  <si>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</si>
  <si>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</si>
  <si>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</si>
  <si>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</si>
  <si>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</si>
  <si>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</si>
  <si>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</si>
  <si>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</si>
  <si>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</si>
  <si>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</si>
  <si>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</si>
  <si>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</si>
  <si>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</si>
  <si>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</si>
  <si>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</si>
  <si>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</si>
  <si>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</si>
  <si>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</si>
  <si>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</si>
  <si>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</si>
  <si>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</si>
  <si>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</si>
  <si>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</si>
  <si>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</si>
  <si>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</si>
  <si>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</si>
  <si>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</si>
  <si>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</si>
  <si>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</si>
  <si>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</si>
  <si>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</si>
  <si>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</si>
  <si>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</si>
  <si>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</si>
  <si>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</si>
  <si>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</si>
  <si>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</si>
  <si>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</si>
  <si>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</si>
  <si>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</si>
  <si>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</si>
  <si>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</si>
  <si>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</si>
  <si>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</si>
  <si>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</si>
  <si>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</si>
  <si>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</si>
  <si>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</si>
  <si>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</si>
  <si>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</si>
  <si>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</si>
  <si>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</si>
  <si>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</si>
  <si>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</si>
  <si>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</si>
  <si>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</si>
  <si>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</si>
  <si>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</si>
  <si>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</si>
  <si>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</si>
  <si>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</si>
  <si>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</si>
  <si>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</si>
  <si>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</si>
  <si>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</si>
  <si>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</si>
  <si>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</si>
  <si>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</si>
  <si>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</si>
  <si>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</si>
  <si>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</si>
  <si>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</si>
  <si>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</si>
  <si>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</si>
  <si>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</si>
  <si>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</si>
  <si>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</si>
  <si>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</si>
  <si>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</si>
  <si>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</si>
  <si>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</si>
  <si>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</si>
  <si>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</si>
  <si>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</si>
  <si>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</si>
  <si>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</si>
  <si>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</si>
  <si>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</si>
  <si>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</si>
  <si>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</si>
  <si>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</si>
  <si>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</si>
  <si>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</si>
  <si>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</si>
  <si>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</si>
  <si>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</si>
  <si>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</si>
  <si>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</si>
  <si>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</si>
  <si>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</si>
  <si>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</si>
  <si>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</si>
  <si>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</si>
  <si>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</si>
  <si>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</si>
  <si>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</si>
  <si>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</si>
  <si>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</si>
  <si>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</si>
  <si>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</si>
  <si>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</si>
  <si>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</si>
  <si>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</si>
  <si>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</si>
  <si>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</si>
  <si>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</si>
  <si>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</si>
  <si>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</si>
  <si>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</si>
  <si>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</si>
  <si>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</si>
  <si>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</si>
  <si>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</si>
  <si>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</si>
  <si>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</si>
  <si>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</si>
  <si>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</si>
  <si>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</si>
  <si>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</si>
  <si>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</si>
  <si>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</si>
  <si>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</si>
  <si>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</si>
  <si>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</si>
  <si>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</si>
  <si>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</si>
  <si>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</si>
  <si>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</si>
  <si>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</si>
  <si>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</si>
  <si>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</si>
  <si>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</si>
  <si>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</si>
  <si>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</si>
  <si>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</si>
  <si>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</si>
  <si>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</si>
  <si>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</si>
  <si>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</si>
  <si>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</si>
  <si>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</si>
  <si>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</si>
  <si>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</si>
  <si>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</si>
  <si>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</si>
  <si>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</si>
  <si>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</si>
  <si>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</si>
  <si>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</si>
  <si>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</si>
  <si>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</si>
  <si>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</si>
  <si>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</si>
  <si>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</si>
  <si>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</si>
  <si>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</si>
  <si>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</si>
  <si>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</si>
  <si>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</si>
  <si>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</si>
  <si>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</si>
  <si>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</si>
  <si>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</si>
  <si>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</si>
  <si>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</si>
  <si>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</si>
  <si>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</si>
  <si>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</si>
  <si>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</si>
  <si>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</si>
  <si>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</si>
  <si>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</si>
  <si>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</si>
  <si>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</si>
  <si>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</si>
  <si>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</si>
  <si>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</si>
  <si>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</si>
  <si>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</si>
  <si>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</si>
  <si>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</si>
  <si>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</si>
  <si>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</si>
  <si>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</si>
  <si>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</si>
  <si>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</si>
  <si>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</si>
  <si>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</si>
  <si>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</si>
  <si>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</si>
  <si>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</si>
  <si>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</si>
  <si>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</si>
  <si>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</si>
  <si>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</si>
  <si>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</si>
  <si>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</si>
  <si>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</si>
  <si>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</si>
  <si>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</si>
  <si>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</si>
  <si>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</si>
  <si>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</si>
  <si>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</si>
  <si>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</si>
  <si>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</si>
  <si>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</si>
  <si>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</si>
  <si>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</si>
  <si>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</si>
  <si>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</si>
  <si>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</si>
  <si>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</si>
  <si>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</si>
  <si>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</si>
  <si>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</si>
  <si>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</si>
  <si>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</si>
  <si>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</si>
  <si>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</si>
  <si>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</si>
  <si>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</si>
  <si>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</si>
  <si>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</si>
  <si>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</si>
  <si>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</si>
  <si>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</si>
  <si>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</si>
  <si>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</si>
  <si>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</si>
  <si>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</si>
  <si>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</si>
  <si>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</si>
  <si>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</si>
  <si>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</si>
  <si>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</si>
  <si>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</si>
  <si>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</si>
  <si>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</si>
  <si>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</si>
  <si>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</si>
  <si>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</si>
  <si>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</si>
  <si>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</si>
  <si>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</si>
  <si>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</si>
  <si>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</si>
  <si>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</si>
  <si>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</si>
  <si>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</si>
  <si>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</si>
  <si>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</si>
  <si>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</si>
  <si>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</si>
  <si>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</si>
  <si>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</si>
  <si>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</si>
  <si>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</si>
  <si>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</si>
  <si>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</si>
  <si>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</si>
  <si>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</si>
  <si>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</si>
  <si>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</si>
  <si>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</si>
  <si>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</si>
  <si>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</si>
  <si>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</si>
  <si>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</si>
  <si>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</si>
  <si>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</si>
  <si>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</si>
  <si>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</si>
  <si>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</si>
  <si>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</si>
  <si>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</si>
  <si>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</si>
  <si>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</si>
  <si>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</si>
  <si>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</si>
  <si>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</si>
  <si>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</si>
  <si>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</si>
  <si>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</si>
  <si>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</si>
  <si>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</si>
  <si>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</si>
  <si>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</si>
  <si>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</si>
  <si>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</si>
  <si>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</si>
  <si>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</si>
  <si>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</si>
  <si>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</si>
  <si>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</si>
  <si>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</si>
  <si>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</si>
  <si>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</si>
  <si>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</si>
  <si>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</si>
  <si>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</si>
  <si>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</si>
  <si>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</si>
  <si>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</si>
  <si>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</si>
  <si>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</si>
  <si>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</si>
  <si>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</si>
  <si>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</si>
  <si>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</si>
  <si>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</si>
  <si>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</si>
  <si>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</si>
  <si>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</si>
  <si>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</si>
  <si>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</si>
  <si>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</si>
  <si>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</si>
  <si>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</si>
  <si>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</si>
  <si>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</si>
  <si>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</si>
  <si>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</si>
  <si>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</si>
  <si>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</si>
  <si>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</si>
  <si>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</si>
  <si>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</si>
  <si>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</si>
  <si>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</si>
  <si>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</si>
  <si>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</si>
  <si>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</si>
  <si>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</si>
  <si>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</si>
  <si>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</si>
  <si>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</si>
  <si>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</si>
  <si>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</si>
  <si>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</si>
  <si>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</si>
  <si>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</si>
  <si>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</si>
  <si>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</si>
  <si>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</si>
  <si>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</si>
  <si>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</si>
  <si>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</si>
  <si>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</si>
  <si>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</si>
  <si>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</si>
  <si>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</si>
  <si>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</si>
  <si>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</si>
  <si>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</si>
  <si>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</si>
  <si>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</si>
  <si>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</si>
  <si>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</si>
  <si>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</si>
  <si>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</si>
  <si>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</si>
  <si>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</si>
  <si>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</si>
  <si>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</si>
  <si>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</si>
  <si>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</si>
  <si>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</si>
  <si>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</si>
  <si>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</si>
  <si>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</si>
  <si>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</si>
  <si>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</si>
  <si>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</si>
  <si>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</si>
  <si>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</si>
  <si>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</si>
  <si>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</si>
  <si>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</si>
  <si>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</si>
  <si>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</si>
  <si>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</si>
  <si>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</si>
  <si>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</si>
  <si>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</si>
  <si>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</si>
  <si>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</si>
  <si>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</si>
  <si>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</si>
  <si>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</si>
  <si>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</si>
  <si>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</si>
  <si>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</si>
  <si>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</si>
  <si>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</si>
  <si>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</si>
  <si>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</si>
  <si>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</si>
  <si>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</si>
  <si>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</si>
  <si>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</si>
  <si>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</si>
  <si>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</si>
  <si>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</si>
  <si>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</si>
  <si>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</si>
  <si>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</si>
  <si>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</si>
  <si>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</si>
  <si>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</si>
  <si>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</si>
  <si>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</si>
  <si>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</si>
  <si>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</si>
  <si>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</si>
  <si>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</si>
  <si>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</si>
  <si>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</si>
  <si>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</si>
  <si>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</si>
  <si>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</si>
  <si>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</si>
  <si>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</si>
  <si>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</si>
  <si>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</si>
  <si>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</si>
  <si>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</si>
  <si>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</si>
  <si>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</si>
  <si>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</si>
  <si>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</si>
  <si>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</si>
  <si>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</si>
  <si>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</si>
  <si>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</si>
  <si>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</si>
  <si>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</si>
  <si>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</si>
  <si>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</si>
  <si>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</si>
  <si>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</si>
  <si>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</si>
  <si>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</si>
  <si>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</si>
  <si>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</si>
  <si>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</si>
  <si>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</si>
  <si>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</si>
  <si>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</si>
  <si>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</si>
  <si>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</si>
  <si>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</si>
  <si>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</si>
  <si>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</si>
  <si>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</si>
  <si>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</si>
  <si>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</si>
  <si>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</si>
  <si>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</si>
  <si>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</si>
  <si>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</si>
  <si>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</si>
  <si>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</si>
  <si>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</si>
  <si>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</si>
  <si>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</si>
  <si>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</si>
  <si>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</si>
  <si>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</si>
  <si>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</si>
  <si>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</si>
  <si>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</si>
  <si>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</si>
  <si>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</si>
  <si>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</si>
  <si>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</si>
  <si>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</si>
  <si>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</si>
  <si>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</si>
  <si>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</si>
  <si>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</si>
  <si>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</si>
  <si>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</si>
  <si>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</si>
  <si>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</si>
  <si>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</si>
  <si>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</si>
  <si>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</si>
  <si>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</si>
  <si>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</si>
  <si>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</si>
  <si>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</si>
  <si>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</si>
  <si>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</si>
  <si>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</si>
  <si>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</si>
  <si>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</si>
  <si>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</si>
  <si>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</si>
  <si>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</si>
  <si>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</si>
  <si>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</si>
  <si>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</si>
  <si>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</si>
  <si>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</si>
  <si>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</si>
  <si>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</si>
  <si>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</si>
  <si>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</si>
  <si>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</si>
  <si>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</si>
  <si>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</si>
  <si>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</si>
  <si>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</si>
  <si>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</si>
  <si>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</si>
  <si>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</si>
  <si>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</si>
  <si>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</si>
  <si>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</si>
  <si>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</si>
  <si>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</si>
  <si>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</si>
  <si>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</si>
  <si>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</si>
  <si>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</si>
  <si>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</si>
  <si>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</si>
  <si>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</si>
  <si>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</si>
  <si>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</si>
  <si>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</si>
  <si>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</si>
  <si>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</si>
  <si>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</si>
  <si>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</si>
  <si>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</si>
  <si>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</si>
  <si>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</si>
  <si>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</si>
  <si>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</si>
  <si>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</si>
  <si>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</si>
  <si>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</si>
  <si>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</si>
  <si>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</si>
  <si>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</si>
  <si>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</si>
  <si>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</si>
  <si>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</si>
  <si>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</si>
  <si>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</si>
  <si>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</si>
  <si>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</si>
  <si>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</si>
  <si>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</si>
  <si>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</si>
  <si>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</si>
  <si>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</si>
  <si>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</si>
  <si>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</si>
  <si>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</si>
  <si>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</si>
  <si>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</si>
  <si>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</si>
  <si>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</si>
  <si>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</si>
  <si>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</si>
  <si>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</si>
  <si>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</si>
  <si>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</si>
  <si>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</si>
  <si>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</si>
  <si>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</si>
  <si>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</si>
  <si>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</si>
  <si>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</si>
  <si>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</si>
  <si>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</si>
  <si>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</si>
  <si>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</si>
  <si>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</si>
  <si>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</si>
  <si>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</si>
  <si>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</si>
  <si>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</si>
  <si>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</si>
  <si>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</si>
  <si>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</si>
  <si>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</si>
  <si>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</si>
  <si>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</si>
  <si>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</si>
  <si>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</si>
  <si>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</si>
  <si>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</si>
  <si>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</si>
  <si>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</si>
  <si>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</si>
  <si>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</si>
  <si>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</si>
  <si>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</si>
  <si>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</si>
  <si>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</si>
  <si>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</si>
  <si>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</si>
  <si>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</si>
  <si>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</si>
  <si>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</si>
  <si>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</si>
  <si>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</si>
  <si>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</si>
  <si>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</si>
  <si>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</si>
  <si>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</si>
  <si>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</si>
  <si>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</si>
  <si>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</si>
  <si>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</si>
  <si>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</si>
  <si>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</si>
  <si>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</si>
  <si>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</si>
  <si>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</si>
  <si>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</si>
  <si>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</si>
  <si>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</si>
  <si>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</si>
  <si>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</si>
  <si>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</si>
  <si>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</si>
  <si>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</si>
  <si>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</si>
  <si>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</si>
  <si>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</si>
  <si>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</si>
  <si>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</si>
  <si>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</si>
  <si>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</si>
  <si>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</si>
  <si>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</si>
  <si>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</si>
  <si>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</si>
  <si>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</si>
  <si>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</si>
  <si>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</si>
  <si>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</si>
  <si>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</si>
  <si>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</si>
  <si>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</si>
  <si>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</si>
  <si>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</si>
  <si>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</si>
  <si>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</si>
  <si>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</si>
  <si>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</si>
  <si>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</si>
  <si>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</si>
  <si>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</si>
  <si>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</si>
  <si>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</si>
  <si>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</si>
  <si>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</si>
  <si>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</si>
  <si>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</si>
  <si>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</si>
  <si>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</si>
  <si>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</si>
  <si>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</si>
  <si>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</si>
  <si>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</si>
  <si>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</si>
  <si>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</si>
  <si>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</si>
  <si>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</si>
  <si>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</si>
  <si>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</si>
  <si>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</si>
  <si>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</si>
  <si>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</si>
  <si>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</si>
  <si>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</si>
  <si>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</si>
  <si>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</si>
  <si>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</si>
  <si>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</si>
  <si>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</si>
  <si>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</si>
  <si>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</si>
  <si>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</si>
  <si>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</si>
  <si>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</si>
  <si>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</si>
  <si>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</si>
  <si>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</si>
  <si>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</si>
  <si>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</si>
  <si>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</si>
  <si>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</si>
  <si>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</si>
  <si>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</si>
  <si>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</si>
  <si>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</si>
  <si>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</si>
  <si>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</si>
  <si>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</si>
  <si>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</si>
  <si>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</si>
  <si>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</si>
  <si>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</si>
  <si>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</si>
  <si>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</si>
  <si>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</si>
  <si>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</si>
  <si>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</si>
  <si>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</si>
  <si>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</si>
  <si>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</si>
  <si>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</si>
  <si>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</si>
  <si>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</si>
  <si>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</si>
  <si>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</si>
  <si>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</si>
  <si>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</si>
  <si>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</si>
  <si>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</si>
  <si>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</si>
  <si>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</si>
  <si>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</si>
  <si>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</si>
  <si>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</si>
  <si>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</si>
  <si>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</si>
  <si>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</si>
  <si>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</si>
  <si>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</si>
  <si>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</si>
  <si>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</si>
  <si>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</si>
  <si>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</si>
  <si>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</si>
  <si>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</si>
  <si>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</si>
  <si>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</si>
  <si>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</si>
  <si>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</si>
  <si>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</si>
  <si>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</si>
  <si>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</si>
  <si>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</si>
  <si>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</si>
  <si>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</si>
  <si>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</si>
  <si>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</si>
  <si>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</si>
  <si>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</si>
  <si>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</si>
  <si>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</si>
  <si>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</si>
  <si>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</si>
  <si>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</si>
  <si>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</si>
  <si>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</si>
  <si>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</si>
  <si>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</si>
  <si>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</si>
  <si>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</si>
  <si>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</si>
  <si>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</si>
  <si>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</si>
  <si>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</si>
  <si>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</si>
  <si>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</si>
  <si>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</si>
  <si>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</si>
  <si>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</si>
  <si>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</si>
  <si>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</si>
  <si>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</si>
  <si>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</si>
  <si>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</si>
  <si>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</si>
  <si>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</si>
  <si>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</si>
  <si>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</si>
  <si>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</si>
  <si>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</si>
  <si>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</si>
  <si>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</si>
  <si>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</si>
  <si>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</si>
  <si>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</si>
  <si>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</si>
  <si>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</si>
  <si>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</si>
  <si>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</si>
  <si>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</si>
  <si>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</si>
  <si>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</si>
  <si>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</si>
  <si>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</si>
  <si>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</si>
  <si>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</si>
  <si>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</si>
  <si>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</si>
  <si>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</si>
  <si>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</si>
  <si>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</si>
  <si>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</si>
  <si>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</si>
  <si>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</si>
  <si>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</si>
  <si>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</si>
  <si>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</si>
  <si>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</si>
  <si>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</si>
  <si>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</si>
  <si>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</si>
  <si>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</si>
  <si>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</si>
  <si>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</si>
  <si>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</si>
  <si>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</si>
  <si>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</si>
  <si>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</si>
  <si>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</si>
  <si>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</si>
  <si>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</si>
  <si>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</si>
  <si>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</si>
  <si>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</si>
  <si>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</si>
  <si>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</si>
  <si>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</si>
  <si>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</si>
  <si>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</si>
  <si>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</si>
  <si>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</si>
  <si>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</si>
  <si>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</si>
  <si>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</si>
  <si>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</si>
  <si>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</si>
  <si>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</si>
  <si>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</si>
  <si>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</si>
  <si>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</si>
  <si>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</si>
  <si>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</si>
  <si>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</si>
  <si>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</si>
  <si>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</si>
  <si>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</si>
  <si>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</si>
  <si>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</si>
  <si>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</si>
  <si>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</si>
  <si>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</si>
  <si>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</si>
  <si>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</si>
  <si>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</si>
  <si>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</si>
  <si>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</si>
  <si>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</si>
  <si>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</si>
  <si>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</si>
  <si>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</si>
  <si>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</si>
  <si>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</si>
  <si>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</si>
  <si>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</si>
  <si>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</si>
  <si>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</si>
  <si>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</si>
  <si>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</si>
  <si>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</si>
  <si>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</si>
  <si>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</si>
  <si>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</si>
  <si>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</si>
  <si>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</si>
  <si>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</si>
  <si>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</si>
  <si>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</si>
  <si>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</si>
  <si>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</si>
  <si>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</si>
  <si>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</si>
  <si>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</si>
  <si>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</si>
  <si>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</si>
  <si>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</si>
  <si>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</si>
  <si>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</si>
  <si>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</si>
  <si>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</si>
  <si>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</si>
  <si>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</si>
  <si>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</si>
  <si>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</si>
  <si>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</si>
  <si>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</si>
  <si>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</si>
  <si>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</si>
  <si>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</si>
  <si>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</si>
  <si>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</si>
  <si>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</si>
  <si>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</si>
  <si>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</si>
  <si>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</si>
  <si>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</si>
  <si>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</si>
  <si>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</si>
  <si>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</si>
  <si>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</si>
  <si>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</si>
  <si>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</si>
  <si>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</si>
  <si>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</si>
  <si>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</si>
  <si>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</si>
  <si>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</si>
  <si>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</si>
  <si>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</si>
  <si>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</si>
  <si>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</si>
  <si>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</si>
  <si>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</si>
  <si>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</si>
  <si>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</si>
  <si>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</si>
  <si>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</si>
  <si>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</si>
  <si>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</si>
  <si>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</si>
  <si>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</si>
  <si>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</si>
  <si>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</si>
  <si>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</si>
  <si>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</si>
  <si>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</si>
  <si>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</si>
  <si>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</si>
  <si>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</si>
  <si>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</si>
  <si>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</si>
  <si>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</si>
  <si>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</si>
  <si>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</si>
  <si>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</si>
  <si>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</si>
  <si>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</si>
  <si>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</si>
  <si>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</si>
  <si>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</si>
  <si>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</si>
  <si>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</si>
  <si>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</si>
  <si>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</si>
  <si>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</si>
  <si>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</si>
  <si>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</si>
  <si>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</si>
  <si>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</si>
  <si>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</si>
  <si>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</si>
  <si>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</si>
  <si>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</si>
  <si>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</si>
  <si>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</si>
  <si>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</si>
  <si>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</si>
  <si>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</si>
  <si>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</si>
  <si>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</si>
  <si>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</si>
  <si>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</si>
  <si>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</si>
  <si>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</si>
  <si>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</si>
  <si>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</si>
  <si>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</si>
  <si>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</si>
  <si>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</si>
  <si>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</si>
  <si>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</si>
  <si>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</si>
  <si>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</si>
  <si>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</si>
  <si>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</si>
  <si>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</si>
  <si>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</si>
  <si>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</si>
  <si>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</si>
  <si>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</si>
  <si>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</si>
  <si>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</si>
  <si>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</si>
  <si>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</si>
  <si>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</si>
  <si>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</si>
  <si>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</si>
  <si>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</si>
  <si>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</si>
  <si>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</si>
  <si>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</si>
  <si>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</si>
  <si>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</si>
  <si>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</si>
  <si>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</si>
  <si>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</si>
  <si>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</si>
  <si>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</si>
  <si>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</si>
  <si>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</si>
  <si>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</si>
  <si>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</si>
  <si>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</si>
  <si>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</si>
  <si>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</si>
  <si>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</si>
  <si>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</si>
  <si>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</si>
  <si>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</si>
  <si>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</si>
  <si>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</si>
  <si>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</si>
  <si>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</si>
  <si>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</si>
  <si>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</si>
  <si>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</si>
  <si>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</si>
  <si>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</si>
  <si>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</si>
  <si>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</si>
  <si>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</si>
  <si>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</si>
  <si>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</si>
  <si>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</si>
  <si>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</si>
  <si>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</si>
  <si>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</si>
  <si>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</si>
  <si>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</si>
  <si>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</si>
  <si>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</si>
  <si>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</si>
  <si>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</si>
  <si>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</si>
  <si>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</si>
  <si>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</si>
  <si>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</si>
  <si>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</si>
  <si>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</si>
  <si>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</si>
  <si>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</si>
  <si>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</si>
  <si>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</si>
  <si>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</si>
  <si>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</si>
  <si>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</si>
  <si>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</si>
  <si>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</si>
  <si>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</si>
  <si>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</si>
  <si>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</si>
  <si>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</si>
  <si>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</si>
  <si>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</si>
  <si>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</si>
  <si>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</si>
  <si>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</si>
  <si>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</si>
  <si>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</si>
  <si>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</si>
  <si>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</si>
  <si>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</si>
  <si>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</si>
  <si>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</si>
  <si>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</si>
  <si>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</si>
  <si>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</si>
  <si>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</si>
  <si>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</si>
  <si>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</si>
  <si>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</si>
  <si>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</si>
  <si>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</si>
  <si>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</si>
  <si>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</si>
  <si>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</si>
  <si>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</si>
  <si>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</si>
  <si>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</si>
  <si>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</si>
  <si>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</si>
  <si>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</si>
  <si>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</si>
  <si>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</si>
  <si>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</si>
  <si>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</si>
  <si>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</si>
  <si>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</si>
  <si>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</si>
  <si>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</si>
  <si>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</si>
  <si>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</si>
  <si>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</si>
  <si>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</si>
  <si>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</si>
  <si>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</si>
  <si>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</si>
  <si>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</si>
  <si>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</si>
  <si>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</si>
  <si>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</si>
  <si>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</si>
  <si>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</si>
  <si>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</si>
  <si>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</si>
  <si>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</si>
  <si>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</si>
  <si>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</si>
  <si>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</si>
  <si>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</si>
  <si>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</si>
  <si>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</si>
  <si>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</si>
  <si>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</si>
  <si>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</si>
  <si>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</si>
  <si>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</si>
  <si>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</si>
  <si>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</si>
  <si>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</si>
  <si>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</si>
  <si>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</si>
  <si>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</si>
  <si>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</si>
  <si>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</si>
  <si>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</si>
  <si>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</si>
  <si>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</si>
  <si>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</si>
  <si>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</si>
  <si>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</si>
  <si>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</si>
  <si>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</si>
  <si>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</si>
  <si>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</si>
  <si>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</si>
  <si>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</si>
  <si>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</si>
  <si>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</si>
  <si>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</si>
  <si>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</si>
  <si>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</si>
  <si>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</si>
  <si>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</si>
  <si>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</si>
  <si>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</si>
  <si>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</si>
  <si>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</si>
  <si>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</si>
  <si>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</si>
  <si>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</si>
  <si>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</si>
  <si>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</si>
  <si>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</si>
  <si>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</si>
  <si>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</si>
  <si>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</si>
  <si>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</si>
  <si>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</si>
  <si>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</si>
  <si>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</si>
  <si>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</si>
  <si>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</si>
  <si>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</si>
  <si>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</si>
  <si>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</si>
  <si>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</si>
  <si>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</si>
  <si>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</si>
  <si>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</si>
  <si>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</si>
  <si>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</si>
  <si>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</si>
  <si>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</si>
  <si>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</si>
  <si>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</si>
  <si>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</si>
  <si>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</si>
  <si>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</si>
  <si>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</si>
  <si>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</si>
  <si>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</si>
  <si>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</si>
  <si>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</si>
  <si>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</si>
  <si>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</si>
  <si>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</si>
  <si>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</si>
  <si>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</si>
  <si>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</si>
  <si>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</si>
  <si>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</si>
  <si>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</si>
  <si>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</si>
  <si>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</si>
  <si>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</si>
  <si>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</si>
  <si>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</si>
  <si>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</si>
  <si>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</si>
  <si>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</si>
  <si>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</si>
  <si>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</si>
  <si>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</si>
  <si>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</si>
  <si>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</si>
  <si>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</si>
  <si>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</si>
  <si>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</si>
  <si>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</si>
  <si>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</si>
  <si>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</si>
  <si>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</si>
  <si>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</si>
  <si>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</si>
  <si>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</si>
  <si>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</si>
  <si>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</si>
  <si>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</si>
  <si>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</si>
  <si>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</si>
  <si>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</si>
  <si>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</si>
  <si>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</si>
  <si>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</si>
  <si>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</si>
  <si>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</si>
  <si>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</si>
  <si>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</si>
  <si>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</si>
  <si>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</si>
  <si>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</si>
  <si>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</si>
  <si>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</si>
  <si>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</si>
  <si>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</si>
  <si>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</si>
  <si>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</si>
  <si>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</si>
  <si>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</si>
  <si>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</si>
  <si>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</si>
  <si>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</si>
  <si>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</si>
  <si>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</si>
  <si>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</si>
  <si>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</si>
  <si>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</si>
  <si>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</si>
  <si>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</si>
  <si>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</si>
  <si>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</si>
  <si>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</si>
  <si>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</si>
  <si>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</si>
  <si>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</si>
  <si>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</si>
  <si>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</si>
  <si>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</si>
  <si>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</si>
  <si>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</si>
  <si>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</si>
  <si>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</si>
  <si>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</si>
  <si>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</si>
  <si>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</si>
  <si>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</si>
  <si>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</si>
  <si>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</si>
  <si>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</si>
  <si>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</si>
  <si>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</si>
  <si>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</si>
  <si>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</si>
  <si>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</si>
  <si>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</si>
  <si>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</si>
  <si>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</si>
  <si>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</si>
  <si>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</si>
  <si>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</si>
  <si>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</si>
  <si>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</si>
  <si>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</si>
  <si>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</si>
  <si>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</si>
  <si>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</si>
  <si>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</si>
  <si>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</si>
  <si>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</si>
  <si>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</si>
  <si>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</si>
  <si>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</si>
  <si>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</si>
  <si>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</si>
  <si>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</si>
  <si>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</si>
  <si>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</si>
  <si>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</si>
  <si>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</si>
  <si>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</si>
  <si>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</si>
  <si>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</si>
  <si>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</si>
  <si>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</si>
  <si>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</si>
  <si>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</si>
  <si>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</si>
  <si>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</si>
  <si>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</si>
  <si>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</si>
  <si>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</si>
  <si>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</si>
  <si>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</si>
  <si>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</si>
  <si>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</si>
  <si>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</si>
  <si>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</si>
  <si>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</si>
  <si>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</si>
  <si>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</si>
  <si>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</si>
  <si>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</si>
  <si>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</si>
  <si>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</si>
  <si>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</si>
  <si>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</si>
  <si>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</si>
  <si>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</si>
  <si>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</si>
  <si>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</si>
  <si>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</si>
  <si>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</si>
  <si>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</si>
  <si>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</si>
  <si>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</si>
  <si>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</si>
  <si>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</si>
  <si>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</si>
  <si>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</si>
  <si>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</si>
  <si>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</si>
  <si>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</si>
  <si>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</si>
  <si>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</si>
  <si>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</si>
  <si>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</si>
  <si>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</si>
  <si>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</si>
  <si>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</si>
  <si>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</si>
  <si>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</si>
  <si>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</si>
  <si>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</si>
  <si>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</si>
  <si>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</si>
  <si>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</si>
  <si>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</si>
  <si>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</si>
  <si>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</si>
  <si>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</si>
  <si>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</si>
  <si>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</si>
  <si>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</si>
  <si>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</si>
  <si>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</si>
  <si>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</si>
  <si>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</si>
  <si>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</si>
  <si>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</si>
  <si>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</si>
  <si>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</si>
  <si>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</si>
  <si>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</si>
  <si>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</si>
  <si>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</si>
  <si>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</si>
  <si>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</si>
  <si>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</si>
  <si>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</si>
  <si>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</si>
  <si>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</si>
  <si>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</si>
  <si>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</si>
  <si>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</si>
  <si>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</si>
  <si>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</si>
  <si>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</si>
  <si>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</si>
  <si>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</si>
  <si>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</si>
  <si>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</si>
  <si>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</si>
  <si>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</si>
  <si>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</si>
  <si>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</si>
  <si>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</si>
  <si>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</si>
  <si>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</si>
  <si>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</si>
  <si>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</si>
  <si>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</si>
  <si>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</si>
  <si>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</si>
  <si>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</si>
  <si>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</si>
  <si>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</si>
  <si>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</si>
  <si>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</si>
  <si>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</si>
  <si>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</si>
  <si>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</si>
  <si>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</si>
  <si>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</si>
  <si>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</si>
  <si>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</si>
  <si>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</si>
  <si>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</si>
  <si>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</si>
  <si>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</si>
  <si>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</si>
  <si>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</si>
  <si>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</si>
  <si>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</si>
  <si>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</si>
  <si>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</si>
  <si>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</si>
  <si>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</si>
  <si>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</si>
  <si>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</si>
  <si>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</si>
  <si>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</si>
  <si>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</si>
  <si>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</si>
  <si>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</si>
  <si>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</si>
  <si>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</si>
  <si>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</si>
  <si>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</si>
  <si>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</si>
  <si>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</si>
  <si>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</si>
  <si>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</si>
  <si>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</si>
  <si>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</si>
  <si>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</si>
  <si>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</si>
  <si>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</si>
  <si>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</si>
  <si>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</si>
  <si>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</si>
  <si>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</si>
  <si>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</si>
  <si>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</si>
  <si>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</si>
  <si>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</si>
  <si>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</si>
  <si>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</si>
  <si>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</si>
  <si>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</si>
  <si>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</si>
  <si>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</si>
  <si>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</si>
  <si>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</si>
  <si>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</si>
  <si>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</si>
  <si>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</si>
  <si>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</si>
  <si>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</si>
  <si>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</si>
  <si>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</si>
  <si>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</si>
  <si>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</si>
  <si>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</si>
  <si>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</si>
  <si>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</si>
  <si>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</si>
  <si>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</si>
  <si>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</si>
  <si>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</si>
  <si>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</si>
  <si>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</si>
  <si>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</si>
  <si>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</si>
  <si>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</si>
  <si>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</si>
  <si>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</si>
  <si>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</si>
  <si>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</si>
  <si>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</si>
  <si>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</si>
  <si>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</si>
  <si>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</si>
  <si>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</si>
  <si>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</si>
  <si>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</si>
  <si>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</si>
  <si>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</si>
  <si>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</si>
  <si>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</si>
  <si>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</si>
  <si>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</si>
  <si>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</si>
  <si>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</si>
  <si>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</si>
  <si>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</si>
  <si>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</si>
  <si>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</si>
  <si>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</si>
  <si>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</si>
  <si>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</si>
  <si>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</si>
  <si>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</si>
  <si>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</si>
  <si>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</si>
  <si>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</si>
  <si>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</si>
  <si>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</si>
  <si>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</si>
  <si>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</si>
  <si>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</si>
  <si>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</si>
  <si>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</si>
  <si>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</si>
  <si>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</si>
  <si>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</si>
  <si>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</si>
  <si>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</si>
  <si>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</si>
  <si>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</si>
  <si>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</si>
  <si>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</si>
  <si>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</si>
  <si>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</si>
  <si>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</si>
  <si>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</si>
  <si>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</si>
  <si>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</si>
  <si>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</si>
  <si>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</si>
  <si>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</si>
  <si>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</si>
  <si>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</si>
  <si>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</si>
  <si>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</si>
  <si>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</si>
  <si>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</si>
  <si>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</si>
  <si>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</si>
  <si>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</si>
  <si>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</si>
  <si>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</si>
  <si>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</si>
  <si>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</si>
  <si>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</si>
  <si>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</si>
  <si>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</si>
  <si>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</si>
  <si>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</si>
  <si>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</si>
  <si>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</si>
  <si>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</si>
  <si>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</si>
  <si>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</si>
  <si>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</si>
  <si>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</si>
  <si>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</si>
  <si>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</si>
  <si>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</si>
  <si>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</si>
  <si>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</si>
  <si>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</si>
  <si>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</si>
  <si>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</si>
  <si>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</si>
  <si>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</si>
  <si>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</si>
  <si>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</si>
  <si>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</si>
  <si>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</si>
  <si>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</si>
  <si>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</si>
  <si>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</si>
  <si>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</si>
  <si>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</si>
  <si>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</si>
  <si>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</si>
  <si>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</si>
  <si>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</si>
  <si>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</si>
  <si>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</si>
  <si>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</si>
  <si>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</si>
  <si>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</si>
  <si>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</si>
  <si>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</si>
  <si>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</si>
  <si>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</si>
  <si>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</si>
  <si>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</si>
  <si>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</si>
  <si>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</si>
  <si>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</si>
  <si>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</si>
  <si>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</si>
  <si>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</si>
  <si>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</si>
  <si>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</si>
  <si>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</si>
  <si>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</si>
  <si>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</si>
  <si>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</si>
  <si>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</si>
  <si>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</si>
  <si>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</si>
  <si>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</si>
  <si>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</si>
  <si>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</si>
  <si>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</si>
  <si>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</si>
  <si>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</si>
  <si>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</si>
  <si>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</si>
  <si>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</si>
  <si>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</si>
  <si>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</si>
  <si>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</si>
  <si>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</si>
  <si>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</si>
  <si>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</si>
  <si>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</si>
  <si>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</si>
  <si>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</si>
  <si>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</si>
  <si>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</si>
  <si>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</si>
  <si>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</si>
  <si>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</si>
  <si>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</si>
  <si>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</si>
  <si>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</si>
  <si>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</si>
  <si>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</si>
  <si>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</si>
  <si>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</si>
  <si>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</si>
  <si>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</si>
  <si>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</si>
  <si>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</si>
  <si>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</si>
  <si>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</si>
  <si>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</si>
  <si>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</si>
  <si>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</si>
  <si>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</si>
  <si>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</si>
  <si>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</si>
  <si>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</si>
  <si>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</si>
  <si>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</si>
  <si>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</si>
  <si>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</si>
  <si>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</si>
  <si>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</si>
  <si>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</si>
  <si>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</si>
  <si>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</si>
  <si>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</si>
  <si>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</si>
  <si>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</si>
  <si>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</si>
  <si>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</si>
  <si>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</si>
  <si>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</si>
  <si>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</si>
  <si>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</si>
  <si>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</si>
  <si>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</si>
  <si>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</si>
  <si>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</si>
  <si>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</si>
  <si>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</si>
  <si>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</si>
  <si>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</si>
  <si>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</si>
  <si>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</si>
  <si>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</si>
  <si>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</si>
  <si>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</si>
  <si>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</si>
  <si>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</si>
  <si>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</si>
  <si>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</si>
  <si>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</si>
  <si>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</si>
  <si>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</si>
  <si>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</si>
  <si>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</si>
  <si>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</si>
  <si>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</si>
  <si>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</si>
  <si>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</si>
  <si>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</si>
  <si>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</si>
  <si>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</si>
  <si>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</si>
  <si>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</si>
  <si>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</si>
  <si>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</si>
  <si>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</si>
  <si>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</si>
  <si>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</si>
  <si>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</si>
  <si>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</si>
  <si>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</si>
  <si>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</si>
  <si>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</si>
  <si>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</si>
  <si>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</si>
  <si>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</si>
  <si>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</si>
  <si>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</si>
  <si>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</si>
  <si>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</si>
  <si>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</si>
  <si>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</si>
  <si>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</si>
  <si>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</si>
  <si>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</si>
  <si>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</si>
  <si>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</si>
  <si>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</si>
  <si>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</si>
  <si>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</si>
  <si>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</si>
  <si>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</si>
  <si>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</si>
  <si>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</si>
  <si>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</si>
  <si>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</si>
  <si>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</si>
  <si>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</si>
  <si>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</si>
  <si>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</si>
  <si>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</si>
  <si>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</si>
  <si>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</si>
  <si>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</si>
  <si>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</si>
  <si>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</si>
  <si>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</si>
  <si>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</si>
  <si>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</si>
  <si>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</si>
  <si>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</si>
  <si>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</si>
  <si>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</si>
  <si>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</si>
  <si>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</si>
  <si>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</si>
  <si>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</si>
  <si>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</si>
  <si>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</si>
  <si>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</si>
  <si>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</si>
  <si>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</si>
  <si>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</si>
  <si>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</si>
  <si>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</si>
  <si>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</si>
  <si>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</si>
  <si>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</si>
  <si>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</si>
  <si>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</si>
  <si>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</si>
  <si>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</si>
  <si>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</si>
  <si>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</si>
  <si>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</si>
  <si>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</si>
  <si>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</si>
  <si>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</si>
  <si>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</si>
  <si>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</si>
  <si>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</si>
  <si>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</si>
  <si>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</si>
  <si>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</si>
  <si>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</si>
  <si>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</si>
  <si>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</si>
  <si>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</si>
  <si>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</si>
  <si>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</si>
  <si>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</si>
  <si>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</si>
  <si>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</si>
  <si>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</si>
  <si>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</si>
  <si>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</si>
  <si>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</si>
  <si>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</si>
  <si>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</si>
  <si>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</si>
  <si>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</si>
  <si>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</si>
  <si>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</si>
  <si>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</si>
  <si>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</si>
  <si>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</si>
  <si>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</si>
  <si>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</si>
  <si>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</si>
  <si>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</si>
  <si>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</si>
  <si>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</si>
  <si>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</si>
  <si>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</si>
  <si>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</si>
  <si>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</si>
  <si>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</si>
  <si>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</si>
  <si>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</si>
  <si>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</si>
  <si>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</si>
  <si>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</si>
  <si>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</si>
  <si>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</si>
  <si>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</si>
  <si>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</si>
  <si>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</si>
  <si>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</si>
  <si>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</si>
  <si>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</si>
  <si>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</si>
  <si>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</si>
  <si>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</si>
  <si>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</si>
  <si>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</si>
  <si>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</si>
  <si>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</si>
  <si>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</si>
  <si>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</si>
  <si>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</si>
  <si>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</si>
  <si>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</si>
  <si>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</si>
  <si>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</si>
  <si>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</si>
  <si>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</si>
  <si>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</si>
  <si>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</si>
  <si>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</si>
  <si>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</si>
  <si>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</si>
  <si>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</si>
  <si>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</si>
  <si>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</si>
  <si>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</si>
  <si>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</si>
  <si>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</si>
  <si>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</si>
  <si>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</si>
  <si>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</si>
  <si>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</si>
  <si>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</si>
  <si>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</si>
  <si>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</si>
  <si>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</si>
  <si>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</si>
  <si>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</si>
  <si>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</si>
  <si>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</si>
  <si>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</si>
  <si>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</si>
  <si>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</si>
  <si>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</si>
  <si>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</si>
  <si>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</si>
  <si>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</si>
  <si>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</si>
  <si>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</si>
  <si>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</si>
  <si>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</si>
  <si>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</si>
  <si>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</si>
  <si>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</si>
  <si>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</si>
  <si>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</si>
  <si>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</si>
  <si>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</si>
  <si>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</si>
  <si>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</si>
  <si>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</si>
  <si>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</si>
  <si>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</si>
  <si>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</si>
  <si>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</si>
  <si>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</si>
  <si>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</si>
  <si>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</si>
  <si>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</si>
  <si>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</si>
  <si>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</si>
  <si>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</si>
  <si>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</si>
  <si>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</si>
  <si>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</si>
  <si>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</si>
  <si>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</si>
  <si>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</si>
  <si>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</si>
  <si>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</si>
  <si>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</si>
  <si>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</si>
  <si>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</si>
  <si>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</si>
  <si>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</si>
  <si>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</si>
  <si>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</si>
  <si>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</si>
  <si>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</si>
  <si>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</si>
  <si>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</si>
  <si>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</si>
  <si>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</si>
  <si>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</si>
  <si>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</si>
  <si>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</si>
  <si>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</si>
  <si>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</si>
  <si>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</si>
  <si>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</si>
  <si>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</si>
  <si>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</si>
  <si>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</si>
  <si>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</si>
  <si>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</si>
  <si>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</si>
  <si>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</si>
  <si>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</si>
  <si>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</si>
  <si>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</si>
  <si>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</si>
  <si>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</si>
  <si>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</si>
  <si>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</si>
  <si>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</si>
  <si>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</si>
  <si>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</si>
  <si>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</si>
  <si>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</si>
  <si>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</si>
  <si>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</si>
  <si>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</si>
  <si>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</si>
  <si>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</si>
  <si>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</si>
  <si>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</si>
  <si>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</si>
  <si>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</si>
  <si>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</si>
  <si>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</si>
  <si>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</si>
  <si>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</si>
  <si>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</si>
  <si>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</si>
  <si>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</si>
  <si>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</si>
  <si>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</si>
  <si>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</si>
  <si>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</si>
  <si>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</si>
  <si>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</si>
  <si>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</si>
  <si>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</si>
  <si>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</si>
  <si>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</si>
  <si>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</si>
  <si>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</si>
  <si>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</si>
  <si>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</si>
  <si>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</si>
  <si>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</si>
  <si>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</si>
  <si>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</si>
  <si>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</si>
  <si>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</si>
  <si>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</si>
  <si>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</si>
  <si>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</si>
  <si>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</si>
  <si>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</si>
  <si>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</si>
  <si>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</si>
  <si>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</si>
  <si>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</si>
  <si>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</si>
  <si>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</si>
  <si>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</si>
  <si>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</si>
  <si>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</si>
  <si>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</si>
  <si>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</si>
  <si>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</si>
  <si>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</si>
  <si>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</si>
  <si>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</si>
  <si>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</si>
  <si>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</si>
  <si>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</si>
  <si>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</si>
  <si>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</si>
  <si>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</si>
  <si>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</si>
  <si>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</si>
  <si>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</si>
  <si>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</si>
  <si>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</si>
  <si>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</si>
  <si>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</si>
  <si>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</si>
  <si>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</si>
  <si>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</si>
  <si>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</si>
  <si>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</si>
  <si>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</si>
  <si>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</si>
  <si>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</si>
  <si>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</si>
  <si>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</si>
  <si>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</si>
  <si>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</si>
  <si>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</si>
  <si>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</si>
  <si>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</si>
  <si>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</si>
  <si>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</si>
  <si>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</si>
  <si>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</si>
  <si>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</si>
  <si>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</si>
  <si>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</si>
  <si>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</si>
  <si>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</si>
  <si>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</si>
  <si>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</si>
  <si>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</si>
  <si>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</si>
  <si>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</si>
  <si>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</si>
  <si>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</si>
  <si>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</si>
  <si>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</si>
  <si>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</si>
  <si>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</si>
  <si>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</si>
  <si>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</si>
  <si>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</si>
  <si>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</si>
  <si>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</si>
  <si>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</si>
  <si>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</si>
  <si>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</si>
  <si>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</si>
  <si>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</si>
  <si>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</si>
  <si>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</si>
  <si>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</si>
  <si>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</si>
  <si>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</si>
  <si>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</si>
  <si>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</si>
  <si>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</si>
  <si>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</si>
  <si>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</si>
  <si>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</si>
  <si>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</si>
  <si>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</si>
  <si>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</si>
  <si>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</si>
  <si>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</si>
  <si>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</si>
  <si>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</si>
  <si>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</si>
  <si>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</si>
  <si>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</si>
  <si>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</si>
  <si>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</si>
  <si>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</si>
  <si>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</si>
  <si>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</si>
  <si>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</si>
  <si>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</si>
  <si>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</si>
  <si>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</si>
  <si>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</si>
  <si>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</si>
  <si>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</si>
  <si>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</si>
  <si>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</si>
  <si>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</si>
  <si>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</si>
  <si>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</si>
  <si>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</si>
  <si>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</si>
  <si>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</si>
  <si>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</si>
  <si>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</si>
  <si>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</si>
  <si>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</si>
  <si>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</si>
  <si>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</si>
  <si>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</si>
  <si>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</si>
  <si>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</si>
  <si>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</si>
  <si>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</si>
  <si>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</si>
  <si>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</si>
  <si>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</si>
  <si>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</si>
  <si>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</si>
  <si>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</si>
  <si>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</si>
  <si>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</si>
  <si>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</si>
  <si>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</si>
  <si>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</si>
  <si>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</si>
  <si>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</si>
  <si>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</si>
  <si>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</si>
  <si>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</si>
  <si>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</si>
  <si>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</si>
  <si>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</si>
  <si>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</si>
  <si>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</si>
  <si>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</si>
  <si>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</si>
  <si>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</si>
  <si>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</si>
  <si>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</si>
  <si>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</si>
  <si>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</si>
  <si>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</si>
  <si>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</si>
  <si>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</si>
  <si>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</si>
  <si>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</si>
  <si>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</si>
  <si>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</si>
  <si>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</si>
  <si>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</si>
  <si>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</si>
  <si>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</si>
  <si>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</si>
  <si>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</si>
  <si>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</si>
  <si>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</si>
  <si>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</si>
  <si>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</si>
  <si>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</si>
  <si>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</si>
  <si>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</si>
  <si>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</si>
  <si>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</si>
  <si>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</si>
  <si>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</si>
  <si>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</si>
  <si>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</si>
  <si>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</si>
  <si>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</si>
  <si>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</si>
  <si>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</si>
  <si>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</si>
  <si>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</si>
  <si>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</si>
  <si>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</si>
  <si>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</si>
  <si>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</si>
  <si>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</si>
  <si>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</si>
  <si>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</si>
  <si>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</si>
  <si>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</si>
  <si>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</si>
  <si>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</si>
  <si>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</si>
  <si>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</si>
  <si>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</si>
  <si>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</si>
  <si>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</si>
  <si>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</si>
  <si>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</si>
  <si>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</si>
  <si>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</si>
  <si>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</si>
  <si>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</si>
  <si>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</si>
  <si>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</si>
  <si>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</si>
  <si>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</si>
  <si>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</si>
  <si>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</si>
  <si>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</si>
  <si>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</si>
  <si>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</si>
  <si>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</si>
  <si>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</si>
  <si>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</si>
  <si>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</si>
  <si>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</si>
  <si>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</si>
  <si>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</si>
  <si>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</si>
  <si>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</si>
  <si>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</si>
  <si>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</si>
  <si>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</si>
  <si>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</si>
  <si>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</si>
  <si>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</si>
  <si>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</si>
  <si>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</si>
  <si>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</si>
  <si>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</si>
  <si>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</si>
  <si>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</si>
  <si>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</si>
  <si>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</si>
  <si>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</si>
  <si>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</si>
  <si>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</si>
  <si>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</si>
  <si>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</si>
  <si>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</si>
  <si>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</si>
  <si>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</si>
  <si>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</si>
  <si>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</si>
  <si>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</si>
  <si>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</si>
  <si>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</si>
  <si>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</si>
  <si>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</si>
  <si>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</si>
  <si>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</si>
  <si>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</si>
  <si>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</si>
  <si>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</si>
  <si>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</si>
  <si>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</si>
  <si>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</si>
  <si>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</si>
  <si>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</si>
  <si>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</si>
  <si>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</si>
  <si>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</si>
  <si>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</si>
  <si>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</si>
  <si>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</si>
  <si>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</si>
  <si>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</si>
  <si>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</si>
  <si>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</si>
  <si>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</si>
  <si>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</si>
  <si>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</si>
  <si>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</si>
  <si>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</si>
  <si>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</si>
  <si>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</si>
  <si>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</si>
  <si>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</si>
  <si>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</si>
  <si>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</si>
  <si>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</si>
  <si>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</si>
  <si>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</si>
  <si>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</si>
  <si>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</si>
  <si>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</si>
  <si>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</si>
  <si>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</si>
  <si>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</si>
  <si>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</si>
  <si>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</si>
  <si>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</si>
  <si>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</si>
  <si>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</si>
  <si>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</si>
  <si>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</si>
  <si>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</si>
  <si>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</si>
  <si>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</si>
  <si>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</si>
  <si>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</si>
  <si>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</si>
  <si>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</si>
  <si>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</si>
  <si>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</si>
  <si>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</si>
  <si>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</si>
  <si>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</si>
  <si>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</si>
  <si>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</si>
  <si>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</si>
  <si>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</si>
  <si>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</si>
  <si>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</si>
  <si>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</si>
  <si>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</si>
  <si>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</si>
  <si>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</si>
  <si>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</si>
  <si>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</si>
  <si>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</si>
  <si>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</si>
  <si>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</si>
  <si>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</si>
  <si>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</si>
  <si>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</si>
  <si>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</si>
  <si>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</si>
  <si>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</si>
  <si>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</si>
  <si>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</si>
  <si>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</si>
  <si>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</si>
  <si>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</si>
  <si>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</si>
  <si>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</si>
  <si>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</si>
  <si>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</si>
  <si>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</si>
  <si>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</si>
  <si>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</si>
  <si>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</si>
  <si>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</si>
  <si>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</si>
  <si>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</si>
  <si>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</si>
  <si>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</si>
  <si>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</si>
  <si>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</si>
  <si>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</si>
  <si>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</si>
  <si>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</si>
  <si>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</si>
  <si>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</si>
  <si>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</si>
  <si>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</si>
  <si>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</si>
  <si>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</si>
  <si>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</si>
  <si>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</si>
  <si>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</si>
  <si>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</si>
  <si>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</si>
  <si>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</si>
  <si>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</si>
  <si>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</si>
  <si>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</si>
  <si>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</si>
  <si>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</si>
  <si>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</si>
  <si>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</si>
  <si>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</si>
  <si>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</si>
  <si>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</si>
  <si>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</si>
  <si>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</si>
  <si>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</si>
  <si>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</si>
  <si>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</si>
  <si>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</si>
  <si>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</si>
  <si>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</si>
  <si>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</si>
  <si>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</si>
  <si>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</si>
  <si>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</si>
  <si>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</si>
  <si>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</si>
  <si>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</si>
  <si>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</si>
  <si>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</si>
  <si>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</si>
  <si>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</si>
  <si>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</si>
  <si>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</si>
  <si>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</si>
  <si>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</si>
  <si>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</si>
  <si>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</si>
  <si>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</si>
  <si>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</si>
  <si>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</si>
  <si>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</si>
  <si>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</si>
  <si>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</si>
  <si>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</si>
  <si>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</si>
  <si>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</si>
  <si>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</si>
  <si>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</si>
  <si>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</si>
  <si>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</si>
  <si>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</si>
  <si>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</si>
  <si>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</si>
  <si>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</si>
  <si>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</si>
  <si>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</si>
  <si>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</si>
  <si>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</si>
  <si>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</si>
  <si>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</si>
  <si>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</si>
  <si>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</si>
  <si>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</si>
  <si>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</si>
  <si>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</si>
  <si>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</si>
  <si>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</si>
  <si>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</si>
  <si>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</si>
  <si>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</si>
  <si>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</si>
  <si>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</si>
  <si>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</si>
  <si>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</si>
  <si>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</si>
  <si>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</si>
  <si>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</si>
  <si>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</si>
  <si>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</si>
  <si>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</si>
  <si>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</si>
  <si>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</si>
  <si>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</si>
  <si>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</si>
  <si>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</si>
  <si>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</si>
  <si>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</si>
  <si>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</si>
  <si>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</si>
  <si>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</si>
  <si>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</si>
  <si>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</si>
  <si>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</si>
  <si>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</si>
  <si>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</si>
  <si>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</si>
  <si>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</si>
  <si>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</si>
  <si>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</si>
  <si>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</si>
  <si>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</si>
  <si>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</si>
  <si>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</si>
  <si>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</si>
  <si>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</si>
  <si>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</si>
  <si>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</si>
  <si>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</si>
  <si>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</si>
  <si>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</si>
  <si>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</si>
  <si>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</si>
  <si>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</si>
  <si>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</si>
  <si>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</si>
  <si>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</si>
  <si>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</si>
  <si>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</si>
  <si>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</si>
  <si>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</si>
  <si>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</si>
  <si>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</si>
  <si>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</si>
  <si>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</si>
  <si>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</si>
  <si>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</si>
  <si>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</si>
  <si>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</si>
  <si>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</si>
  <si>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</si>
  <si>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</si>
  <si>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</si>
  <si>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</si>
  <si>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</si>
  <si>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</si>
  <si>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</si>
  <si>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</si>
  <si>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</si>
  <si>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</si>
  <si>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</si>
  <si>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</si>
  <si>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</si>
  <si>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</si>
  <si>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</si>
  <si>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</si>
  <si>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</si>
  <si>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</si>
  <si>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</si>
  <si>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</si>
  <si>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</si>
  <si>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</si>
  <si>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</si>
  <si>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</si>
  <si>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</si>
  <si>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</si>
  <si>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</si>
  <si>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</si>
  <si>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</si>
  <si>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</si>
  <si>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</si>
  <si>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</si>
  <si>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</si>
  <si>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</si>
  <si>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</si>
  <si>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</si>
  <si>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</si>
  <si>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</si>
  <si>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</si>
  <si>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</si>
  <si>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</si>
  <si>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</si>
  <si>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</si>
  <si>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</si>
  <si>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</si>
  <si>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</si>
  <si>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</si>
  <si>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</si>
  <si>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</si>
  <si>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</si>
  <si>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</si>
  <si>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</si>
  <si>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</si>
  <si>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</si>
  <si>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</si>
  <si>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</si>
  <si>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</si>
  <si>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</si>
  <si>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</si>
  <si>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</si>
  <si>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</si>
  <si>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</si>
  <si>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</si>
  <si>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</si>
  <si>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</si>
  <si>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</si>
  <si>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</si>
  <si>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</si>
  <si>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</si>
  <si>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</si>
  <si>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</si>
  <si>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</si>
  <si>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</si>
  <si>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</si>
  <si>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</si>
  <si>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</si>
  <si>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</si>
  <si>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</si>
  <si>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</si>
  <si>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</si>
  <si>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</si>
  <si>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</si>
  <si>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</si>
  <si>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</si>
  <si>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</si>
  <si>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</si>
  <si>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</si>
  <si>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</si>
  <si>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</si>
  <si>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</si>
  <si>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</si>
  <si>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</si>
  <si>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</si>
  <si>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</si>
  <si>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</si>
  <si>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</si>
  <si>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</si>
  <si>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</si>
  <si>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</si>
  <si>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</si>
  <si>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</si>
  <si>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</si>
  <si>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</si>
  <si>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</si>
  <si>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</si>
  <si>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</si>
  <si>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</si>
  <si>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</si>
  <si>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</si>
  <si>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</si>
  <si>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</si>
  <si>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</si>
  <si>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</si>
  <si>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</si>
  <si>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</si>
  <si>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</si>
  <si>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</si>
  <si>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</si>
  <si>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</si>
  <si>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</si>
  <si>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</si>
  <si>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</si>
  <si>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</si>
  <si>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</si>
  <si>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</si>
  <si>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</si>
  <si>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</si>
  <si>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</si>
  <si>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</si>
  <si>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</si>
  <si>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</si>
  <si>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</si>
  <si>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</si>
  <si>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</si>
  <si>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</si>
  <si>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</si>
  <si>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</si>
  <si>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</si>
  <si>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</si>
  <si>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</si>
  <si>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</si>
  <si>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</si>
  <si>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</si>
  <si>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</si>
  <si>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</si>
  <si>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</si>
  <si>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</si>
  <si>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</si>
  <si>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</si>
  <si>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</si>
  <si>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</si>
  <si>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</si>
  <si>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</si>
  <si>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</si>
  <si>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</si>
  <si>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</si>
  <si>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</si>
  <si>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</si>
  <si>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</si>
  <si>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</si>
  <si>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</si>
  <si>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</si>
  <si>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</si>
  <si>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</si>
  <si>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</si>
  <si>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</si>
  <si>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</si>
  <si>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</si>
  <si>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</si>
  <si>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</si>
  <si>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</si>
  <si>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</si>
  <si>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</si>
  <si>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</si>
  <si>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</si>
  <si>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</si>
  <si>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</si>
  <si>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</si>
  <si>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</si>
  <si>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</si>
  <si>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</si>
  <si>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</si>
  <si>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</si>
  <si>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</si>
  <si>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</si>
  <si>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</si>
  <si>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</si>
  <si>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</si>
  <si>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</si>
  <si>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</si>
  <si>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</si>
  <si>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</si>
  <si>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</si>
  <si>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</si>
  <si>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</si>
  <si>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</si>
  <si>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</si>
  <si>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</si>
  <si>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</si>
  <si>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</si>
  <si>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</si>
  <si>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</si>
  <si>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</si>
  <si>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</si>
  <si>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</si>
  <si>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</si>
  <si>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</si>
  <si>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</si>
  <si>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</si>
  <si>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</si>
  <si>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</si>
  <si>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</si>
  <si>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</si>
  <si>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</si>
  <si>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</si>
  <si>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</si>
  <si>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</si>
  <si>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</si>
  <si>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</si>
  <si>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</si>
  <si>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</si>
  <si>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</si>
  <si>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</si>
  <si>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</si>
  <si>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</si>
  <si>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</si>
  <si>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</si>
  <si>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</si>
  <si>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</si>
  <si>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</si>
  <si>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</si>
  <si>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</si>
  <si>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</si>
  <si>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</si>
  <si>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</si>
  <si>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</si>
  <si>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</si>
  <si>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</si>
  <si>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</si>
  <si>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</si>
  <si>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</si>
  <si>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</si>
  <si>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</si>
  <si>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</si>
  <si>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</si>
  <si>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</si>
  <si>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</si>
  <si>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</si>
  <si>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</si>
  <si>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</si>
  <si>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</si>
  <si>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</si>
  <si>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</si>
  <si>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</si>
  <si>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</si>
  <si>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</si>
  <si>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</si>
  <si>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</si>
  <si>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</si>
  <si>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</si>
  <si>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</si>
  <si>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</si>
  <si>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</si>
  <si>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</si>
  <si>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</si>
  <si>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</si>
  <si>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</si>
  <si>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</si>
  <si>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</si>
  <si>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</si>
  <si>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</si>
  <si>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</si>
  <si>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</si>
  <si>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</si>
  <si>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</si>
  <si>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</si>
  <si>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</si>
  <si>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</si>
  <si>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</si>
  <si>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</si>
  <si>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</si>
  <si>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</si>
  <si>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</si>
  <si>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</si>
  <si>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</si>
  <si>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</si>
  <si>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</si>
  <si>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</si>
  <si>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</si>
  <si>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</si>
  <si>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</si>
  <si>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</si>
  <si>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</si>
  <si>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</si>
  <si>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</si>
  <si>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</si>
  <si>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</si>
  <si>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</si>
  <si>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</si>
  <si>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</si>
  <si>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</si>
  <si>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</si>
  <si>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</si>
  <si>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</si>
  <si>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</si>
  <si>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</si>
  <si>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</si>
  <si>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</si>
  <si>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</si>
  <si>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</si>
  <si>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</si>
  <si>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</si>
  <si>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</si>
  <si>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</si>
  <si>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</si>
  <si>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</si>
  <si>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</si>
  <si>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</si>
  <si>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</si>
  <si>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</si>
  <si>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</si>
  <si>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</si>
  <si>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</si>
  <si>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</si>
  <si>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</si>
  <si>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</si>
  <si>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</si>
  <si>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</si>
  <si>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</si>
  <si>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</si>
  <si>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</si>
  <si>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</si>
  <si>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</si>
  <si>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</si>
  <si>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</si>
  <si>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</si>
  <si>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</si>
  <si>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</si>
  <si>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</si>
  <si>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</si>
  <si>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</si>
  <si>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</si>
  <si>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</si>
  <si>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</si>
  <si>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</si>
  <si>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</si>
  <si>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</si>
  <si>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</si>
  <si>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</si>
  <si>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</si>
  <si>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</si>
  <si>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</si>
  <si>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</si>
  <si>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</si>
  <si>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</si>
  <si>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</si>
  <si>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</si>
  <si>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</si>
  <si>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</si>
  <si>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</si>
  <si>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</si>
  <si>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</si>
  <si>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</si>
  <si>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</si>
  <si>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</si>
  <si>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</si>
  <si>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</si>
  <si>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</si>
  <si>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</si>
  <si>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</si>
  <si>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</si>
  <si>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</si>
  <si>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</si>
  <si>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</si>
  <si>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</si>
  <si>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</si>
  <si>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</si>
  <si>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</si>
  <si>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</si>
  <si>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</si>
  <si>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</si>
  <si>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</si>
  <si>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</si>
  <si>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</si>
  <si>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</si>
  <si>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</si>
  <si>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</si>
  <si>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</si>
  <si>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</si>
  <si>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</si>
  <si>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</si>
  <si>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</si>
  <si>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</si>
  <si>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</si>
  <si>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</si>
  <si>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</si>
  <si>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</si>
  <si>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</si>
  <si>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</si>
  <si>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</si>
  <si>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</si>
  <si>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</si>
  <si>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</si>
  <si>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</si>
  <si>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</si>
  <si>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</si>
  <si>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</si>
  <si>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</si>
  <si>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</si>
  <si>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</si>
  <si>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</si>
  <si>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</si>
  <si>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</si>
  <si>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</si>
  <si>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</si>
  <si>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</si>
  <si>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</si>
  <si>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</si>
  <si>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</si>
  <si>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</si>
  <si>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</si>
  <si>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</si>
  <si>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</si>
  <si>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</si>
  <si>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</si>
  <si>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</si>
  <si>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</si>
  <si>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</si>
  <si>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</si>
  <si>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</si>
  <si>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</si>
  <si>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</si>
  <si>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</si>
  <si>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</si>
  <si>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</si>
  <si>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</si>
  <si>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</si>
  <si>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</si>
  <si>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</si>
  <si>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</si>
  <si>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</si>
  <si>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</si>
  <si>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</si>
  <si>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</si>
  <si>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</si>
  <si>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</si>
  <si>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</si>
  <si>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</si>
  <si>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</si>
  <si>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</si>
  <si>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</si>
  <si>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</si>
  <si>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</si>
  <si>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</si>
  <si>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</si>
  <si>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</si>
  <si>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</si>
  <si>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</si>
  <si>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</si>
  <si>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</si>
  <si>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</si>
  <si>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</si>
  <si>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</si>
  <si>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</si>
  <si>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</si>
  <si>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</si>
  <si>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</si>
  <si>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</si>
  <si>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</si>
  <si>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</si>
  <si>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</si>
  <si>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</si>
  <si>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</si>
  <si>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</si>
  <si>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</si>
  <si>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</si>
  <si>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</si>
  <si>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</si>
  <si>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</si>
  <si>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</si>
  <si>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</si>
  <si>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</si>
  <si>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</si>
  <si>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</si>
  <si>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</si>
  <si>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</si>
  <si>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</si>
  <si>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</si>
  <si>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</si>
  <si>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</si>
  <si>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</si>
  <si>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</si>
  <si>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</si>
  <si>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</si>
  <si>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</si>
  <si>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</si>
  <si>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</si>
  <si>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</si>
  <si>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</si>
  <si>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</si>
  <si>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</si>
  <si>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</si>
  <si>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</si>
  <si>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</si>
  <si>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</si>
  <si>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</si>
  <si>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</si>
  <si>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</si>
  <si>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</si>
  <si>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</si>
  <si>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</si>
  <si>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</si>
  <si>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</si>
  <si>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</si>
  <si>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</si>
  <si>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</si>
  <si>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</si>
  <si>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</si>
  <si>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</si>
  <si>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</si>
  <si>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</si>
  <si>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</si>
  <si>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</si>
  <si>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</si>
  <si>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</si>
  <si>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</si>
  <si>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</si>
  <si>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</si>
  <si>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</si>
  <si>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</si>
  <si>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</si>
  <si>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</si>
  <si>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</si>
  <si>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</si>
  <si>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</si>
  <si>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</si>
  <si>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</si>
  <si>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</si>
  <si>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</si>
  <si>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</si>
  <si>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</si>
  <si>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</si>
  <si>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</si>
  <si>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</si>
  <si>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</si>
  <si>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</si>
  <si>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</si>
  <si>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</si>
  <si>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</si>
  <si>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</si>
  <si>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</si>
  <si>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</si>
  <si>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</si>
  <si>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</si>
  <si>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</si>
  <si>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</si>
  <si>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</si>
  <si>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</si>
  <si>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</si>
  <si>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</si>
  <si>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</si>
  <si>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</si>
  <si>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</si>
  <si>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</si>
  <si>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</si>
  <si>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</si>
  <si>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</si>
  <si>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</si>
  <si>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</si>
  <si>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</si>
  <si>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</si>
  <si>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</si>
  <si>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</si>
  <si>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</si>
  <si>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</si>
  <si>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</si>
  <si>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</si>
  <si>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</si>
  <si>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</si>
  <si>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</si>
  <si>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</si>
  <si>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</si>
  <si>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</si>
  <si>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</si>
  <si>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</si>
  <si>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</si>
  <si>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</si>
  <si>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</si>
  <si>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</si>
  <si>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</si>
  <si>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</si>
  <si>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</si>
  <si>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</si>
  <si>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</si>
  <si>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</si>
  <si>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</si>
  <si>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</si>
  <si>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</si>
  <si>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</si>
  <si>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</si>
  <si>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</si>
  <si>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</si>
  <si>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</si>
  <si>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</si>
  <si>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</si>
  <si>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</si>
  <si>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</si>
  <si>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</si>
  <si>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</si>
  <si>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</si>
  <si>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</si>
  <si>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</si>
  <si>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</si>
  <si>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</si>
  <si>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</si>
  <si>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</si>
  <si>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</si>
  <si>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</si>
  <si>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</si>
  <si>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</si>
  <si>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</si>
  <si>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</si>
  <si>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</si>
  <si>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</si>
  <si>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</si>
  <si>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</si>
  <si>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</si>
  <si>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</si>
  <si>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</si>
  <si>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</si>
  <si>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</si>
  <si>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</si>
  <si>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</si>
  <si>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</si>
  <si>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</si>
  <si>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</si>
  <si>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</si>
  <si>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</si>
  <si>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</si>
  <si>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</si>
  <si>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</si>
  <si>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</si>
  <si>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</si>
  <si>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</si>
  <si>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</si>
  <si>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</si>
  <si>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</si>
  <si>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</si>
  <si>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</si>
  <si>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</si>
  <si>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</si>
  <si>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</si>
  <si>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</si>
  <si>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</si>
  <si>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</si>
  <si>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</si>
  <si>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</si>
  <si>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</si>
  <si>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</si>
  <si>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</si>
  <si>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</si>
  <si>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</si>
  <si>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</si>
  <si>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</si>
  <si>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</si>
  <si>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</si>
  <si>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</si>
  <si>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</si>
  <si>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</si>
  <si>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</si>
  <si>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</si>
  <si>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</si>
  <si>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</si>
  <si>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</si>
  <si>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</si>
  <si>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</si>
  <si>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</si>
  <si>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</si>
  <si>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</si>
  <si>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</si>
  <si>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</si>
  <si>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</si>
  <si>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</si>
  <si>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</si>
  <si>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</si>
  <si>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</si>
  <si>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</si>
  <si>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</si>
  <si>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</si>
  <si>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</si>
  <si>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</si>
  <si>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</si>
  <si>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</si>
  <si>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</si>
  <si>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</si>
  <si>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</si>
  <si>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</si>
  <si>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</si>
  <si>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</si>
  <si>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</si>
  <si>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</si>
  <si>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</si>
  <si>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</si>
  <si>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</si>
  <si>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</si>
  <si>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</si>
  <si>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</si>
  <si>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</si>
  <si>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</si>
  <si>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</si>
  <si>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</si>
  <si>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</si>
  <si>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</si>
  <si>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</si>
  <si>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</si>
  <si>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</si>
  <si>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</si>
  <si>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</si>
  <si>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</si>
  <si>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</si>
  <si>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</si>
  <si>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</si>
  <si>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</si>
  <si>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</si>
  <si>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</si>
  <si>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</si>
  <si>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</si>
  <si>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</si>
  <si>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</si>
  <si>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</si>
  <si>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</si>
  <si>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</si>
  <si>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</si>
  <si>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</si>
  <si>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</si>
  <si>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</si>
  <si>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</si>
  <si>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</si>
  <si>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</si>
  <si>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</si>
  <si>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</si>
  <si>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</si>
  <si>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</si>
  <si>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</si>
  <si>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</si>
  <si>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</si>
  <si>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</si>
  <si>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</si>
  <si>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</si>
  <si>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</si>
  <si>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</si>
  <si>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</si>
  <si>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</si>
  <si>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</si>
  <si>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</si>
  <si>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</si>
  <si>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</si>
  <si>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</si>
  <si>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</si>
  <si>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</si>
  <si>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</si>
  <si>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</si>
  <si>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</si>
  <si>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</si>
  <si>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</si>
  <si>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</si>
  <si>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</si>
  <si>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</si>
  <si>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</si>
  <si>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</si>
  <si>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</si>
  <si>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</si>
  <si>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</si>
  <si>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</si>
  <si>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</si>
  <si>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</si>
  <si>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</si>
  <si>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</si>
  <si>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</si>
  <si>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</si>
  <si>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</si>
  <si>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</si>
  <si>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</si>
  <si>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</si>
  <si>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</si>
  <si>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</si>
  <si>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</si>
  <si>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</si>
  <si>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</si>
  <si>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</si>
  <si>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</si>
  <si>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</si>
  <si>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</si>
  <si>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</si>
  <si>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</si>
  <si>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</si>
  <si>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</si>
  <si>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</si>
  <si>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</si>
  <si>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</si>
  <si>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</si>
  <si>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</si>
  <si>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</si>
  <si>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</si>
  <si>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</si>
  <si>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</si>
  <si>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</si>
  <si>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</si>
  <si>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</si>
  <si>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</si>
  <si>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</si>
  <si>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</si>
  <si>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</si>
  <si>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</si>
  <si>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</si>
  <si>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</si>
  <si>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</si>
  <si>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</si>
  <si>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</si>
  <si>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</si>
  <si>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</si>
  <si>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</si>
  <si>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</si>
  <si>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</si>
  <si>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</si>
  <si>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</si>
  <si>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</si>
  <si>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</si>
  <si>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</si>
  <si>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</si>
  <si>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</si>
  <si>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</si>
  <si>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</si>
  <si>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</si>
  <si>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</si>
  <si>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</si>
  <si>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</si>
  <si>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</si>
  <si>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</si>
  <si>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</si>
  <si>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</si>
  <si>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</si>
  <si>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</si>
  <si>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</si>
  <si>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</si>
  <si>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</si>
  <si>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</si>
  <si>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</si>
  <si>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</si>
  <si>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</si>
  <si>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</si>
  <si>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</si>
  <si>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</si>
  <si>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</si>
  <si>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</si>
  <si>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</si>
  <si>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</si>
  <si>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</si>
  <si>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</si>
  <si>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</si>
  <si>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</si>
  <si>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</si>
  <si>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</si>
  <si>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</si>
  <si>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</si>
  <si>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</si>
  <si>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</si>
  <si>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</si>
  <si>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</si>
  <si>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</si>
  <si>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</si>
  <si>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</si>
  <si>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</si>
  <si>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</si>
  <si>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</si>
  <si>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</si>
  <si>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</si>
  <si>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</si>
  <si>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</si>
  <si>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</si>
  <si>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</si>
  <si>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</si>
  <si>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</si>
  <si>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</si>
  <si>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</si>
  <si>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</si>
  <si>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</si>
  <si>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</si>
  <si>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</si>
  <si>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</si>
  <si>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</si>
  <si>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</si>
  <si>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</si>
  <si>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</si>
  <si>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</si>
  <si>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</si>
  <si>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</si>
  <si>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</si>
  <si>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</si>
  <si>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</si>
  <si>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</si>
  <si>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</si>
  <si>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</si>
  <si>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</si>
  <si>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</si>
  <si>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</si>
  <si>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</si>
  <si>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</si>
  <si>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</si>
  <si>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</si>
  <si>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</si>
  <si>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</si>
  <si>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</si>
  <si>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</si>
  <si>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</si>
  <si>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</si>
  <si>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</si>
  <si>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</si>
  <si>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</si>
  <si>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</si>
  <si>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</si>
  <si>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</si>
  <si>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</si>
  <si>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</si>
  <si>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</si>
  <si>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</si>
  <si>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</si>
  <si>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</si>
  <si>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</si>
  <si>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</si>
  <si>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</si>
  <si>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</si>
  <si>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</si>
  <si>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</si>
  <si>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</si>
  <si>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</si>
  <si>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</si>
  <si>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</si>
  <si>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</si>
  <si>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</si>
  <si>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</si>
  <si>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</si>
  <si>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</si>
  <si>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</si>
  <si>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</si>
  <si>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</si>
  <si>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</si>
  <si>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</si>
  <si>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</si>
  <si>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</si>
  <si>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</si>
  <si>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</si>
  <si>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</si>
  <si>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</si>
  <si>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</si>
  <si>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</si>
  <si>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</si>
  <si>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</si>
  <si>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</si>
  <si>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</si>
  <si>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</si>
  <si>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</si>
  <si>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</si>
  <si>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</si>
  <si>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</si>
  <si>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</si>
  <si>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</si>
  <si>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</si>
  <si>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</si>
  <si>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</si>
  <si>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</si>
  <si>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</si>
  <si>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</si>
  <si>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</si>
  <si>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</si>
  <si>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</si>
  <si>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</si>
  <si>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</si>
  <si>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</si>
  <si>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</si>
  <si>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</si>
  <si>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</si>
  <si>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</si>
  <si>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</si>
  <si>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</si>
  <si>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</si>
  <si>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</si>
  <si>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</si>
  <si>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</si>
  <si>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</si>
  <si>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</si>
  <si>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</si>
  <si>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</si>
  <si>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</si>
  <si>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</si>
  <si>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</si>
  <si>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</si>
  <si>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</si>
  <si>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</si>
  <si>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</si>
  <si>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</si>
  <si>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</si>
  <si>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</si>
  <si>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</si>
  <si>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</si>
  <si>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</si>
  <si>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</si>
  <si>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</si>
  <si>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</si>
  <si>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</si>
  <si>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</si>
  <si>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</si>
  <si>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</si>
  <si>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</si>
  <si>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</si>
  <si>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</si>
  <si>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</si>
  <si>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</si>
  <si>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</si>
  <si>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</si>
  <si>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</si>
  <si>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</si>
  <si>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</si>
  <si>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</si>
  <si>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</si>
  <si>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</si>
  <si>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</si>
  <si>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</si>
  <si>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</si>
  <si>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</si>
  <si>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</si>
  <si>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</si>
  <si>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</si>
  <si>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</si>
  <si>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</si>
  <si>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</si>
  <si>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</si>
  <si>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</si>
  <si>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</si>
  <si>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</si>
  <si>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</si>
  <si>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</si>
  <si>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</si>
  <si>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</si>
  <si>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</si>
  <si>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</si>
  <si>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</si>
  <si>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</si>
  <si>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</si>
  <si>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</si>
  <si>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</si>
  <si>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</si>
  <si>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</si>
  <si>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</si>
  <si>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</si>
  <si>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</si>
  <si>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</si>
  <si>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</si>
  <si>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</si>
  <si>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</si>
  <si>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</si>
  <si>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</si>
  <si>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</si>
  <si>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</si>
  <si>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</si>
  <si>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</si>
  <si>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</si>
  <si>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</si>
  <si>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</si>
  <si>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</si>
  <si>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</si>
  <si>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</si>
  <si>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</si>
  <si>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</si>
  <si>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</si>
  <si>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</si>
  <si>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</si>
  <si>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</si>
  <si>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</si>
  <si>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</si>
  <si>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</si>
  <si>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</si>
  <si>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</si>
  <si>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</si>
  <si>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</si>
  <si>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</si>
  <si>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</si>
  <si>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</si>
  <si>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</si>
  <si>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</si>
  <si>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</si>
  <si>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</si>
  <si>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</si>
  <si>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</si>
  <si>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</si>
  <si>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</si>
  <si>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</si>
  <si>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</si>
  <si>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</si>
  <si>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</si>
  <si>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</si>
  <si>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</si>
  <si>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</si>
  <si>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</si>
  <si>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</si>
  <si>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</si>
  <si>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</si>
  <si>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</si>
  <si>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</si>
  <si>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</si>
  <si>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</si>
  <si>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</si>
  <si>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</si>
  <si>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</si>
  <si>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</si>
  <si>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</si>
  <si>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</si>
  <si>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</si>
  <si>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</si>
  <si>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</si>
  <si>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</si>
  <si>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</si>
  <si>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</si>
  <si>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</si>
  <si>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</si>
  <si>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</si>
  <si>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</si>
  <si>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</si>
  <si>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</si>
  <si>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</si>
  <si>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</si>
  <si>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</si>
  <si>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</si>
  <si>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</si>
  <si>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</si>
  <si>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</si>
  <si>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</si>
  <si>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</si>
  <si>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</si>
  <si>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</si>
  <si>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</si>
  <si>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</si>
  <si>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</si>
  <si>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</si>
  <si>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</si>
  <si>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</si>
  <si>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</si>
  <si>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</si>
  <si>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</si>
  <si>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</si>
  <si>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</si>
  <si>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</si>
  <si>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</si>
  <si>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</si>
  <si>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</si>
  <si>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</si>
  <si>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</si>
  <si>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</si>
  <si>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</si>
  <si>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</si>
  <si>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</si>
  <si>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</si>
  <si>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</si>
  <si>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</si>
  <si>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</si>
  <si>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</si>
  <si>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</si>
  <si>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</si>
  <si>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</si>
  <si>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</si>
  <si>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</si>
  <si>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</si>
  <si>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</si>
  <si>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</si>
  <si>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</si>
  <si>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</si>
  <si>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</si>
  <si>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</si>
  <si>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</si>
  <si>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</si>
  <si>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</si>
  <si>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</si>
  <si>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</si>
  <si>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</si>
  <si>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</si>
  <si>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</si>
  <si>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</si>
  <si>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</si>
  <si>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</si>
  <si>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</si>
  <si>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</si>
  <si>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</si>
  <si>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</si>
  <si>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</si>
  <si>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</si>
  <si>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</si>
  <si>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</si>
  <si>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</si>
  <si>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</si>
  <si>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</si>
  <si>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</si>
  <si>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</si>
  <si>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</si>
  <si>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</si>
  <si>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</si>
  <si>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</si>
  <si>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</si>
  <si>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</si>
  <si>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</si>
  <si>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</si>
  <si>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</si>
  <si>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</si>
  <si>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</si>
  <si>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</si>
  <si>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</si>
  <si>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</si>
  <si>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</si>
  <si>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</si>
  <si>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</si>
  <si>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</si>
  <si>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</si>
  <si>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</si>
  <si>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</si>
  <si>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</si>
  <si>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</si>
  <si>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</si>
  <si>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</si>
  <si>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</si>
  <si>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</si>
  <si>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</si>
  <si>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</si>
  <si>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</si>
  <si>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</si>
  <si>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</si>
  <si>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</si>
  <si>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</si>
  <si>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</si>
  <si>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</si>
  <si>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</si>
  <si>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</si>
  <si>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</si>
  <si>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</si>
  <si>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</si>
  <si>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</si>
  <si>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</si>
  <si>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</si>
  <si>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</si>
  <si>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</si>
  <si>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</si>
  <si>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</si>
  <si>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</si>
  <si>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</si>
  <si>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</si>
  <si>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</si>
  <si>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</si>
  <si>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</si>
  <si>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</si>
  <si>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</si>
  <si>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</si>
  <si>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</si>
  <si>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</si>
  <si>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</si>
  <si>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</si>
  <si>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</si>
  <si>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</si>
  <si>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</si>
  <si>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</si>
  <si>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</si>
  <si>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</si>
  <si>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</si>
  <si>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</si>
  <si>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</si>
  <si>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</si>
  <si>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</si>
  <si>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</si>
  <si>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</si>
  <si>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</si>
  <si>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</si>
  <si>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</si>
  <si>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</si>
  <si>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</si>
  <si>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</si>
  <si>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</si>
  <si>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</si>
  <si>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</si>
  <si>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</si>
  <si>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</si>
  <si>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</si>
  <si>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</si>
  <si>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</si>
  <si>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</si>
  <si>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</si>
  <si>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</si>
  <si>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</si>
  <si>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</si>
  <si>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</si>
  <si>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</si>
  <si>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</si>
  <si>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</si>
  <si>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</si>
  <si>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</si>
  <si>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</si>
  <si>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</si>
  <si>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</si>
  <si>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</si>
  <si>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</si>
  <si>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</si>
  <si>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</si>
  <si>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</si>
  <si>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</si>
  <si>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</si>
  <si>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</si>
  <si>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</si>
  <si>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</si>
  <si>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</si>
  <si>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</si>
  <si>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</si>
  <si>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</si>
  <si>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</si>
  <si>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</si>
  <si>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</si>
  <si>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</si>
  <si>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</si>
  <si>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</si>
  <si>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</si>
  <si>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</si>
  <si>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</si>
  <si>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</si>
  <si>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</si>
  <si>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</si>
  <si>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</si>
  <si>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</si>
  <si>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</si>
  <si>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</si>
  <si>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</si>
  <si>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</si>
  <si>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</si>
  <si>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</si>
  <si>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</si>
  <si>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</si>
  <si>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</si>
  <si>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</si>
  <si>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</si>
  <si>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</si>
  <si>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</si>
  <si>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</si>
  <si>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</si>
  <si>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</si>
  <si>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</si>
  <si>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</si>
  <si>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</si>
  <si>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</si>
  <si>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</si>
  <si>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</si>
  <si>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</si>
  <si>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</si>
  <si>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</si>
  <si>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</si>
  <si>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</si>
  <si>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</si>
  <si>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</si>
  <si>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</si>
  <si>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</si>
  <si>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</si>
  <si>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</si>
  <si>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</si>
  <si>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</si>
  <si>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</si>
  <si>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</si>
  <si>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</si>
  <si>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</si>
  <si>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</si>
  <si>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</si>
  <si>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</si>
  <si>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</si>
  <si>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</si>
  <si>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</si>
  <si>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</si>
  <si>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</si>
  <si>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</si>
  <si>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</si>
  <si>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</si>
  <si>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</si>
  <si>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</si>
  <si>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</si>
  <si>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</si>
  <si>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</si>
  <si>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</si>
  <si>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</si>
  <si>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</si>
  <si>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</si>
  <si>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</si>
  <si>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</si>
  <si>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</si>
  <si>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</si>
  <si>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</si>
  <si>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</si>
  <si>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</si>
  <si>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</si>
  <si>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</si>
  <si>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</si>
  <si>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</si>
  <si>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</si>
  <si>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</si>
  <si>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</si>
  <si>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</si>
  <si>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</si>
  <si>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</si>
  <si>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</si>
  <si>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</si>
  <si>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</si>
  <si>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</si>
  <si>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</si>
  <si>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</si>
  <si>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</si>
  <si>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</si>
  <si>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</si>
  <si>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</si>
  <si>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</si>
  <si>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</si>
  <si>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</si>
  <si>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</si>
  <si>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</si>
  <si>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</si>
  <si>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</si>
  <si>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</si>
  <si>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</si>
  <si>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</si>
  <si>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</si>
  <si>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</si>
  <si>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</si>
  <si>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</si>
  <si>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</si>
  <si>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</si>
  <si>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</si>
  <si>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</si>
  <si>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</si>
  <si>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</si>
  <si>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</si>
  <si>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</si>
  <si>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</si>
  <si>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</si>
  <si>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</si>
  <si>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</si>
  <si>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</si>
  <si>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</si>
  <si>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</si>
  <si>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</si>
  <si>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</si>
  <si>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</si>
  <si>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</si>
  <si>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</si>
  <si>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</si>
  <si>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</si>
  <si>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</si>
  <si>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</si>
  <si>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</si>
  <si>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</si>
  <si>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</si>
  <si>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</si>
  <si>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</si>
  <si>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</si>
  <si>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</si>
  <si>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</si>
  <si>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</si>
  <si>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</si>
  <si>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</si>
  <si>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</si>
  <si>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</si>
  <si>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</si>
  <si>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</si>
  <si>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</si>
  <si>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</si>
  <si>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</si>
  <si>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</si>
  <si>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</si>
  <si>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</si>
  <si>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</si>
  <si>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</si>
  <si>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</si>
  <si>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</si>
  <si>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</si>
  <si>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</si>
  <si>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</si>
  <si>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</si>
  <si>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</si>
  <si>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</si>
  <si>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</si>
  <si>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</si>
  <si>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</si>
  <si>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</si>
  <si>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</si>
  <si>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</si>
  <si>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</si>
  <si>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</si>
  <si>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</si>
  <si>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</si>
  <si>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</si>
  <si>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</si>
  <si>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</si>
  <si>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</si>
  <si>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</si>
  <si>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</si>
  <si>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</si>
  <si>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</si>
  <si>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</si>
  <si>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</si>
  <si>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</si>
  <si>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</si>
  <si>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</si>
  <si>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</si>
  <si>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</si>
  <si>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</si>
  <si>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</si>
  <si>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</si>
  <si>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</si>
  <si>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</si>
  <si>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</si>
  <si>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</si>
  <si>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</si>
  <si>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</si>
  <si>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</si>
  <si>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</si>
  <si>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</si>
  <si>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</si>
  <si>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</si>
  <si>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</si>
  <si>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</si>
  <si>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</si>
  <si>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</si>
  <si>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</si>
  <si>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</si>
  <si>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</si>
  <si>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</si>
  <si>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</si>
  <si>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</si>
  <si>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</si>
  <si>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</si>
  <si>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</si>
  <si>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</si>
  <si>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</si>
  <si>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</si>
  <si>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</si>
  <si>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</si>
  <si>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</si>
  <si>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</si>
  <si>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</si>
  <si>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</si>
  <si>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</si>
  <si>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</si>
  <si>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</si>
  <si>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</si>
  <si>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</si>
  <si>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</si>
  <si>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</si>
  <si>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</si>
  <si>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</si>
  <si>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</si>
  <si>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</si>
  <si>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</si>
  <si>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</si>
  <si>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</si>
  <si>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</si>
  <si>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</si>
  <si>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</si>
  <si>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</si>
  <si>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</si>
  <si>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</si>
  <si>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</si>
  <si>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</si>
  <si>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</si>
  <si>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</si>
  <si>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</si>
  <si>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</si>
  <si>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</si>
  <si>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</si>
  <si>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</si>
  <si>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</si>
  <si>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</si>
  <si>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</si>
  <si>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</si>
  <si>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</si>
  <si>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</si>
  <si>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</si>
  <si>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</si>
  <si>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</si>
  <si>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</si>
  <si>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</si>
  <si>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</si>
  <si>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</si>
  <si>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</si>
  <si>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</si>
  <si>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</si>
  <si>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</si>
  <si>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</si>
  <si>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</si>
  <si>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</si>
  <si>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</si>
  <si>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</si>
  <si>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</si>
  <si>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</si>
  <si>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</si>
  <si>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</si>
  <si>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</si>
  <si>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</si>
  <si>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</si>
  <si>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</si>
  <si>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</si>
  <si>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</si>
  <si>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</si>
  <si>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</si>
  <si>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</si>
  <si>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</si>
  <si>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</si>
  <si>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</si>
  <si>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</si>
  <si>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</si>
  <si>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</si>
  <si>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</si>
  <si>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</si>
  <si>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</si>
  <si>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</si>
  <si>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</si>
  <si>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</si>
  <si>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</si>
  <si>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</si>
  <si>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</si>
  <si>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</si>
  <si>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</si>
  <si>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</si>
  <si>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</si>
  <si>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</si>
  <si>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</si>
  <si>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</si>
  <si>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</si>
  <si>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</si>
  <si>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</si>
  <si>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</si>
  <si>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</si>
  <si>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</si>
  <si>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</si>
  <si>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</si>
  <si>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</si>
  <si>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</si>
  <si>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</si>
  <si>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</si>
  <si>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</si>
  <si>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</si>
  <si>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</si>
  <si>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</si>
  <si>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</si>
  <si>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</si>
  <si>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</si>
  <si>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</si>
  <si>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</si>
  <si>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</si>
  <si>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</si>
  <si>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</si>
  <si>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</si>
  <si>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</si>
  <si>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</si>
  <si>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</si>
  <si>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</si>
  <si>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</si>
  <si>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</si>
  <si>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</si>
  <si>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</si>
  <si>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</si>
  <si>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</si>
  <si>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</si>
  <si>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</si>
  <si>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</si>
  <si>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</si>
  <si>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</si>
  <si>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</si>
  <si>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</si>
  <si>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</si>
  <si>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</si>
  <si>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</si>
  <si>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</si>
  <si>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</si>
  <si>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</si>
  <si>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</si>
  <si>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</si>
  <si>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</si>
  <si>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</si>
  <si>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</si>
  <si>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</si>
  <si>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</si>
  <si>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</si>
  <si>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</si>
  <si>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</si>
  <si>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</si>
  <si>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</si>
  <si>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</si>
  <si>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</si>
  <si>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</si>
  <si>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</si>
  <si>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</si>
  <si>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</si>
  <si>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</si>
  <si>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</si>
  <si>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</si>
  <si>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</si>
  <si>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</si>
  <si>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</si>
  <si>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</si>
  <si>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</si>
  <si>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</si>
  <si>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</si>
  <si>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</si>
  <si>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</si>
  <si>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</si>
  <si>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</si>
  <si>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</si>
  <si>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</si>
  <si>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</si>
  <si>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</si>
  <si>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</si>
  <si>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</si>
  <si>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</si>
  <si>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</si>
  <si>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</si>
  <si>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</si>
  <si>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</si>
  <si>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</si>
  <si>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</si>
  <si>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</si>
  <si>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</si>
  <si>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</si>
  <si>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</si>
  <si>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</si>
  <si>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</si>
  <si>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</si>
  <si>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</si>
  <si>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</si>
  <si>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</si>
  <si>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</si>
  <si>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</si>
  <si>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</si>
  <si>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</si>
  <si>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</si>
  <si>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</si>
  <si>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</si>
  <si>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</si>
  <si>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</si>
  <si>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</si>
  <si>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</si>
  <si>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</si>
  <si>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</si>
  <si>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</si>
  <si>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</si>
  <si>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</si>
  <si>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</si>
  <si>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</si>
  <si>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</si>
  <si>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</si>
  <si>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</si>
  <si>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</si>
  <si>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</si>
  <si>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</si>
  <si>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</si>
  <si>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</si>
  <si>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</si>
  <si>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</si>
  <si>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</si>
  <si>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</si>
  <si>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</si>
  <si>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</si>
  <si>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</si>
  <si>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</si>
  <si>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</si>
  <si>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</si>
  <si>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</si>
  <si>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</si>
  <si>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</si>
  <si>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</si>
  <si>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</si>
  <si>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</si>
  <si>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</si>
  <si>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</si>
  <si>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</si>
  <si>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</si>
  <si>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</si>
  <si>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</si>
  <si>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</si>
  <si>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</si>
  <si>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</si>
  <si>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</si>
  <si>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</si>
  <si>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</si>
  <si>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</si>
  <si>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</si>
  <si>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</si>
  <si>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</si>
  <si>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</si>
  <si>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</si>
  <si>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</si>
  <si>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</si>
  <si>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</si>
  <si>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</si>
  <si>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</si>
  <si>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</si>
  <si>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</si>
  <si>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</si>
  <si>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</si>
  <si>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</si>
  <si>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</si>
  <si>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</si>
  <si>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</si>
  <si>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</si>
  <si>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</si>
  <si>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</si>
  <si>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</si>
  <si>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</si>
  <si>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</si>
  <si>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</si>
  <si>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</si>
  <si>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</si>
  <si>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</si>
  <si>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</si>
  <si>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</si>
  <si>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</si>
  <si>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</si>
  <si>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</si>
  <si>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</si>
  <si>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</si>
  <si>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</si>
  <si>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</si>
  <si>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</si>
  <si>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</si>
  <si>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</si>
  <si>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</si>
  <si>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</si>
  <si>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</si>
  <si>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</si>
  <si>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</si>
  <si>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</si>
  <si>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</si>
  <si>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</si>
  <si>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</si>
  <si>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</si>
  <si>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</si>
  <si>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</si>
  <si>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</si>
  <si>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</si>
  <si>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</si>
  <si>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</si>
  <si>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</si>
  <si>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</si>
  <si>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</si>
  <si>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</si>
  <si>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</si>
  <si>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</si>
  <si>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</si>
  <si>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</si>
  <si>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</si>
  <si>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</si>
  <si>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</si>
  <si>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</si>
  <si>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</si>
  <si>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</si>
  <si>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</si>
  <si>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</si>
  <si>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</si>
  <si>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</si>
  <si>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</si>
  <si>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</si>
  <si>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</si>
  <si>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</si>
  <si>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</si>
  <si>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</si>
  <si>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</si>
  <si>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</si>
  <si>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</si>
  <si>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</si>
  <si>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</si>
  <si>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</si>
  <si>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</si>
  <si>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</si>
  <si>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</si>
  <si>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</si>
  <si>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</si>
  <si>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</si>
  <si>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</si>
  <si>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</si>
  <si>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</si>
  <si>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</si>
  <si>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</si>
  <si>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</si>
  <si>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</si>
  <si>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</si>
  <si>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</si>
  <si>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</si>
  <si>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</si>
  <si>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</si>
  <si>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</si>
  <si>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</si>
  <si>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</si>
  <si>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</si>
  <si>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</si>
  <si>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</si>
  <si>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</si>
  <si>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</si>
  <si>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</si>
  <si>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</si>
  <si>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</si>
  <si>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</si>
  <si>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</si>
  <si>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</si>
  <si>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</si>
  <si>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</si>
  <si>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</si>
  <si>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</si>
  <si>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</si>
  <si>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</si>
  <si>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</si>
  <si>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</si>
  <si>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</si>
  <si>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</si>
  <si>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</si>
  <si>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</si>
  <si>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</si>
  <si>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</si>
  <si>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</si>
  <si>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</si>
  <si>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</si>
  <si>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</si>
  <si>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</si>
  <si>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</si>
  <si>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</si>
  <si>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</si>
  <si>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</si>
  <si>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</si>
  <si>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</si>
  <si>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</si>
  <si>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</si>
  <si>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</si>
  <si>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</si>
  <si>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</si>
  <si>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</si>
  <si>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</si>
  <si>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</si>
  <si>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</si>
  <si>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</si>
  <si>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</si>
  <si>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</si>
  <si>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</si>
  <si>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</si>
  <si>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</si>
  <si>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</si>
  <si>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</si>
  <si>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</si>
  <si>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</si>
  <si>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</si>
  <si>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</si>
  <si>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</si>
  <si>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</si>
  <si>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</si>
  <si>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</si>
  <si>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</si>
  <si>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</si>
  <si>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</si>
  <si>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</si>
  <si>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</si>
  <si>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</si>
  <si>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</si>
  <si>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</si>
  <si>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</si>
  <si>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</si>
  <si>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</si>
  <si>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</si>
  <si>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</si>
  <si>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</si>
  <si>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</si>
  <si>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</si>
  <si>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</si>
  <si>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</si>
  <si>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</si>
  <si>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</si>
  <si>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</si>
  <si>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</si>
  <si>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</si>
  <si>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</si>
  <si>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</si>
  <si>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</si>
  <si>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</si>
  <si>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</si>
  <si>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</si>
  <si>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</si>
  <si>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</si>
  <si>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</si>
  <si>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</si>
  <si>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</si>
  <si>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</si>
  <si>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</si>
  <si>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</si>
  <si>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</si>
  <si>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</si>
  <si>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</si>
  <si>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</si>
  <si>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</si>
  <si>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</si>
  <si>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</si>
  <si>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</si>
  <si>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</si>
  <si>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</si>
  <si>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</si>
  <si>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</si>
  <si>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</si>
  <si>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</si>
  <si>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</si>
  <si>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</si>
  <si>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</si>
  <si>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</si>
  <si>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</si>
  <si>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</si>
  <si>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</si>
  <si>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</si>
  <si>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</si>
  <si>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</si>
  <si>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</si>
  <si>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</si>
  <si>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</si>
  <si>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</si>
  <si>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</si>
  <si>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</si>
  <si>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</si>
  <si>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</si>
  <si>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</si>
  <si>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</si>
  <si>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</si>
  <si>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</si>
  <si>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</si>
  <si>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</si>
  <si>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</si>
  <si>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</si>
  <si>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</si>
  <si>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</si>
  <si>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</si>
  <si>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</si>
  <si>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</si>
  <si>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</si>
  <si>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</si>
  <si>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</si>
  <si>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</si>
  <si>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</si>
  <si>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</si>
  <si>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</si>
  <si>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</si>
  <si>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</si>
  <si>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</si>
  <si>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</si>
  <si>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</si>
  <si>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</si>
  <si>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</si>
  <si>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</si>
  <si>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</si>
  <si>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</si>
  <si>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</si>
  <si>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</si>
  <si>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</si>
  <si>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</si>
  <si>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</si>
  <si>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</si>
  <si>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</si>
  <si>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</si>
  <si>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</si>
  <si>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</si>
  <si>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</si>
  <si>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</si>
  <si>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</si>
  <si>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</si>
  <si>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</si>
  <si>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</si>
  <si>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</si>
  <si>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</si>
  <si>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</si>
  <si>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</si>
  <si>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</si>
  <si>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</si>
  <si>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</si>
  <si>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</si>
  <si>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</si>
  <si>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</si>
  <si>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</si>
  <si>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</si>
  <si>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</si>
  <si>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</si>
  <si>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</si>
  <si>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</si>
  <si>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</si>
  <si>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</si>
  <si>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</si>
  <si>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</si>
  <si>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</si>
  <si>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</si>
  <si>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</si>
  <si>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</si>
  <si>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</si>
  <si>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</si>
  <si>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</si>
  <si>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</si>
  <si>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</si>
  <si>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</si>
  <si>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</si>
  <si>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</si>
  <si>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</si>
  <si>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</si>
  <si>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</si>
  <si>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</si>
  <si>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</si>
  <si>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</si>
  <si>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</si>
  <si>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</si>
  <si>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</si>
  <si>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</si>
  <si>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</si>
  <si>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</si>
  <si>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</si>
  <si>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</si>
  <si>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</si>
  <si>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</si>
  <si>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</si>
  <si>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</si>
  <si>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</si>
  <si>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</si>
  <si>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</si>
  <si>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</si>
  <si>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</si>
  <si>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</si>
  <si>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</si>
  <si>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</si>
  <si>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</si>
  <si>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</si>
  <si>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</si>
  <si>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</si>
  <si>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</si>
  <si>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</si>
  <si>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</si>
  <si>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</si>
  <si>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</si>
  <si>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</si>
  <si>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</si>
  <si>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</si>
  <si>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</si>
  <si>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</si>
  <si>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</si>
  <si>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</si>
  <si>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</si>
  <si>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</si>
  <si>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</si>
  <si>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</si>
  <si>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</si>
  <si>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</si>
  <si>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</si>
  <si>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</si>
  <si>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</si>
  <si>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</si>
  <si>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</si>
  <si>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</si>
  <si>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</si>
  <si>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</si>
  <si>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</si>
  <si>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</si>
  <si>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</si>
  <si>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</si>
  <si>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</si>
  <si>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</si>
  <si>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</si>
  <si>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</si>
  <si>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</si>
  <si>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</si>
  <si>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</si>
  <si>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</si>
  <si>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</si>
  <si>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</si>
  <si>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</si>
  <si>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</si>
  <si>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</si>
  <si>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</si>
  <si>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</si>
  <si>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</si>
  <si>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</si>
  <si>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</si>
  <si>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</si>
  <si>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</si>
  <si>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</si>
  <si>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</si>
  <si>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</si>
  <si>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</si>
  <si>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</si>
  <si>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</si>
  <si>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</si>
  <si>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</si>
  <si>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</si>
  <si>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</si>
  <si>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</si>
  <si>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</si>
  <si>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</si>
  <si>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</si>
  <si>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</si>
  <si>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</si>
  <si>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</si>
  <si>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</si>
  <si>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</si>
  <si>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</si>
  <si>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</si>
  <si>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</si>
  <si>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</si>
  <si>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</si>
  <si>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</si>
  <si>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</si>
  <si>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</si>
  <si>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</si>
  <si>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</si>
  <si>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</si>
  <si>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</si>
  <si>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</si>
  <si>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</si>
  <si>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</si>
  <si>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</si>
  <si>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</si>
  <si>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</si>
  <si>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</si>
  <si>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</si>
  <si>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</si>
  <si>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</si>
  <si>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</si>
  <si>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</si>
  <si>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</si>
  <si>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</si>
  <si>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</si>
  <si>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</si>
  <si>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</si>
  <si>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</si>
  <si>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</si>
  <si>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</si>
  <si>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</si>
  <si>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</si>
  <si>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</si>
  <si>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</si>
  <si>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</si>
  <si>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</si>
  <si>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</si>
  <si>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</si>
  <si>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</si>
  <si>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</si>
  <si>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</si>
  <si>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</si>
  <si>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</si>
  <si>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</si>
  <si>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</si>
  <si>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</si>
  <si>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</si>
  <si>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</si>
  <si>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</si>
  <si>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</si>
  <si>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</si>
  <si>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</si>
  <si>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</si>
  <si>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</si>
  <si>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</si>
  <si>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</si>
  <si>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</si>
  <si>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</si>
  <si>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</si>
  <si>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</si>
  <si>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</si>
  <si>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</si>
  <si>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</si>
  <si>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</si>
  <si>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</si>
  <si>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</si>
  <si>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</si>
  <si>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</si>
  <si>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</si>
  <si>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</si>
  <si>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</si>
  <si>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</si>
  <si>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</si>
  <si>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</si>
  <si>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</si>
  <si>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</si>
  <si>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</si>
  <si>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</si>
  <si>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</si>
  <si>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</si>
  <si>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</si>
  <si>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</si>
  <si>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</si>
  <si>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</si>
  <si>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</si>
  <si>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</si>
  <si>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</si>
  <si>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</si>
  <si>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</si>
  <si>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</si>
  <si>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</si>
  <si>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</si>
  <si>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</si>
  <si>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</si>
  <si>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</si>
  <si>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</si>
  <si>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</si>
  <si>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</si>
  <si>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</si>
  <si>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</si>
  <si>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</si>
  <si>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</si>
  <si>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</si>
  <si>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</si>
  <si>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</si>
  <si>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</si>
  <si>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</si>
  <si>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</si>
  <si>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</si>
  <si>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</si>
  <si>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</si>
  <si>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</si>
  <si>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</si>
  <si>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</si>
  <si>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</si>
  <si>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</si>
  <si>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</si>
  <si>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</si>
  <si>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</si>
  <si>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</si>
  <si>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</si>
  <si>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</si>
  <si>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</si>
  <si>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</si>
  <si>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</si>
  <si>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</si>
  <si>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</si>
  <si>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</si>
  <si>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</si>
  <si>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</si>
  <si>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</si>
  <si>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</si>
  <si>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</si>
  <si>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</si>
  <si>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</si>
  <si>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</si>
  <si>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</si>
  <si>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</si>
  <si>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</si>
  <si>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</si>
  <si>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</si>
  <si>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</si>
  <si>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</si>
  <si>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</si>
  <si>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</si>
  <si>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</si>
  <si>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</si>
  <si>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</si>
  <si>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</si>
  <si>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</si>
  <si>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</si>
  <si>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</si>
  <si>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</si>
  <si>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</si>
  <si>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</si>
  <si>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</si>
  <si>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</si>
  <si>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</si>
  <si>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</si>
  <si>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</si>
  <si>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</si>
  <si>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</si>
  <si>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</si>
  <si>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</si>
  <si>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</si>
  <si>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</si>
  <si>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</si>
  <si>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</si>
  <si>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</si>
  <si>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</si>
  <si>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</si>
  <si>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</si>
  <si>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</si>
  <si>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</si>
  <si>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</si>
  <si>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</si>
  <si>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</si>
  <si>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</si>
  <si>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</si>
  <si>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</si>
  <si>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</si>
  <si>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</si>
  <si>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</si>
  <si>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</si>
  <si>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</si>
  <si>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</si>
  <si>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</si>
  <si>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</si>
  <si>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</si>
  <si>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</si>
  <si>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</si>
  <si>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</si>
  <si>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</si>
  <si>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</si>
  <si>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</si>
  <si>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</si>
  <si>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</si>
  <si>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</si>
  <si>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</si>
  <si>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</si>
  <si>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</si>
  <si>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</si>
  <si>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</si>
  <si>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</si>
  <si>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</si>
  <si>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</si>
  <si>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</si>
  <si>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</si>
  <si>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</si>
  <si>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</si>
  <si>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</si>
  <si>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</si>
  <si>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</si>
  <si>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</si>
  <si>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</si>
  <si>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</si>
  <si>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</si>
  <si>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</si>
  <si>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</si>
  <si>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</si>
  <si>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</si>
  <si>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</si>
  <si>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</si>
  <si>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</si>
  <si>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</si>
  <si>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</si>
  <si>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</si>
  <si>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</si>
  <si>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</si>
  <si>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</si>
  <si>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</si>
  <si>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</si>
  <si>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</si>
  <si>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</si>
  <si>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</si>
  <si>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</si>
  <si>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</si>
  <si>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</si>
  <si>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</si>
  <si>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</si>
  <si>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</si>
  <si>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</si>
  <si>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</si>
  <si>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</si>
  <si>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</si>
  <si>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</si>
  <si>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</si>
  <si>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</si>
  <si>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</si>
  <si>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</si>
  <si>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</si>
  <si>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</si>
  <si>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</si>
  <si>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</si>
  <si>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</si>
  <si>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</si>
  <si>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</si>
  <si>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</si>
  <si>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</si>
  <si>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</si>
  <si>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</si>
  <si>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</si>
  <si>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</si>
  <si>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</si>
  <si>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</si>
  <si>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</si>
  <si>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</si>
  <si>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</si>
  <si>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</si>
  <si>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</si>
  <si>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</si>
  <si>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</si>
  <si>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</si>
  <si>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</si>
  <si>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</si>
  <si>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</si>
  <si>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</si>
  <si>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</si>
  <si>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</si>
  <si>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</si>
  <si>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</si>
  <si>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</si>
  <si>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</si>
  <si>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</si>
  <si>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</si>
  <si>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</si>
  <si>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</si>
  <si>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</si>
  <si>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</si>
  <si>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</si>
  <si>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</si>
  <si>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</si>
  <si>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</si>
  <si>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</si>
  <si>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</si>
  <si>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</si>
  <si>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</si>
  <si>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</si>
  <si>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</si>
  <si>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</si>
  <si>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</si>
  <si>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</si>
  <si>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</si>
  <si>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</si>
  <si>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</si>
  <si>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</si>
  <si>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</si>
  <si>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</si>
  <si>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</si>
  <si>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</si>
  <si>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</si>
  <si>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</si>
  <si>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</si>
  <si>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</si>
  <si>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</si>
  <si>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</si>
  <si>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</si>
  <si>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</si>
  <si>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</si>
  <si>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</si>
  <si>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</si>
  <si>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</si>
  <si>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</si>
  <si>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</si>
  <si>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</si>
  <si>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</si>
  <si>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</si>
  <si>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</si>
  <si>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</si>
  <si>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</si>
  <si>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</si>
  <si>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</si>
  <si>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</si>
  <si>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</si>
  <si>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</si>
  <si>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</si>
  <si>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</si>
  <si>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</si>
  <si>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</si>
  <si>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</si>
  <si>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</si>
  <si>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</si>
  <si>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</si>
  <si>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</si>
  <si>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</si>
  <si>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</si>
  <si>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</si>
  <si>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</si>
  <si>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</si>
  <si>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</si>
  <si>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</si>
  <si>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</si>
  <si>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</si>
  <si>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</si>
  <si>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</si>
  <si>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</si>
  <si>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</si>
  <si>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</si>
  <si>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</si>
  <si>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</si>
  <si>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</si>
  <si>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</si>
  <si>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</si>
  <si>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</si>
  <si>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</si>
  <si>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</si>
  <si>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</si>
  <si>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</si>
  <si>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</si>
  <si>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</si>
  <si>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</si>
  <si>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</si>
  <si>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</si>
  <si>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</si>
  <si>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</si>
  <si>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</si>
  <si>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</si>
  <si>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</si>
  <si>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</si>
  <si>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</si>
  <si>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</si>
  <si>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</si>
  <si>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</si>
  <si>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</si>
  <si>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</si>
  <si>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</si>
  <si>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</si>
  <si>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</si>
  <si>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</si>
  <si>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</si>
  <si>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</si>
  <si>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</si>
  <si>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</si>
  <si>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</si>
  <si>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</si>
  <si>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</si>
  <si>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</si>
  <si>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</si>
  <si>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</si>
  <si>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</si>
  <si>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</si>
  <si>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</si>
  <si>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</si>
  <si>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</si>
  <si>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</si>
  <si>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</si>
  <si>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</si>
  <si>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</si>
  <si>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</si>
  <si>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</si>
  <si>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</si>
  <si>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</si>
  <si>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</si>
  <si>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</si>
  <si>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</si>
  <si>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</si>
  <si>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</si>
  <si>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</si>
  <si>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</si>
  <si>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</si>
  <si>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</si>
  <si>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</si>
  <si>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</si>
  <si>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</si>
  <si>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</si>
  <si>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</si>
  <si>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</si>
  <si>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</si>
  <si>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</si>
  <si>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</si>
  <si>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</si>
  <si>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</si>
  <si>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</si>
  <si>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</si>
  <si>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</si>
  <si>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</si>
  <si>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</si>
  <si>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</si>
  <si>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</si>
  <si>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</si>
  <si>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</si>
  <si>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</si>
  <si>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</si>
  <si>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</si>
  <si>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</si>
  <si>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</si>
  <si>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</si>
  <si>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</si>
  <si>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</si>
  <si>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</si>
  <si>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</si>
  <si>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</si>
  <si>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</si>
  <si>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</si>
  <si>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</si>
  <si>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</si>
  <si>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</si>
  <si>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</si>
  <si>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</si>
  <si>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</si>
  <si>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</si>
  <si>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</si>
  <si>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</si>
  <si>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</si>
  <si>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</si>
  <si>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</si>
  <si>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</si>
  <si>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</si>
  <si>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</si>
  <si>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</si>
  <si>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</si>
  <si>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</si>
  <si>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</si>
  <si>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</si>
  <si>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</si>
  <si>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</si>
  <si>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</si>
  <si>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</si>
  <si>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</si>
  <si>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</si>
  <si>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</si>
  <si>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</si>
  <si>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</si>
  <si>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</si>
  <si>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</si>
  <si>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</si>
  <si>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</si>
  <si>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</si>
  <si>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</si>
  <si>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</si>
  <si>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</si>
  <si>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</si>
  <si>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</si>
  <si>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</si>
  <si>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</si>
  <si>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</si>
  <si>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</si>
  <si>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</si>
  <si>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</si>
  <si>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</si>
  <si>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</si>
  <si>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</si>
  <si>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</si>
  <si>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</si>
  <si>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</si>
  <si>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</si>
  <si>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</si>
  <si>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</si>
  <si>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</si>
  <si>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</si>
  <si>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</si>
  <si>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</si>
  <si>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</si>
  <si>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</si>
  <si>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</si>
  <si>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</si>
  <si>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</si>
  <si>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</si>
  <si>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</si>
  <si>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</si>
  <si>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</si>
  <si>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</si>
  <si>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</si>
  <si>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</si>
  <si>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</si>
  <si>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</si>
  <si>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</si>
  <si>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</si>
  <si>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</si>
  <si>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</si>
  <si>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</si>
  <si>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</si>
  <si>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</si>
  <si>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</si>
  <si>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</si>
  <si>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</si>
  <si>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</si>
  <si>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</si>
  <si>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</si>
  <si>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</si>
  <si>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</si>
  <si>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</si>
  <si>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</si>
  <si>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</si>
  <si>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</si>
  <si>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</si>
  <si>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</si>
  <si>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</si>
  <si>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</si>
  <si>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</si>
  <si>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</si>
  <si>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</si>
  <si>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</si>
  <si>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</si>
  <si>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</si>
  <si>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</si>
  <si>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</si>
  <si>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</si>
  <si>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</si>
  <si>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</si>
  <si>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</si>
  <si>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</si>
  <si>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</si>
  <si>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</si>
  <si>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</si>
  <si>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</si>
  <si>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</si>
  <si>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</si>
  <si>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</si>
  <si>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</si>
  <si>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</si>
  <si>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</si>
  <si>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</si>
  <si>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</si>
  <si>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</si>
  <si>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</si>
  <si>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</si>
  <si>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</si>
  <si>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</si>
  <si>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</si>
  <si>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</si>
  <si>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</si>
  <si>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</si>
  <si>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</si>
  <si>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</si>
  <si>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</si>
  <si>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</si>
  <si>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</si>
  <si>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</si>
  <si>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</si>
  <si>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</si>
  <si>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</si>
  <si>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</si>
  <si>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</si>
  <si>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</si>
  <si>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</si>
  <si>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</si>
  <si>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</si>
  <si>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</si>
  <si>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</si>
  <si>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</si>
  <si>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</si>
  <si>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</si>
  <si>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</si>
  <si>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</si>
  <si>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</si>
  <si>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</si>
  <si>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</si>
  <si>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</si>
  <si>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</si>
  <si>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</si>
  <si>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</si>
  <si>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</si>
  <si>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</si>
  <si>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</si>
  <si>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</si>
  <si>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</si>
  <si>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</si>
  <si>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</si>
  <si>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</si>
  <si>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</si>
  <si>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</si>
  <si>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</si>
  <si>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</si>
  <si>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</si>
  <si>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</si>
  <si>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</si>
  <si>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</si>
  <si>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</si>
  <si>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</si>
  <si>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</si>
  <si>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</si>
  <si>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</si>
  <si>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</si>
  <si>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</si>
  <si>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</si>
  <si>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</si>
  <si>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</si>
  <si>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</si>
  <si>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</si>
  <si>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</si>
  <si>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</si>
  <si>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</si>
  <si>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</si>
  <si>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</si>
  <si>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</si>
  <si>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</si>
  <si>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</si>
  <si>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</si>
  <si>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</si>
  <si>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</si>
  <si>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</si>
  <si>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</si>
  <si>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</si>
  <si>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</si>
  <si>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</si>
  <si>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</si>
  <si>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</si>
  <si>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</si>
  <si>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</si>
  <si>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</si>
  <si>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</si>
  <si>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</si>
  <si>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</si>
  <si>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</si>
  <si>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</si>
  <si>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</si>
  <si>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</si>
  <si>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</si>
  <si>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</si>
  <si>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</si>
  <si>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</si>
  <si>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</si>
  <si>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</si>
  <si>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</si>
  <si>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</si>
  <si>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</si>
  <si>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</si>
  <si>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</si>
  <si>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</si>
  <si>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</si>
  <si>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</si>
  <si>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</si>
  <si>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</si>
  <si>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</si>
  <si>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</si>
  <si>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</si>
  <si>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</si>
  <si>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</si>
  <si>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</si>
  <si>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</si>
  <si>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</si>
  <si>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</si>
  <si>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</si>
  <si>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</si>
  <si>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</si>
  <si>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</si>
  <si>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</si>
  <si>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</si>
  <si>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</si>
  <si>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</si>
  <si>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</si>
  <si>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</si>
  <si>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</si>
  <si>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</si>
  <si>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</si>
  <si>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</si>
  <si>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</si>
  <si>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</si>
  <si>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</si>
  <si>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</si>
  <si>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</si>
  <si>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</si>
  <si>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</si>
  <si>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</si>
  <si>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</si>
  <si>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</si>
  <si>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</si>
  <si>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</si>
  <si>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</si>
  <si>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</si>
  <si>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</si>
  <si>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</si>
  <si>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</si>
  <si>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</si>
  <si>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</si>
  <si>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</si>
  <si>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</si>
  <si>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</si>
  <si>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</si>
  <si>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</si>
  <si>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</si>
  <si>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</si>
  <si>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</si>
  <si>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</si>
  <si>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</si>
  <si>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</si>
  <si>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</si>
  <si>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</si>
  <si>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</si>
  <si>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</si>
  <si>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</si>
  <si>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</si>
  <si>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</si>
  <si>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</si>
  <si>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</si>
  <si>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</si>
  <si>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</si>
  <si>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</si>
  <si>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</si>
  <si>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</si>
  <si>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</si>
  <si>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</si>
  <si>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</si>
  <si>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</si>
  <si>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</si>
  <si>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</si>
  <si>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</si>
  <si>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</si>
  <si>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</si>
  <si>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</si>
  <si>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</si>
  <si>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</si>
  <si>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</si>
  <si>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</si>
  <si>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</si>
  <si>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</si>
  <si>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</si>
  <si>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</si>
  <si>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</si>
  <si>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</si>
  <si>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</si>
  <si>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</si>
  <si>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</si>
  <si>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</si>
  <si>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</si>
  <si>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</si>
  <si>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</si>
  <si>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</si>
  <si>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</si>
  <si>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</si>
  <si>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</si>
  <si>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</si>
  <si>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</si>
  <si>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</si>
  <si>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</si>
  <si>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</si>
  <si>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</si>
  <si>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</si>
  <si>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</si>
  <si>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</si>
  <si>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</si>
  <si>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</si>
  <si>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</si>
  <si>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</si>
  <si>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</si>
  <si>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</si>
  <si>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</si>
  <si>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</si>
  <si>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</si>
  <si>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</si>
  <si>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</si>
  <si>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</si>
  <si>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</si>
  <si>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</si>
  <si>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</si>
  <si>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</si>
  <si>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</si>
  <si>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</si>
  <si>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</si>
  <si>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</si>
  <si>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</si>
  <si>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</si>
  <si>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</si>
  <si>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</si>
  <si>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</si>
  <si>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</si>
  <si>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</si>
  <si>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</si>
  <si>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</si>
  <si>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</si>
  <si>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</si>
  <si>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</si>
  <si>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</si>
  <si>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</si>
  <si>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</si>
  <si>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</si>
  <si>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</si>
  <si>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</si>
  <si>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</si>
  <si>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</si>
  <si>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</si>
  <si>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</si>
  <si>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</si>
  <si>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</si>
  <si>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</si>
  <si>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</si>
  <si>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</si>
  <si>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</si>
  <si>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</si>
  <si>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</si>
  <si>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</si>
  <si>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</si>
  <si>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</si>
  <si>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</si>
  <si>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</si>
  <si>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</si>
  <si>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</si>
  <si>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</si>
  <si>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</si>
  <si>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</si>
  <si>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</si>
  <si>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</si>
  <si>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</si>
  <si>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</si>
  <si>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</si>
  <si>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</si>
  <si>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</si>
  <si>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</si>
  <si>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</si>
  <si>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</si>
  <si>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</si>
  <si>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</si>
  <si>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</si>
  <si>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</si>
  <si>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</si>
  <si>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</si>
  <si>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</si>
  <si>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</si>
  <si>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</si>
  <si>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</si>
  <si>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</si>
  <si>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</si>
  <si>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</si>
  <si>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</si>
  <si>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</si>
  <si>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</si>
  <si>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</si>
  <si>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</si>
  <si>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</si>
  <si>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</si>
  <si>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</si>
  <si>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</si>
  <si>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</si>
  <si>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</si>
  <si>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</si>
  <si>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</si>
  <si>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</si>
  <si>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</si>
  <si>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</si>
  <si>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</si>
  <si>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</si>
  <si>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</si>
  <si>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</si>
  <si>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</si>
  <si>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</si>
  <si>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</si>
  <si>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</si>
  <si>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</si>
  <si>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</si>
  <si>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</si>
  <si>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</si>
  <si>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</si>
  <si>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</si>
  <si>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</si>
  <si>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</si>
  <si>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</si>
  <si>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</si>
  <si>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</si>
  <si>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</si>
  <si>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</si>
  <si>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</si>
  <si>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</si>
  <si>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</si>
  <si>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</si>
  <si>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</si>
  <si>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</si>
  <si>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</si>
  <si>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</si>
  <si>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</si>
  <si>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</si>
  <si>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</si>
  <si>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</si>
  <si>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</si>
  <si>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</si>
  <si>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</si>
  <si>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</si>
  <si>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</si>
  <si>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</si>
  <si>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</si>
  <si>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</si>
  <si>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</si>
  <si>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</si>
  <si>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</si>
  <si>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</si>
  <si>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</si>
  <si>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</si>
  <si>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</si>
  <si>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</si>
  <si>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</si>
  <si>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</si>
  <si>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</si>
  <si>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</si>
  <si>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</si>
  <si>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</si>
  <si>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</si>
  <si>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</si>
  <si>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</si>
  <si>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</si>
  <si>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</si>
  <si>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</si>
  <si>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</si>
  <si>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</si>
  <si>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</si>
  <si>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</si>
  <si>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</si>
  <si>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</si>
  <si>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</si>
  <si>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</si>
  <si>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</si>
  <si>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</si>
  <si>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</si>
  <si>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</si>
  <si>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</si>
  <si>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</si>
  <si>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</si>
  <si>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</si>
  <si>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</si>
  <si>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</si>
  <si>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</si>
  <si>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</si>
  <si>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</si>
  <si>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</si>
  <si>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</si>
  <si>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</si>
  <si>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</si>
  <si>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</si>
  <si>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</si>
  <si>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</si>
  <si>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</si>
  <si>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</si>
  <si>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</si>
  <si>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</si>
  <si>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</si>
  <si>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</si>
  <si>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</si>
  <si>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</si>
  <si>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</si>
  <si>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</si>
  <si>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</si>
  <si>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</si>
  <si>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</si>
  <si>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</si>
  <si>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</si>
  <si>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</si>
  <si>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</si>
  <si>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</si>
  <si>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</si>
  <si>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</si>
  <si>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</si>
  <si>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</si>
  <si>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</si>
  <si>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</si>
  <si>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</si>
  <si>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</si>
  <si>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</si>
  <si>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</si>
  <si>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</si>
  <si>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</si>
  <si>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</si>
  <si>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</si>
  <si>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</si>
  <si>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</si>
  <si>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</si>
  <si>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</si>
  <si>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</si>
  <si>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</si>
  <si>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</si>
  <si>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</si>
  <si>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</si>
  <si>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</si>
  <si>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</si>
  <si>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</si>
  <si>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</si>
  <si>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</si>
  <si>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</si>
  <si>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</si>
  <si>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</si>
  <si>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</si>
  <si>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</si>
  <si>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</si>
  <si>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</si>
  <si>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</si>
  <si>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</si>
  <si>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</si>
  <si>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</si>
  <si>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</si>
  <si>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</si>
  <si>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</si>
  <si>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</si>
  <si>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</si>
  <si>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</si>
  <si>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</si>
  <si>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</si>
  <si>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</si>
  <si>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</si>
  <si>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</si>
  <si>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</si>
  <si>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</si>
  <si>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</si>
  <si>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</si>
  <si>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</si>
  <si>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</si>
  <si>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</si>
  <si>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</si>
  <si>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</si>
  <si>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</si>
  <si>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</si>
  <si>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</si>
  <si>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</si>
  <si>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</si>
  <si>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</si>
  <si>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</si>
  <si>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</si>
  <si>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</si>
  <si>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</si>
  <si>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</si>
  <si>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</si>
  <si>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</si>
  <si>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</si>
  <si>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</si>
  <si>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</si>
  <si>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</si>
  <si>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</si>
  <si>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</si>
  <si>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</si>
  <si>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</si>
  <si>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</si>
  <si>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</si>
  <si>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</si>
  <si>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</si>
  <si>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</si>
  <si>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</si>
  <si>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</si>
  <si>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</si>
  <si>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</si>
  <si>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</si>
  <si>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</si>
  <si>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</si>
  <si>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</si>
  <si>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</si>
  <si>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</si>
  <si>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</si>
  <si>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</si>
  <si>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</si>
  <si>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</si>
  <si>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</si>
  <si>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</si>
  <si>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</si>
  <si>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</si>
  <si>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</si>
  <si>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</si>
  <si>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</si>
  <si>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</si>
  <si>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</si>
  <si>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</si>
  <si>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</si>
  <si>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</si>
  <si>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</si>
  <si>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</si>
  <si>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</si>
  <si>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</si>
  <si>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</si>
  <si>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</si>
  <si>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</si>
  <si>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</si>
  <si>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</si>
  <si>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</si>
  <si>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</si>
  <si>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</si>
  <si>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</si>
  <si>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</si>
  <si>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</si>
  <si>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</si>
  <si>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</si>
  <si>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</si>
  <si>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</si>
  <si>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</si>
  <si>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</si>
  <si>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</si>
  <si>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</si>
  <si>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</si>
  <si>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</si>
  <si>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</si>
  <si>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</si>
  <si>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</si>
  <si>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</si>
  <si>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</si>
  <si>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</si>
  <si>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</si>
  <si>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</si>
  <si>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</si>
  <si>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</si>
  <si>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</si>
  <si>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</si>
  <si>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</si>
  <si>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</si>
  <si>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</si>
  <si>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</si>
  <si>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</si>
  <si>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</si>
  <si>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</si>
  <si>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</si>
  <si>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</si>
  <si>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</si>
  <si>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</si>
  <si>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</si>
  <si>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</si>
  <si>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</si>
  <si>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</si>
  <si>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</si>
  <si>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</si>
  <si>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</si>
  <si>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</si>
  <si>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</si>
  <si>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</si>
  <si>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</si>
  <si>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</si>
  <si>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</si>
  <si>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</si>
  <si>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</si>
  <si>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</si>
  <si>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</si>
  <si>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</si>
  <si>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</si>
  <si>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</si>
  <si>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</si>
  <si>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</si>
  <si>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</si>
  <si>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</si>
  <si>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</si>
  <si>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</si>
  <si>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</si>
  <si>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</si>
  <si>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</si>
  <si>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</si>
  <si>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</si>
  <si>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</si>
  <si>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</si>
  <si>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</si>
  <si>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</si>
  <si>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</si>
  <si>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</si>
  <si>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</si>
  <si>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</si>
  <si>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</si>
  <si>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</si>
  <si>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</si>
  <si>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</si>
  <si>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</si>
  <si>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</si>
  <si>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</si>
  <si>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</si>
  <si>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</si>
  <si>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</si>
  <si>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</si>
  <si>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</si>
  <si>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</si>
  <si>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</si>
  <si>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</si>
  <si>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</si>
  <si>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</si>
  <si>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</si>
  <si>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</si>
  <si>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</si>
  <si>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</si>
  <si>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</si>
  <si>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</si>
  <si>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</si>
  <si>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</si>
  <si>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</si>
  <si>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</si>
  <si>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</si>
  <si>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</si>
  <si>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</si>
  <si>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</si>
  <si>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</si>
  <si>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</si>
  <si>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</si>
  <si>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</si>
  <si>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</si>
  <si>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</si>
  <si>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</si>
  <si>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</si>
  <si>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</si>
  <si>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</si>
  <si>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</si>
  <si>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</si>
  <si>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</si>
  <si>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</si>
  <si>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</si>
  <si>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</si>
  <si>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</si>
  <si>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</si>
  <si>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</si>
  <si>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</si>
  <si>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</si>
  <si>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</si>
  <si>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</si>
  <si>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</si>
  <si>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</si>
  <si>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</si>
  <si>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</si>
  <si>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</si>
  <si>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</si>
  <si>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</si>
  <si>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</si>
  <si>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</si>
  <si>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</si>
  <si>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</si>
  <si>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</si>
  <si>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</si>
  <si>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</si>
  <si>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</si>
  <si>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</si>
  <si>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</si>
  <si>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</si>
  <si>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</si>
  <si>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</si>
  <si>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</si>
  <si>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</si>
  <si>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</si>
  <si>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</si>
  <si>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</si>
  <si>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</si>
  <si>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</si>
  <si>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</si>
  <si>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</si>
  <si>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</si>
  <si>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</si>
  <si>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</si>
  <si>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</si>
  <si>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</si>
  <si>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</si>
  <si>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</si>
  <si>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</si>
  <si>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</si>
  <si>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</si>
  <si>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</si>
  <si>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</si>
  <si>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</si>
  <si>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</si>
  <si>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</si>
  <si>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</si>
  <si>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</si>
  <si>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</si>
  <si>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</si>
  <si>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</si>
  <si>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</si>
  <si>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</si>
  <si>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</si>
  <si>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</si>
  <si>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</si>
  <si>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</si>
  <si>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</si>
  <si>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</si>
  <si>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</si>
  <si>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</si>
  <si>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</si>
  <si>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</si>
  <si>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</si>
  <si>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</si>
  <si>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</si>
  <si>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</si>
  <si>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</si>
  <si>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</si>
  <si>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</si>
  <si>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</si>
  <si>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</si>
  <si>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</si>
  <si>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</si>
  <si>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</si>
  <si>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</si>
  <si>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</si>
  <si>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</si>
  <si>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</si>
  <si>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</si>
  <si>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</si>
  <si>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</si>
  <si>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</si>
  <si>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</si>
  <si>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</si>
  <si>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</si>
  <si>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</si>
  <si>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</si>
  <si>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</si>
  <si>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</si>
  <si>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</si>
  <si>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</si>
  <si>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</si>
  <si>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</si>
  <si>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</si>
  <si>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</si>
  <si>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</si>
  <si>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</si>
  <si>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</si>
  <si>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</si>
  <si>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</si>
  <si>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</si>
  <si>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</si>
  <si>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</si>
  <si>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</si>
  <si>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</si>
  <si>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</si>
  <si>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</si>
  <si>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</si>
  <si>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</si>
  <si>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</si>
  <si>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</si>
  <si>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</si>
  <si>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</si>
  <si>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</si>
  <si>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</si>
  <si>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</si>
  <si>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</si>
  <si>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</si>
  <si>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</si>
  <si>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</si>
  <si>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</si>
  <si>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</si>
  <si>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</si>
  <si>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</si>
  <si>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</si>
  <si>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</si>
  <si>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</si>
  <si>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</si>
  <si>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</si>
  <si>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</si>
  <si>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</si>
  <si>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</si>
  <si>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</si>
  <si>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</si>
  <si>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</si>
  <si>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</si>
  <si>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</si>
  <si>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</si>
  <si>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</si>
  <si>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</si>
  <si>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</si>
  <si>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</si>
  <si>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</si>
  <si>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</si>
  <si>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</si>
  <si>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</si>
  <si>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</si>
  <si>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</si>
  <si>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</si>
  <si>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</si>
  <si>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</si>
  <si>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</si>
  <si>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</si>
  <si>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</si>
  <si>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</si>
  <si>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</si>
  <si>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</si>
  <si>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</si>
  <si>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</si>
  <si>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</si>
  <si>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</si>
  <si>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</si>
  <si>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</si>
  <si>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</si>
  <si>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</si>
  <si>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</si>
  <si>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</si>
  <si>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</si>
  <si>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</si>
  <si>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</si>
  <si>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</si>
  <si>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</si>
  <si>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</si>
  <si>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</si>
  <si>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</si>
  <si>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</si>
  <si>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</si>
  <si>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</si>
  <si>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</si>
  <si>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</si>
  <si>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</si>
  <si>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</si>
  <si>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</si>
  <si>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</si>
  <si>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</si>
  <si>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</si>
  <si>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</si>
  <si>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</si>
  <si>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</si>
  <si>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</si>
  <si>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</si>
  <si>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</si>
  <si>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</si>
  <si>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</si>
  <si>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</si>
  <si>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</si>
  <si>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</si>
  <si>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</si>
  <si>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</si>
  <si>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</si>
  <si>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</si>
  <si>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</si>
  <si>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</si>
  <si>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</si>
  <si>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</si>
  <si>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</si>
  <si>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</si>
  <si>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</si>
  <si>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</si>
  <si>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</si>
  <si>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</si>
  <si>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</si>
  <si>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</si>
  <si>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</si>
  <si>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</si>
  <si>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</si>
  <si>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</si>
  <si>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</si>
  <si>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</si>
  <si>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</si>
  <si>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</si>
  <si>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</si>
  <si>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</si>
  <si>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</si>
  <si>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</si>
  <si>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</si>
  <si>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</si>
  <si>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</si>
  <si>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</si>
  <si>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</si>
  <si>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</si>
  <si>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</si>
  <si>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</si>
  <si>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</si>
  <si>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</si>
  <si>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</si>
  <si>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</si>
  <si>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</si>
  <si>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</si>
  <si>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</si>
  <si>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</si>
  <si>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</si>
  <si>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</si>
  <si>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</si>
  <si>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</si>
  <si>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</si>
  <si>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</si>
  <si>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</si>
  <si>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</si>
  <si>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</si>
  <si>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</si>
  <si>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</si>
  <si>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</si>
  <si>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</si>
  <si>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</si>
  <si>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</si>
  <si>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</si>
  <si>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</si>
  <si>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</si>
  <si>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</si>
  <si>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</si>
  <si>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</si>
  <si>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</si>
  <si>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</si>
  <si>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</si>
  <si>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</si>
  <si>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</si>
  <si>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</si>
  <si>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</si>
  <si>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</si>
  <si>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</si>
  <si>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</si>
  <si>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</si>
  <si>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</si>
  <si>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</si>
  <si>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</si>
  <si>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</si>
  <si>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</si>
  <si>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</si>
  <si>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</si>
  <si>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</si>
  <si>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</si>
  <si>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</si>
  <si>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</si>
  <si>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</si>
  <si>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</si>
  <si>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</si>
  <si>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</si>
  <si>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</si>
  <si>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</si>
  <si>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</si>
  <si>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</si>
  <si>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</si>
  <si>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</si>
  <si>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</si>
  <si>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</si>
  <si>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</si>
  <si>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</si>
  <si>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</si>
  <si>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</si>
  <si>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</si>
  <si>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</si>
  <si>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</si>
  <si>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</si>
  <si>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</si>
  <si>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</si>
  <si>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</si>
  <si>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</si>
  <si>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</si>
  <si>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</si>
  <si>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</si>
  <si>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</si>
  <si>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</si>
  <si>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</si>
  <si>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</si>
  <si>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</si>
  <si>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</si>
  <si>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</si>
  <si>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</si>
  <si>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</si>
  <si>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</si>
  <si>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</si>
  <si>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</si>
  <si>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</si>
  <si>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</si>
  <si>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</si>
  <si>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</si>
  <si>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</si>
  <si>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</si>
  <si>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</si>
  <si>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</si>
  <si>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</si>
  <si>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</si>
  <si>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</si>
  <si>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</si>
  <si>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</si>
  <si>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</si>
  <si>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</si>
  <si>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</si>
  <si>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</si>
  <si>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</si>
  <si>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</si>
  <si>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</si>
  <si>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</si>
  <si>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</si>
  <si>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</si>
  <si>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</si>
  <si>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</si>
  <si>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</si>
  <si>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</si>
  <si>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</si>
  <si>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</si>
  <si>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</si>
  <si>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</si>
  <si>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</si>
  <si>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</si>
  <si>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</si>
  <si>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</si>
  <si>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</si>
  <si>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</si>
  <si>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</si>
  <si>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</si>
  <si>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</si>
  <si>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</si>
  <si>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</si>
  <si>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</si>
  <si>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</si>
  <si>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</si>
  <si>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</si>
  <si>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</si>
  <si>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</si>
  <si>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</si>
  <si>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</si>
  <si>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</si>
  <si>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</si>
  <si>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</si>
  <si>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</si>
  <si>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</si>
  <si>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</si>
  <si>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</si>
  <si>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</si>
  <si>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</si>
  <si>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</si>
  <si>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</si>
  <si>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</si>
  <si>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</si>
  <si>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</si>
  <si>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</si>
  <si>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</si>
  <si>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</si>
  <si>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</si>
  <si>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</si>
  <si>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</si>
  <si>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</si>
  <si>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</si>
  <si>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</si>
  <si>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</si>
  <si>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</si>
  <si>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</si>
  <si>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</si>
  <si>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</si>
  <si>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</si>
  <si>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</si>
  <si>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</si>
  <si>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</si>
  <si>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</si>
  <si>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</si>
  <si>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</si>
  <si>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</si>
  <si>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</si>
  <si>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</si>
  <si>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</si>
  <si>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</si>
  <si>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</si>
  <si>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</si>
  <si>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</si>
  <si>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</si>
  <si>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</si>
  <si>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</si>
  <si>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</si>
  <si>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</si>
  <si>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</si>
  <si>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</si>
  <si>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</si>
  <si>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우신(2), 동아(1)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</si>
  <si>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</si>
  <si>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</si>
  <si>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</si>
  <si>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</si>
  <si>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</si>
  <si>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</si>
  <si>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</si>
  <si>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</si>
  <si>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</si>
  <si>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</si>
  <si>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</si>
  <si>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</si>
  <si>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</si>
  <si>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</si>
  <si>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</si>
  <si>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</si>
  <si>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</si>
  <si>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</si>
  <si>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</si>
  <si>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</si>
  <si>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</si>
  <si>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</si>
  <si>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</si>
  <si>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</si>
  <si>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</si>
  <si>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</si>
  <si>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</si>
  <si>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</si>
  <si>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HIO(1), TPS(1), 동아(2), 림스코(1)</t>
    <phoneticPr fontId="2" type="noConversion"/>
  </si>
  <si>
    <t>크레들 탈거. 코멘트 확인/조치, 안전교육 이수(이시맥)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</si>
  <si>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</si>
  <si>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</si>
  <si>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</si>
  <si>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</si>
  <si>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</si>
  <si>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</si>
  <si>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우신(1), 동아(1)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</si>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</sst>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80"/>
  <sheetViews>
    <sheetView showGridLines="0" tabSelected="1" topLeftCell="A621" zoomScaleNormal="100" workbookViewId="0">
      <selection activeCell="H632" sqref="H632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2"/>
      <c r="Q22" s="803"/>
      <c r="R22" s="803"/>
      <c r="S22" s="8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2"/>
      <c r="Q27" s="803"/>
      <c r="R27" s="803"/>
      <c r="S27" s="8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2"/>
      <c r="Q36" s="803"/>
      <c r="R36" s="803"/>
      <c r="S36" s="8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2"/>
      <c r="Q37" s="803"/>
      <c r="R37" s="803"/>
      <c r="S37" s="8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2"/>
      <c r="Q40" s="803"/>
      <c r="R40" s="803"/>
      <c r="S40" s="8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2"/>
      <c r="Q41" s="803"/>
      <c r="R41" s="803"/>
      <c r="S41" s="8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2" t="s">
        <v>4390</v>
      </c>
      <c r="Q43" s="803"/>
      <c r="R43" s="803"/>
      <c r="S43" s="8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2"/>
      <c r="Q61" s="803"/>
      <c r="R61" s="803"/>
      <c r="S61" s="8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2"/>
      <c r="Q64" s="803"/>
      <c r="R64" s="803"/>
      <c r="S64" s="8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2"/>
      <c r="Q67" s="803"/>
      <c r="R67" s="803"/>
      <c r="S67" s="8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2"/>
      <c r="Q74" s="803"/>
      <c r="R74" s="803"/>
      <c r="S74" s="8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2"/>
      <c r="Q83" s="803"/>
      <c r="R83" s="803"/>
      <c r="S83" s="8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2"/>
      <c r="Q85" s="803"/>
      <c r="R85" s="803"/>
      <c r="S85" s="8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2" t="s">
        <v>4390</v>
      </c>
      <c r="Q93" s="803"/>
      <c r="R93" s="803"/>
      <c r="S93" s="8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0"/>
      <c r="Q169" s="801"/>
      <c r="R169" s="801"/>
      <c r="S169" s="8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8" t="s">
        <v>4688</v>
      </c>
      <c r="Q182" s="799"/>
      <c r="R182" s="799"/>
      <c r="S182" s="7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0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0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0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0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0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0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0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6851</v>
      </c>
      <c r="M576" s="8">
        <v>2</v>
      </c>
      <c r="N576" s="31"/>
      <c r="O576" s="429" t="s">
        <v>6855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6852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6862</v>
      </c>
      <c r="K580" s="125" t="s">
        <v>6769</v>
      </c>
      <c r="L580" s="16" t="s">
        <v>6757</v>
      </c>
      <c r="M580" s="8">
        <v>3</v>
      </c>
      <c r="N580" s="31"/>
      <c r="O580" s="429" t="s">
        <v>6864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6858</v>
      </c>
      <c r="I583" s="31" t="s">
        <v>6859</v>
      </c>
      <c r="J583" s="31" t="s">
        <v>6761</v>
      </c>
      <c r="K583" s="277" t="s">
        <v>6782</v>
      </c>
      <c r="L583" s="16" t="s">
        <v>6860</v>
      </c>
      <c r="M583" s="8">
        <v>2</v>
      </c>
      <c r="N583" s="422"/>
      <c r="O583" s="430" t="s">
        <v>6855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6849</v>
      </c>
      <c r="F584" s="193" t="s">
        <v>2978</v>
      </c>
      <c r="G584" s="16" t="s">
        <v>170</v>
      </c>
      <c r="H584" s="193" t="s">
        <v>6850</v>
      </c>
      <c r="I584" s="31" t="s">
        <v>6863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6872</v>
      </c>
      <c r="I585" s="31" t="s">
        <v>6871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6854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6876</v>
      </c>
      <c r="I589" s="31" t="s">
        <v>3661</v>
      </c>
      <c r="J589" s="193" t="s">
        <v>6892</v>
      </c>
      <c r="K589" s="125" t="s">
        <v>15</v>
      </c>
      <c r="L589" s="16" t="s">
        <v>6757</v>
      </c>
      <c r="M589" s="8">
        <v>6</v>
      </c>
      <c r="N589" s="422"/>
      <c r="O589" s="430" t="s">
        <v>6865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6857</v>
      </c>
      <c r="I591" s="31"/>
      <c r="J591" s="31" t="s">
        <v>6867</v>
      </c>
      <c r="K591" s="277" t="s">
        <v>6779</v>
      </c>
      <c r="L591" s="16" t="s">
        <v>6770</v>
      </c>
      <c r="M591" s="8">
        <v>3</v>
      </c>
      <c r="N591" s="422"/>
      <c r="O591" s="430" t="s">
        <v>6868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6866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6853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6894</v>
      </c>
      <c r="F595" s="31">
        <v>3006</v>
      </c>
      <c r="G595" s="16" t="s">
        <v>6722</v>
      </c>
      <c r="H595" s="193" t="s">
        <v>6856</v>
      </c>
      <c r="I595" s="31" t="s">
        <v>6861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6923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6881</v>
      </c>
      <c r="D596" s="4" t="s">
        <v>70</v>
      </c>
      <c r="E596" s="31" t="s">
        <v>6882</v>
      </c>
      <c r="F596" s="31" t="s">
        <v>6883</v>
      </c>
      <c r="G596" s="16" t="s">
        <v>6884</v>
      </c>
      <c r="H596" s="193" t="s">
        <v>6885</v>
      </c>
      <c r="I596" s="31" t="s">
        <v>6886</v>
      </c>
      <c r="J596" s="31" t="s">
        <v>6887</v>
      </c>
      <c r="K596" s="125" t="s">
        <v>6888</v>
      </c>
      <c r="L596" s="16" t="s">
        <v>6889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6979</v>
      </c>
      <c r="I597" s="31" t="s">
        <v>6520</v>
      </c>
      <c r="J597" s="31" t="s">
        <v>2838</v>
      </c>
      <c r="K597" s="125" t="s">
        <v>6759</v>
      </c>
      <c r="L597" s="16" t="s">
        <v>6880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6891</v>
      </c>
      <c r="I598" s="31"/>
      <c r="J598" s="31" t="s">
        <v>6877</v>
      </c>
      <c r="K598" s="125" t="s">
        <v>15</v>
      </c>
      <c r="L598" s="16" t="s">
        <v>6879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6918</v>
      </c>
      <c r="F599" s="31" t="s">
        <v>6917</v>
      </c>
      <c r="G599" s="16" t="s">
        <v>145</v>
      </c>
      <c r="H599" s="193" t="s">
        <v>6919</v>
      </c>
      <c r="I599" s="31" t="s">
        <v>6920</v>
      </c>
      <c r="J599" s="31"/>
      <c r="K599" s="277" t="s">
        <v>6921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6924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6918</v>
      </c>
      <c r="F601" s="454" t="s">
        <v>6917</v>
      </c>
      <c r="G601" s="459" t="s">
        <v>145</v>
      </c>
      <c r="H601" s="453" t="s">
        <v>6919</v>
      </c>
      <c r="I601" s="454" t="s">
        <v>6920</v>
      </c>
      <c r="J601" s="454"/>
      <c r="K601" s="735" t="s">
        <v>6921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6980</v>
      </c>
      <c r="I602" s="454" t="s">
        <v>6520</v>
      </c>
      <c r="J602" s="453" t="s">
        <v>6978</v>
      </c>
      <c r="K602" s="136" t="s">
        <v>6759</v>
      </c>
      <c r="L602" s="459" t="s">
        <v>6757</v>
      </c>
      <c r="M602" s="455">
        <v>4</v>
      </c>
      <c r="N602" s="454"/>
      <c r="O602" s="109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6877</v>
      </c>
      <c r="K603" s="136" t="s">
        <v>15</v>
      </c>
      <c r="L603" s="459" t="s">
        <v>6879</v>
      </c>
      <c r="M603" s="455">
        <v>3</v>
      </c>
      <c r="N603" s="454"/>
      <c r="O603" s="1098" t="s">
        <v>6944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6918</v>
      </c>
      <c r="F605" s="454" t="s">
        <v>6917</v>
      </c>
      <c r="G605" s="459" t="s">
        <v>145</v>
      </c>
      <c r="H605" s="453" t="s">
        <v>6919</v>
      </c>
      <c r="I605" s="31" t="s">
        <v>6922</v>
      </c>
      <c r="J605" s="31"/>
      <c r="K605" s="277" t="s">
        <v>6921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6981</v>
      </c>
      <c r="I606" s="31" t="s">
        <v>1948</v>
      </c>
      <c r="J606" s="193" t="s">
        <v>6862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6945</v>
      </c>
      <c r="G607" s="459" t="s">
        <v>6946</v>
      </c>
      <c r="H607" s="453" t="s">
        <v>6947</v>
      </c>
      <c r="I607" s="31"/>
      <c r="J607" s="193" t="s">
        <v>6948</v>
      </c>
      <c r="K607" s="125" t="s">
        <v>15</v>
      </c>
      <c r="L607" s="16"/>
      <c r="M607" s="8">
        <v>2</v>
      </c>
      <c r="N607" s="31"/>
      <c r="O607" s="759" t="s">
        <v>6949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6950</v>
      </c>
      <c r="F608" s="454" t="s">
        <v>6951</v>
      </c>
      <c r="G608" s="459" t="s">
        <v>6952</v>
      </c>
      <c r="H608" s="453" t="s">
        <v>6953</v>
      </c>
      <c r="I608" s="454" t="s">
        <v>6955</v>
      </c>
      <c r="J608" s="453" t="s">
        <v>6954</v>
      </c>
      <c r="K608" s="136" t="s">
        <v>15</v>
      </c>
      <c r="L608" s="459">
        <v>9080</v>
      </c>
      <c r="M608" s="455">
        <v>3</v>
      </c>
      <c r="N608" s="454"/>
      <c r="O608" s="109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2" t="s">
        <v>78</v>
      </c>
      <c r="F609" s="792" t="s">
        <v>6666</v>
      </c>
      <c r="G609" s="16" t="s">
        <v>207</v>
      </c>
      <c r="H609" s="797" t="s">
        <v>6874</v>
      </c>
      <c r="I609" s="792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6987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6918</v>
      </c>
      <c r="F610" s="454" t="s">
        <v>6917</v>
      </c>
      <c r="G610" s="459" t="s">
        <v>145</v>
      </c>
      <c r="H610" s="453" t="s">
        <v>6919</v>
      </c>
      <c r="I610" s="454" t="s">
        <v>6920</v>
      </c>
      <c r="J610" s="454"/>
      <c r="K610" s="735" t="s">
        <v>6921</v>
      </c>
      <c r="L610" s="459" t="s">
        <v>4875</v>
      </c>
      <c r="M610" s="455">
        <v>2</v>
      </c>
      <c r="N610" s="456"/>
      <c r="O610" s="473"/>
      <c r="P610" s="454"/>
    </row>
    <row r="611" spans="1:17" s="17" customFormat="1" ht="33" customHeight="1" x14ac:dyDescent="0.3">
      <c r="A611" s="595"/>
      <c r="B611" s="399">
        <v>46262</v>
      </c>
      <c r="C611" s="4" t="s">
        <v>6707</v>
      </c>
      <c r="D611" s="4" t="s">
        <v>151</v>
      </c>
      <c r="E611" s="31" t="s">
        <v>6709</v>
      </c>
      <c r="F611" s="31">
        <v>7065</v>
      </c>
      <c r="G611" s="16" t="s">
        <v>145</v>
      </c>
      <c r="H611" s="193" t="s">
        <v>6706</v>
      </c>
      <c r="I611" s="31" t="s">
        <v>6312</v>
      </c>
      <c r="J611" s="31"/>
      <c r="K611" s="277" t="s">
        <v>209</v>
      </c>
      <c r="L611" s="16">
        <v>9080</v>
      </c>
      <c r="M611" s="8">
        <v>1</v>
      </c>
      <c r="N611" s="422"/>
      <c r="O611" s="430"/>
      <c r="P611" s="31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6918</v>
      </c>
      <c r="F612" s="31" t="s">
        <v>6917</v>
      </c>
      <c r="G612" s="16" t="s">
        <v>145</v>
      </c>
      <c r="H612" s="193" t="s">
        <v>6919</v>
      </c>
      <c r="I612" s="31" t="s">
        <v>6920</v>
      </c>
      <c r="J612" s="31"/>
      <c r="K612" s="277" t="s">
        <v>6921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 x14ac:dyDescent="0.3">
      <c r="A613" s="791"/>
      <c r="B613" s="399">
        <v>46262</v>
      </c>
      <c r="C613" s="3" t="s">
        <v>21</v>
      </c>
      <c r="D613" s="3" t="s">
        <v>14</v>
      </c>
      <c r="E613" s="454" t="s">
        <v>149</v>
      </c>
      <c r="F613" s="454" t="s">
        <v>3415</v>
      </c>
      <c r="G613" s="459" t="s">
        <v>23</v>
      </c>
      <c r="H613" s="453" t="s">
        <v>6870</v>
      </c>
      <c r="I613" s="453" t="s">
        <v>6995</v>
      </c>
      <c r="J613" s="454" t="s">
        <v>2828</v>
      </c>
      <c r="K613" s="136" t="s">
        <v>15</v>
      </c>
      <c r="L613" s="459" t="s">
        <v>6984</v>
      </c>
      <c r="M613" s="455">
        <v>2</v>
      </c>
      <c r="N613" s="796"/>
      <c r="O613" s="430"/>
      <c r="P613" s="792"/>
    </row>
    <row r="614" spans="1:17" s="17" customFormat="1" ht="33" customHeight="1" x14ac:dyDescent="0.3">
      <c r="A614" s="791"/>
      <c r="B614" s="399">
        <v>46263</v>
      </c>
      <c r="C614" s="3" t="s">
        <v>6996</v>
      </c>
      <c r="D614" s="3" t="s">
        <v>77</v>
      </c>
      <c r="E614" s="454" t="s">
        <v>5890</v>
      </c>
      <c r="F614" s="454">
        <v>3307</v>
      </c>
      <c r="G614" s="459" t="s">
        <v>1328</v>
      </c>
      <c r="H614" s="453" t="s">
        <v>7002</v>
      </c>
      <c r="I614" s="453" t="s">
        <v>6998</v>
      </c>
      <c r="J614" s="454" t="s">
        <v>686</v>
      </c>
      <c r="K614" s="136" t="s">
        <v>15</v>
      </c>
      <c r="L614" s="459" t="s">
        <v>6999</v>
      </c>
      <c r="M614" s="455">
        <v>3</v>
      </c>
      <c r="N614" s="796"/>
      <c r="O614" s="430"/>
      <c r="P614" s="792"/>
    </row>
    <row r="615" spans="1:17" s="17" customFormat="1" ht="33" customHeight="1" x14ac:dyDescent="0.3">
      <c r="A615" s="596"/>
      <c r="B615" s="399">
        <v>46263</v>
      </c>
      <c r="C615" s="3" t="s">
        <v>21</v>
      </c>
      <c r="D615" s="3" t="s">
        <v>14</v>
      </c>
      <c r="E615" s="454" t="s">
        <v>149</v>
      </c>
      <c r="F615" s="454" t="s">
        <v>3415</v>
      </c>
      <c r="G615" s="459" t="s">
        <v>23</v>
      </c>
      <c r="H615" s="453" t="s">
        <v>6870</v>
      </c>
      <c r="I615" s="453" t="s">
        <v>6995</v>
      </c>
      <c r="J615" s="454" t="s">
        <v>2828</v>
      </c>
      <c r="K615" s="136" t="s">
        <v>15</v>
      </c>
      <c r="L615" s="459" t="s">
        <v>6984</v>
      </c>
      <c r="M615" s="455">
        <v>2</v>
      </c>
      <c r="N615" s="31"/>
      <c r="O615" s="432"/>
      <c r="P615" s="31"/>
    </row>
    <row r="616" spans="1:17" s="17" customFormat="1" ht="33" customHeight="1" x14ac:dyDescent="0.3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7" s="17" customFormat="1" ht="33" customHeight="1" x14ac:dyDescent="0.3">
      <c r="A617" s="594" t="s">
        <v>6333</v>
      </c>
      <c r="B617" s="399">
        <v>46265</v>
      </c>
      <c r="C617" s="3" t="s">
        <v>6996</v>
      </c>
      <c r="D617" s="3" t="s">
        <v>77</v>
      </c>
      <c r="E617" s="454" t="s">
        <v>5890</v>
      </c>
      <c r="F617" s="454">
        <v>3307</v>
      </c>
      <c r="G617" s="459" t="s">
        <v>1328</v>
      </c>
      <c r="H617" s="453" t="s">
        <v>7003</v>
      </c>
      <c r="I617" s="453" t="s">
        <v>6998</v>
      </c>
      <c r="J617" s="454" t="s">
        <v>686</v>
      </c>
      <c r="K617" s="136" t="s">
        <v>15</v>
      </c>
      <c r="L617" s="459" t="s">
        <v>6999</v>
      </c>
      <c r="M617" s="455">
        <v>3</v>
      </c>
      <c r="N617" s="31"/>
      <c r="O617" s="431"/>
      <c r="P617" s="31"/>
    </row>
    <row r="618" spans="1:17" s="17" customFormat="1" ht="33" customHeight="1" x14ac:dyDescent="0.3">
      <c r="A618" s="791"/>
      <c r="B618" s="399">
        <v>46265</v>
      </c>
      <c r="C618" s="3" t="s">
        <v>21</v>
      </c>
      <c r="D618" s="3" t="s">
        <v>14</v>
      </c>
      <c r="E618" s="454" t="s">
        <v>211</v>
      </c>
      <c r="F618" s="454" t="s">
        <v>2916</v>
      </c>
      <c r="G618" s="459" t="s">
        <v>2917</v>
      </c>
      <c r="H618" s="453" t="s">
        <v>7008</v>
      </c>
      <c r="I618" s="453" t="s">
        <v>7009</v>
      </c>
      <c r="J618" s="453" t="s">
        <v>7011</v>
      </c>
      <c r="K618" s="136" t="s">
        <v>7010</v>
      </c>
      <c r="L618" s="459" t="s">
        <v>6984</v>
      </c>
      <c r="M618" s="455">
        <v>6</v>
      </c>
      <c r="N618" s="792"/>
      <c r="O618" s="431"/>
      <c r="P618" s="792"/>
    </row>
    <row r="619" spans="1:17" s="17" customFormat="1" ht="33" customHeight="1" x14ac:dyDescent="0.3">
      <c r="A619" s="595"/>
      <c r="B619" s="399">
        <v>46266</v>
      </c>
      <c r="C619" s="3" t="s">
        <v>6996</v>
      </c>
      <c r="D619" s="3" t="s">
        <v>77</v>
      </c>
      <c r="E619" s="454" t="s">
        <v>5890</v>
      </c>
      <c r="F619" s="454">
        <v>3307</v>
      </c>
      <c r="G619" s="459" t="s">
        <v>1328</v>
      </c>
      <c r="H619" s="453" t="s">
        <v>7004</v>
      </c>
      <c r="I619" s="453" t="s">
        <v>6998</v>
      </c>
      <c r="J619" s="454" t="s">
        <v>686</v>
      </c>
      <c r="K619" s="136" t="s">
        <v>15</v>
      </c>
      <c r="L619" s="459" t="s">
        <v>6999</v>
      </c>
      <c r="M619" s="455">
        <v>3</v>
      </c>
      <c r="N619" s="31"/>
      <c r="O619" s="431"/>
      <c r="P619" s="31"/>
    </row>
    <row r="620" spans="1:17" s="17" customFormat="1" ht="33" customHeight="1" x14ac:dyDescent="0.3">
      <c r="A620" s="791"/>
      <c r="B620" s="399">
        <v>46266</v>
      </c>
      <c r="C620" s="4" t="s">
        <v>21</v>
      </c>
      <c r="D620" s="4" t="s">
        <v>17</v>
      </c>
      <c r="E620" s="792" t="s">
        <v>78</v>
      </c>
      <c r="F620" s="792">
        <v>7060</v>
      </c>
      <c r="G620" s="16" t="s">
        <v>36</v>
      </c>
      <c r="H620" s="797" t="s">
        <v>6986</v>
      </c>
      <c r="I620" s="792" t="s">
        <v>6847</v>
      </c>
      <c r="J620" s="792"/>
      <c r="K620" s="125" t="s">
        <v>15</v>
      </c>
      <c r="L620" s="16">
        <v>9080</v>
      </c>
      <c r="M620" s="8">
        <v>2</v>
      </c>
      <c r="N620" s="792"/>
      <c r="O620" s="431"/>
      <c r="P620" s="792"/>
    </row>
    <row r="621" spans="1:17" s="17" customFormat="1" ht="33" customHeight="1" x14ac:dyDescent="0.3">
      <c r="A621" s="791"/>
      <c r="B621" s="399">
        <v>46266</v>
      </c>
      <c r="C621" s="4" t="s">
        <v>21</v>
      </c>
      <c r="D621" s="4" t="s">
        <v>14</v>
      </c>
      <c r="E621" s="792" t="s">
        <v>140</v>
      </c>
      <c r="F621" s="792" t="s">
        <v>2959</v>
      </c>
      <c r="G621" s="16" t="s">
        <v>7007</v>
      </c>
      <c r="H621" s="797" t="s">
        <v>6972</v>
      </c>
      <c r="I621" s="792" t="s">
        <v>1948</v>
      </c>
      <c r="J621" s="792" t="s">
        <v>7019</v>
      </c>
      <c r="K621" s="125" t="s">
        <v>15</v>
      </c>
      <c r="L621" s="16" t="s">
        <v>6287</v>
      </c>
      <c r="M621" s="8">
        <v>3</v>
      </c>
      <c r="N621" s="792"/>
      <c r="O621" s="431"/>
      <c r="P621" s="792"/>
    </row>
    <row r="622" spans="1:17" s="17" customFormat="1" ht="33" customHeight="1" x14ac:dyDescent="0.3">
      <c r="A622" s="595"/>
      <c r="B622" s="399">
        <v>46267</v>
      </c>
      <c r="C622" s="4" t="s">
        <v>6956</v>
      </c>
      <c r="D622" s="4" t="s">
        <v>17</v>
      </c>
      <c r="E622" s="31" t="s">
        <v>6965</v>
      </c>
      <c r="F622" s="31" t="s">
        <v>6966</v>
      </c>
      <c r="G622" s="16" t="s">
        <v>6967</v>
      </c>
      <c r="H622" s="193" t="s">
        <v>6968</v>
      </c>
      <c r="I622" s="31" t="s">
        <v>6955</v>
      </c>
      <c r="J622" s="193" t="s">
        <v>6985</v>
      </c>
      <c r="K622" s="125" t="s">
        <v>6962</v>
      </c>
      <c r="L622" s="16"/>
      <c r="M622" s="8">
        <v>2</v>
      </c>
      <c r="N622" s="422"/>
      <c r="O622" s="430" t="s">
        <v>6969</v>
      </c>
      <c r="P622" s="31"/>
    </row>
    <row r="623" spans="1:17" s="17" customFormat="1" ht="33" customHeight="1" x14ac:dyDescent="0.3">
      <c r="A623" s="791"/>
      <c r="B623" s="399">
        <v>46267</v>
      </c>
      <c r="C623" s="4" t="s">
        <v>21</v>
      </c>
      <c r="D623" s="4" t="s">
        <v>14</v>
      </c>
      <c r="E623" s="792" t="s">
        <v>140</v>
      </c>
      <c r="F623" s="792" t="s">
        <v>2959</v>
      </c>
      <c r="G623" s="16" t="s">
        <v>143</v>
      </c>
      <c r="H623" s="797" t="s">
        <v>6972</v>
      </c>
      <c r="I623" s="792"/>
      <c r="J623" s="792" t="s">
        <v>641</v>
      </c>
      <c r="K623" s="125" t="s">
        <v>15</v>
      </c>
      <c r="L623" s="16" t="s">
        <v>6287</v>
      </c>
      <c r="M623" s="8">
        <v>2</v>
      </c>
      <c r="N623" s="796"/>
      <c r="O623" s="430"/>
      <c r="P623" s="792"/>
    </row>
    <row r="624" spans="1:17" s="17" customFormat="1" ht="33" customHeight="1" x14ac:dyDescent="0.3">
      <c r="A624" s="791"/>
      <c r="B624" s="399">
        <v>46267</v>
      </c>
      <c r="C624" s="3" t="s">
        <v>6996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6997</v>
      </c>
      <c r="I624" s="453" t="s">
        <v>6998</v>
      </c>
      <c r="J624" s="454" t="s">
        <v>686</v>
      </c>
      <c r="K624" s="136" t="s">
        <v>15</v>
      </c>
      <c r="L624" s="459" t="s">
        <v>6999</v>
      </c>
      <c r="M624" s="455">
        <v>3</v>
      </c>
      <c r="N624" s="796"/>
      <c r="O624" s="430"/>
      <c r="P624" s="792"/>
    </row>
    <row r="625" spans="1:16" s="17" customFormat="1" ht="33" customHeight="1" x14ac:dyDescent="0.3">
      <c r="A625" s="791"/>
      <c r="B625" s="399">
        <v>46268</v>
      </c>
      <c r="C625" s="3" t="s">
        <v>21</v>
      </c>
      <c r="D625" s="3" t="s">
        <v>77</v>
      </c>
      <c r="E625" s="453" t="s">
        <v>6517</v>
      </c>
      <c r="F625" s="454" t="s">
        <v>2653</v>
      </c>
      <c r="G625" s="459" t="s">
        <v>102</v>
      </c>
      <c r="H625" s="453" t="s">
        <v>7023</v>
      </c>
      <c r="I625" s="453" t="s">
        <v>126</v>
      </c>
      <c r="J625" s="454" t="s">
        <v>7022</v>
      </c>
      <c r="K625" s="136" t="s">
        <v>15</v>
      </c>
      <c r="L625" s="459" t="s">
        <v>4525</v>
      </c>
      <c r="M625" s="455">
        <v>2</v>
      </c>
      <c r="N625" s="796"/>
      <c r="O625" s="430"/>
      <c r="P625" s="792"/>
    </row>
    <row r="626" spans="1:16" s="17" customFormat="1" ht="33" customHeight="1" x14ac:dyDescent="0.3">
      <c r="A626" s="791"/>
      <c r="B626" s="399">
        <v>46268</v>
      </c>
      <c r="C626" s="4" t="s">
        <v>21</v>
      </c>
      <c r="D626" s="4" t="s">
        <v>14</v>
      </c>
      <c r="E626" s="792" t="s">
        <v>140</v>
      </c>
      <c r="F626" s="792" t="s">
        <v>2959</v>
      </c>
      <c r="G626" s="16" t="s">
        <v>7006</v>
      </c>
      <c r="H626" s="797" t="s">
        <v>6972</v>
      </c>
      <c r="I626" s="792"/>
      <c r="J626" s="792" t="s">
        <v>641</v>
      </c>
      <c r="K626" s="125" t="s">
        <v>15</v>
      </c>
      <c r="L626" s="16" t="s">
        <v>6287</v>
      </c>
      <c r="M626" s="8">
        <v>2</v>
      </c>
      <c r="N626" s="796"/>
      <c r="O626" s="430"/>
      <c r="P626" s="792"/>
    </row>
    <row r="627" spans="1:16" s="17" customFormat="1" ht="33" customHeight="1" x14ac:dyDescent="0.3">
      <c r="A627" s="791"/>
      <c r="B627" s="399">
        <v>46268</v>
      </c>
      <c r="C627" s="3" t="s">
        <v>6996</v>
      </c>
      <c r="D627" s="3" t="s">
        <v>77</v>
      </c>
      <c r="E627" s="454" t="s">
        <v>5890</v>
      </c>
      <c r="F627" s="454">
        <v>3307</v>
      </c>
      <c r="G627" s="459" t="s">
        <v>1328</v>
      </c>
      <c r="H627" s="453" t="s">
        <v>7005</v>
      </c>
      <c r="I627" s="453" t="s">
        <v>6998</v>
      </c>
      <c r="J627" s="454" t="s">
        <v>686</v>
      </c>
      <c r="K627" s="136" t="s">
        <v>15</v>
      </c>
      <c r="L627" s="459" t="s">
        <v>6999</v>
      </c>
      <c r="M627" s="455">
        <v>3</v>
      </c>
      <c r="N627" s="796"/>
      <c r="O627" s="430"/>
      <c r="P627" s="792"/>
    </row>
    <row r="628" spans="1:16" s="17" customFormat="1" ht="33" customHeight="1" x14ac:dyDescent="0.3">
      <c r="A628" s="791"/>
      <c r="B628" s="399">
        <v>46269</v>
      </c>
      <c r="C628" s="3" t="s">
        <v>21</v>
      </c>
      <c r="D628" s="3" t="s">
        <v>7024</v>
      </c>
      <c r="E628" s="454" t="s">
        <v>7025</v>
      </c>
      <c r="F628" s="453" t="s">
        <v>7028</v>
      </c>
      <c r="G628" s="459" t="s">
        <v>7026</v>
      </c>
      <c r="H628" s="453" t="s">
        <v>7027</v>
      </c>
      <c r="I628" s="453" t="s">
        <v>126</v>
      </c>
      <c r="J628" s="454" t="s">
        <v>7022</v>
      </c>
      <c r="K628" s="136" t="s">
        <v>15</v>
      </c>
      <c r="L628" s="459" t="s">
        <v>4525</v>
      </c>
      <c r="M628" s="455">
        <v>2</v>
      </c>
      <c r="N628" s="796"/>
      <c r="O628" s="430"/>
      <c r="P628" s="792"/>
    </row>
    <row r="629" spans="1:16" s="17" customFormat="1" ht="33" customHeight="1" x14ac:dyDescent="0.3">
      <c r="A629" s="791"/>
      <c r="B629" s="399">
        <v>46269</v>
      </c>
      <c r="C629" s="3" t="s">
        <v>6996</v>
      </c>
      <c r="D629" s="3" t="s">
        <v>77</v>
      </c>
      <c r="E629" s="454" t="s">
        <v>5890</v>
      </c>
      <c r="F629" s="454">
        <v>3307</v>
      </c>
      <c r="G629" s="459" t="s">
        <v>1328</v>
      </c>
      <c r="H629" s="453" t="s">
        <v>7000</v>
      </c>
      <c r="I629" s="453" t="s">
        <v>6998</v>
      </c>
      <c r="J629" s="454" t="s">
        <v>686</v>
      </c>
      <c r="K629" s="136" t="s">
        <v>15</v>
      </c>
      <c r="L629" s="459" t="s">
        <v>6999</v>
      </c>
      <c r="M629" s="455">
        <v>3</v>
      </c>
      <c r="N629" s="796"/>
      <c r="O629" s="430"/>
      <c r="P629" s="792"/>
    </row>
    <row r="630" spans="1:16" s="17" customFormat="1" ht="33" customHeight="1" x14ac:dyDescent="0.3">
      <c r="A630" s="595"/>
      <c r="B630" s="399">
        <v>46269</v>
      </c>
      <c r="C630" s="3" t="s">
        <v>21</v>
      </c>
      <c r="D630" s="3" t="s">
        <v>70</v>
      </c>
      <c r="E630" s="454" t="s">
        <v>1787</v>
      </c>
      <c r="F630" s="454" t="s">
        <v>2978</v>
      </c>
      <c r="G630" s="459" t="s">
        <v>40</v>
      </c>
      <c r="H630" s="453" t="s">
        <v>7012</v>
      </c>
      <c r="I630" s="454" t="s">
        <v>6983</v>
      </c>
      <c r="J630" s="453" t="s">
        <v>686</v>
      </c>
      <c r="K630" s="136" t="s">
        <v>15</v>
      </c>
      <c r="L630" s="459" t="s">
        <v>6984</v>
      </c>
      <c r="M630" s="455">
        <v>2</v>
      </c>
      <c r="N630" s="422"/>
      <c r="O630" s="430"/>
      <c r="P630" s="31"/>
    </row>
    <row r="631" spans="1:16" s="17" customFormat="1" ht="33" customHeight="1" x14ac:dyDescent="0.3">
      <c r="A631" s="791"/>
      <c r="B631" s="399">
        <v>46269</v>
      </c>
      <c r="C631" s="4" t="s">
        <v>21</v>
      </c>
      <c r="D631" s="4" t="s">
        <v>14</v>
      </c>
      <c r="E631" s="792" t="s">
        <v>140</v>
      </c>
      <c r="F631" s="792" t="s">
        <v>2959</v>
      </c>
      <c r="G631" s="16" t="s">
        <v>7007</v>
      </c>
      <c r="H631" s="797" t="s">
        <v>6972</v>
      </c>
      <c r="I631" s="792"/>
      <c r="J631" s="792" t="s">
        <v>6982</v>
      </c>
      <c r="K631" s="125" t="s">
        <v>15</v>
      </c>
      <c r="L631" s="16" t="s">
        <v>6287</v>
      </c>
      <c r="M631" s="8">
        <v>3</v>
      </c>
      <c r="N631" s="796"/>
      <c r="O631" s="430"/>
      <c r="P631" s="792"/>
    </row>
    <row r="632" spans="1:16" s="17" customFormat="1" ht="33" customHeight="1" x14ac:dyDescent="0.3">
      <c r="A632" s="595"/>
      <c r="B632" s="399">
        <v>46269</v>
      </c>
      <c r="C632" s="4" t="s">
        <v>6956</v>
      </c>
      <c r="D632" s="4" t="s">
        <v>6957</v>
      </c>
      <c r="E632" s="31" t="s">
        <v>6958</v>
      </c>
      <c r="F632" s="31" t="s">
        <v>6959</v>
      </c>
      <c r="G632" s="16" t="s">
        <v>6960</v>
      </c>
      <c r="H632" s="193" t="s">
        <v>6964</v>
      </c>
      <c r="I632" s="31" t="s">
        <v>6955</v>
      </c>
      <c r="J632" s="193"/>
      <c r="K632" s="125" t="s">
        <v>6962</v>
      </c>
      <c r="L632" s="16" t="s">
        <v>6961</v>
      </c>
      <c r="M632" s="8">
        <v>1</v>
      </c>
      <c r="N632" s="422"/>
      <c r="O632" s="430" t="s">
        <v>6963</v>
      </c>
      <c r="P632" s="31"/>
    </row>
    <row r="633" spans="1:16" s="17" customFormat="1" ht="33" customHeight="1" x14ac:dyDescent="0.3">
      <c r="A633" s="791"/>
      <c r="B633" s="399"/>
      <c r="C633" s="4"/>
      <c r="D633" s="4"/>
      <c r="E633" s="792"/>
      <c r="F633" s="792"/>
      <c r="G633" s="16"/>
      <c r="H633" s="797"/>
      <c r="I633" s="792"/>
      <c r="J633" s="797"/>
      <c r="K633" s="125"/>
      <c r="L633" s="16"/>
      <c r="M633" s="8"/>
      <c r="N633" s="796"/>
      <c r="O633" s="430"/>
      <c r="P633" s="792"/>
    </row>
    <row r="634" spans="1:16" s="17" customFormat="1" ht="33" customHeight="1" x14ac:dyDescent="0.3">
      <c r="A634" s="596"/>
      <c r="B634" s="399">
        <v>46270</v>
      </c>
      <c r="C634" s="3" t="s">
        <v>6996</v>
      </c>
      <c r="D634" s="3" t="s">
        <v>77</v>
      </c>
      <c r="E634" s="454" t="s">
        <v>5890</v>
      </c>
      <c r="F634" s="454">
        <v>3307</v>
      </c>
      <c r="G634" s="459" t="s">
        <v>1328</v>
      </c>
      <c r="H634" s="453" t="s">
        <v>7001</v>
      </c>
      <c r="I634" s="453" t="s">
        <v>6998</v>
      </c>
      <c r="J634" s="454" t="s">
        <v>686</v>
      </c>
      <c r="K634" s="136" t="s">
        <v>15</v>
      </c>
      <c r="L634" s="459" t="s">
        <v>6999</v>
      </c>
      <c r="M634" s="455">
        <v>3</v>
      </c>
      <c r="N634" s="31"/>
      <c r="O634" s="432"/>
      <c r="P634" s="31"/>
    </row>
    <row r="635" spans="1:16" s="17" customFormat="1" ht="33" customHeight="1" x14ac:dyDescent="0.3">
      <c r="A635" s="322" t="s">
        <v>0</v>
      </c>
      <c r="B635" s="323" t="s">
        <v>1</v>
      </c>
      <c r="C635" s="322" t="s">
        <v>2</v>
      </c>
      <c r="D635" s="322" t="s">
        <v>3</v>
      </c>
      <c r="E635" s="322" t="s">
        <v>4</v>
      </c>
      <c r="F635" s="322" t="s">
        <v>5</v>
      </c>
      <c r="G635" s="322" t="s">
        <v>6</v>
      </c>
      <c r="H635" s="324" t="s">
        <v>7</v>
      </c>
      <c r="I635" s="322" t="s">
        <v>8</v>
      </c>
      <c r="J635" s="322" t="s">
        <v>9</v>
      </c>
      <c r="K635" s="325" t="s">
        <v>10</v>
      </c>
      <c r="L635" s="326" t="s">
        <v>11</v>
      </c>
      <c r="M635" s="322" t="s">
        <v>12</v>
      </c>
      <c r="N635" s="327" t="s">
        <v>13</v>
      </c>
      <c r="O635" s="427" t="s">
        <v>63</v>
      </c>
      <c r="P635" s="322" t="s">
        <v>123</v>
      </c>
    </row>
    <row r="636" spans="1:16" s="17" customFormat="1" ht="33" customHeight="1" x14ac:dyDescent="0.3">
      <c r="A636" s="594" t="s">
        <v>6763</v>
      </c>
      <c r="B636" s="399">
        <v>46272</v>
      </c>
      <c r="C636" s="4" t="s">
        <v>6971</v>
      </c>
      <c r="D636" s="4" t="s">
        <v>6957</v>
      </c>
      <c r="E636" s="31" t="s">
        <v>6973</v>
      </c>
      <c r="F636" s="31">
        <v>7064</v>
      </c>
      <c r="G636" s="16" t="s">
        <v>6974</v>
      </c>
      <c r="H636" s="193" t="s">
        <v>6975</v>
      </c>
      <c r="I636" s="31"/>
      <c r="J636" s="31" t="s">
        <v>6976</v>
      </c>
      <c r="K636" s="125" t="s">
        <v>6962</v>
      </c>
      <c r="L636" s="16" t="s">
        <v>6977</v>
      </c>
      <c r="M636" s="8">
        <v>4</v>
      </c>
      <c r="N636" s="422" t="s">
        <v>6970</v>
      </c>
      <c r="O636" s="431"/>
      <c r="P636" s="31"/>
    </row>
    <row r="637" spans="1:16" s="17" customFormat="1" ht="33" customHeight="1" x14ac:dyDescent="0.3">
      <c r="A637" s="595"/>
      <c r="B637" s="399">
        <v>46273</v>
      </c>
      <c r="C637" s="4" t="s">
        <v>6971</v>
      </c>
      <c r="D637" s="4" t="s">
        <v>6957</v>
      </c>
      <c r="E637" s="31" t="s">
        <v>6973</v>
      </c>
      <c r="F637" s="31">
        <v>7064</v>
      </c>
      <c r="G637" s="16" t="s">
        <v>6974</v>
      </c>
      <c r="H637" s="193" t="s">
        <v>6975</v>
      </c>
      <c r="I637" s="31" t="s">
        <v>6955</v>
      </c>
      <c r="J637" s="31" t="s">
        <v>6976</v>
      </c>
      <c r="K637" s="125" t="s">
        <v>6962</v>
      </c>
      <c r="L637" s="16" t="s">
        <v>6977</v>
      </c>
      <c r="M637" s="8">
        <v>4</v>
      </c>
      <c r="N637" s="31"/>
      <c r="O637" s="431"/>
      <c r="P637" s="31"/>
    </row>
    <row r="638" spans="1:16" s="17" customFormat="1" ht="33" customHeight="1" x14ac:dyDescent="0.3">
      <c r="A638" s="595"/>
      <c r="B638" s="399">
        <v>46274</v>
      </c>
      <c r="C638" s="4" t="s">
        <v>21</v>
      </c>
      <c r="D638" s="4" t="s">
        <v>14</v>
      </c>
      <c r="E638" s="31" t="s">
        <v>107</v>
      </c>
      <c r="F638" s="193" t="s">
        <v>6745</v>
      </c>
      <c r="G638" s="16" t="s">
        <v>376</v>
      </c>
      <c r="H638" s="193" t="s">
        <v>6808</v>
      </c>
      <c r="I638" s="31" t="s">
        <v>6841</v>
      </c>
      <c r="J638" s="193"/>
      <c r="K638" s="125" t="s">
        <v>6744</v>
      </c>
      <c r="L638" s="16" t="s">
        <v>4550</v>
      </c>
      <c r="M638" s="8">
        <v>2</v>
      </c>
      <c r="N638" s="422"/>
      <c r="O638" s="430"/>
      <c r="P638" s="31"/>
    </row>
    <row r="639" spans="1:16" s="17" customFormat="1" ht="33" customHeight="1" x14ac:dyDescent="0.3">
      <c r="A639" s="595"/>
      <c r="B639" s="399">
        <v>46274</v>
      </c>
      <c r="C639" s="4" t="s">
        <v>6971</v>
      </c>
      <c r="D639" s="4" t="s">
        <v>6957</v>
      </c>
      <c r="E639" s="31" t="s">
        <v>6973</v>
      </c>
      <c r="F639" s="31">
        <v>7064</v>
      </c>
      <c r="G639" s="16" t="s">
        <v>6974</v>
      </c>
      <c r="H639" s="193" t="s">
        <v>6975</v>
      </c>
      <c r="I639" s="31" t="s">
        <v>6955</v>
      </c>
      <c r="J639" s="31" t="s">
        <v>6976</v>
      </c>
      <c r="K639" s="125" t="s">
        <v>6962</v>
      </c>
      <c r="L639" s="16" t="s">
        <v>6977</v>
      </c>
      <c r="M639" s="8">
        <v>4</v>
      </c>
      <c r="N639" s="422"/>
      <c r="O639" s="430"/>
      <c r="P639" s="31"/>
    </row>
    <row r="640" spans="1:16" s="17" customFormat="1" ht="33" customHeight="1" x14ac:dyDescent="0.3">
      <c r="A640" s="791"/>
      <c r="B640" s="399">
        <v>46274</v>
      </c>
      <c r="C640" s="4" t="s">
        <v>21</v>
      </c>
      <c r="D640" s="4" t="s">
        <v>7013</v>
      </c>
      <c r="E640" s="792" t="s">
        <v>7014</v>
      </c>
      <c r="F640" s="792" t="s">
        <v>7015</v>
      </c>
      <c r="G640" s="16" t="s">
        <v>205</v>
      </c>
      <c r="H640" s="797" t="s">
        <v>7020</v>
      </c>
      <c r="I640" s="792"/>
      <c r="J640" s="792" t="s">
        <v>7018</v>
      </c>
      <c r="K640" s="125" t="s">
        <v>15</v>
      </c>
      <c r="L640" s="16"/>
      <c r="M640" s="8"/>
      <c r="N640" s="796"/>
      <c r="O640" s="430"/>
      <c r="P640" s="792"/>
    </row>
    <row r="641" spans="1:16" s="17" customFormat="1" ht="33" customHeight="1" x14ac:dyDescent="0.3">
      <c r="A641" s="791"/>
      <c r="B641" s="399">
        <v>46275</v>
      </c>
      <c r="C641" s="4" t="s">
        <v>21</v>
      </c>
      <c r="D641" s="4" t="s">
        <v>7013</v>
      </c>
      <c r="E641" s="792" t="s">
        <v>7014</v>
      </c>
      <c r="F641" s="792" t="s">
        <v>7015</v>
      </c>
      <c r="G641" s="16" t="s">
        <v>7016</v>
      </c>
      <c r="H641" s="797" t="s">
        <v>7017</v>
      </c>
      <c r="I641" s="792"/>
      <c r="J641" s="792" t="s">
        <v>7018</v>
      </c>
      <c r="K641" s="125" t="s">
        <v>15</v>
      </c>
      <c r="L641" s="16"/>
      <c r="M641" s="8"/>
      <c r="N641" s="796"/>
      <c r="O641" s="430"/>
      <c r="P641" s="792"/>
    </row>
    <row r="642" spans="1:16" s="17" customFormat="1" ht="33" customHeight="1" x14ac:dyDescent="0.3">
      <c r="A642" s="595"/>
      <c r="B642" s="399">
        <v>46275</v>
      </c>
      <c r="C642" s="4" t="s">
        <v>6971</v>
      </c>
      <c r="D642" s="4" t="s">
        <v>6957</v>
      </c>
      <c r="E642" s="31" t="s">
        <v>6973</v>
      </c>
      <c r="F642" s="31">
        <v>7064</v>
      </c>
      <c r="G642" s="16" t="s">
        <v>6974</v>
      </c>
      <c r="H642" s="193" t="s">
        <v>6975</v>
      </c>
      <c r="I642" s="31" t="s">
        <v>6955</v>
      </c>
      <c r="J642" s="31" t="s">
        <v>6976</v>
      </c>
      <c r="K642" s="125" t="s">
        <v>6962</v>
      </c>
      <c r="L642" s="16" t="s">
        <v>6977</v>
      </c>
      <c r="M642" s="8">
        <v>4</v>
      </c>
      <c r="N642" s="422"/>
      <c r="O642" s="430"/>
      <c r="P642" s="31"/>
    </row>
    <row r="643" spans="1:16" s="17" customFormat="1" ht="33" customHeight="1" x14ac:dyDescent="0.3">
      <c r="A643" s="791"/>
      <c r="B643" s="399">
        <v>46276</v>
      </c>
      <c r="C643" s="4" t="s">
        <v>21</v>
      </c>
      <c r="D643" s="4" t="s">
        <v>7013</v>
      </c>
      <c r="E643" s="792" t="s">
        <v>7014</v>
      </c>
      <c r="F643" s="792" t="s">
        <v>7015</v>
      </c>
      <c r="G643" s="16" t="s">
        <v>7016</v>
      </c>
      <c r="H643" s="797" t="s">
        <v>7021</v>
      </c>
      <c r="I643" s="792"/>
      <c r="J643" s="792" t="s">
        <v>7018</v>
      </c>
      <c r="K643" s="125" t="s">
        <v>15</v>
      </c>
      <c r="L643" s="16"/>
      <c r="M643" s="8"/>
      <c r="N643" s="796"/>
      <c r="O643" s="430"/>
      <c r="P643" s="792"/>
    </row>
    <row r="644" spans="1:16" s="17" customFormat="1" ht="33" customHeight="1" x14ac:dyDescent="0.3">
      <c r="A644" s="595"/>
      <c r="B644" s="399">
        <v>46276</v>
      </c>
      <c r="C644" s="4" t="s">
        <v>6971</v>
      </c>
      <c r="D644" s="4" t="s">
        <v>6957</v>
      </c>
      <c r="E644" s="31" t="s">
        <v>6973</v>
      </c>
      <c r="F644" s="31">
        <v>7064</v>
      </c>
      <c r="G644" s="16" t="s">
        <v>6974</v>
      </c>
      <c r="H644" s="193" t="s">
        <v>6975</v>
      </c>
      <c r="I644" s="31" t="s">
        <v>6955</v>
      </c>
      <c r="J644" s="31" t="s">
        <v>6976</v>
      </c>
      <c r="K644" s="125" t="s">
        <v>6962</v>
      </c>
      <c r="L644" s="16" t="s">
        <v>6977</v>
      </c>
      <c r="M644" s="8">
        <v>4</v>
      </c>
      <c r="N644" s="422"/>
      <c r="O644" s="430"/>
      <c r="P644" s="31"/>
    </row>
    <row r="645" spans="1:16" s="17" customFormat="1" ht="33" customHeight="1" x14ac:dyDescent="0.3">
      <c r="A645" s="596"/>
      <c r="B645" s="399">
        <v>46277</v>
      </c>
      <c r="C645" s="4" t="s">
        <v>6971</v>
      </c>
      <c r="D645" s="4" t="s">
        <v>6957</v>
      </c>
      <c r="E645" s="31" t="s">
        <v>6973</v>
      </c>
      <c r="F645" s="31">
        <v>7064</v>
      </c>
      <c r="G645" s="16" t="s">
        <v>6974</v>
      </c>
      <c r="H645" s="193" t="s">
        <v>6975</v>
      </c>
      <c r="I645" s="31" t="s">
        <v>6955</v>
      </c>
      <c r="J645" s="31" t="s">
        <v>6976</v>
      </c>
      <c r="K645" s="125" t="s">
        <v>6962</v>
      </c>
      <c r="L645" s="16" t="s">
        <v>6977</v>
      </c>
      <c r="M645" s="8">
        <v>4</v>
      </c>
      <c r="N645" s="31"/>
      <c r="O645" s="432"/>
      <c r="P645" s="31"/>
    </row>
    <row r="646" spans="1:16" s="17" customFormat="1" ht="33" customHeight="1" x14ac:dyDescent="0.3">
      <c r="A646" s="322" t="s">
        <v>0</v>
      </c>
      <c r="B646" s="323" t="s">
        <v>1</v>
      </c>
      <c r="C646" s="322" t="s">
        <v>2</v>
      </c>
      <c r="D646" s="322" t="s">
        <v>3</v>
      </c>
      <c r="E646" s="322" t="s">
        <v>4</v>
      </c>
      <c r="F646" s="322" t="s">
        <v>5</v>
      </c>
      <c r="G646" s="322" t="s">
        <v>6</v>
      </c>
      <c r="H646" s="324" t="s">
        <v>7</v>
      </c>
      <c r="I646" s="322" t="s">
        <v>8</v>
      </c>
      <c r="J646" s="322" t="s">
        <v>9</v>
      </c>
      <c r="K646" s="325" t="s">
        <v>10</v>
      </c>
      <c r="L646" s="326" t="s">
        <v>11</v>
      </c>
      <c r="M646" s="322" t="s">
        <v>12</v>
      </c>
      <c r="N646" s="327" t="s">
        <v>13</v>
      </c>
      <c r="O646" s="427" t="s">
        <v>63</v>
      </c>
      <c r="P646" s="322" t="s">
        <v>123</v>
      </c>
    </row>
    <row r="647" spans="1:16" s="17" customFormat="1" ht="33" customHeight="1" x14ac:dyDescent="0.3">
      <c r="A647" s="594" t="s">
        <v>6764</v>
      </c>
      <c r="B647" s="399">
        <v>46279</v>
      </c>
      <c r="C647" s="4"/>
      <c r="D647" s="4"/>
      <c r="E647" s="3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 x14ac:dyDescent="0.3">
      <c r="A648" s="595"/>
      <c r="B648" s="399">
        <v>46280</v>
      </c>
      <c r="C648" s="4"/>
      <c r="D648" s="4"/>
      <c r="E648" s="29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 x14ac:dyDescent="0.3">
      <c r="A649" s="595"/>
      <c r="B649" s="399">
        <v>46281</v>
      </c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 x14ac:dyDescent="0.3">
      <c r="A650" s="595"/>
      <c r="B650" s="399">
        <v>46282</v>
      </c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 x14ac:dyDescent="0.3">
      <c r="A651" s="595"/>
      <c r="B651" s="399">
        <v>46283</v>
      </c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6"/>
      <c r="B652" s="399">
        <v>46284</v>
      </c>
      <c r="C652" s="4"/>
      <c r="D652" s="4"/>
      <c r="E652" s="291"/>
      <c r="F652" s="31"/>
      <c r="G652" s="16"/>
      <c r="H652" s="193"/>
      <c r="I652" s="31"/>
      <c r="J652" s="31"/>
      <c r="K652" s="125"/>
      <c r="L652" s="16"/>
      <c r="M652" s="8"/>
      <c r="N652" s="31"/>
      <c r="O652" s="432"/>
      <c r="P652" s="31"/>
    </row>
    <row r="653" spans="1:16" s="17" customFormat="1" ht="33" customHeight="1" x14ac:dyDescent="0.3">
      <c r="A653" s="322" t="s">
        <v>0</v>
      </c>
      <c r="B653" s="323" t="s">
        <v>1</v>
      </c>
      <c r="C653" s="322" t="s">
        <v>2</v>
      </c>
      <c r="D653" s="322" t="s">
        <v>3</v>
      </c>
      <c r="E653" s="322" t="s">
        <v>4</v>
      </c>
      <c r="F653" s="322" t="s">
        <v>5</v>
      </c>
      <c r="G653" s="322" t="s">
        <v>6</v>
      </c>
      <c r="H653" s="324" t="s">
        <v>7</v>
      </c>
      <c r="I653" s="322" t="s">
        <v>8</v>
      </c>
      <c r="J653" s="322" t="s">
        <v>9</v>
      </c>
      <c r="K653" s="325" t="s">
        <v>10</v>
      </c>
      <c r="L653" s="326" t="s">
        <v>11</v>
      </c>
      <c r="M653" s="322" t="s">
        <v>12</v>
      </c>
      <c r="N653" s="327" t="s">
        <v>13</v>
      </c>
      <c r="O653" s="427" t="s">
        <v>63</v>
      </c>
      <c r="P653" s="322" t="s">
        <v>123</v>
      </c>
    </row>
    <row r="654" spans="1:16" s="17" customFormat="1" ht="33" customHeight="1" x14ac:dyDescent="0.3">
      <c r="A654" s="594" t="s">
        <v>6765</v>
      </c>
      <c r="B654" s="399">
        <v>46286</v>
      </c>
      <c r="C654" s="4" t="s">
        <v>6988</v>
      </c>
      <c r="D654" s="4" t="s">
        <v>6989</v>
      </c>
      <c r="E654" s="31" t="s">
        <v>6990</v>
      </c>
      <c r="F654" s="31" t="s">
        <v>6991</v>
      </c>
      <c r="G654" s="16" t="s">
        <v>6992</v>
      </c>
      <c r="H654" s="193" t="s">
        <v>6993</v>
      </c>
      <c r="I654" s="31"/>
      <c r="J654" s="31"/>
      <c r="K654" s="125" t="s">
        <v>6994</v>
      </c>
      <c r="L654" s="16"/>
      <c r="M654" s="8"/>
      <c r="N654" s="31"/>
      <c r="O654" s="431"/>
      <c r="P654" s="31"/>
    </row>
    <row r="655" spans="1:16" s="17" customFormat="1" ht="33" customHeight="1" x14ac:dyDescent="0.3">
      <c r="A655" s="595"/>
      <c r="B655" s="399">
        <v>46287</v>
      </c>
      <c r="C655" s="4"/>
      <c r="D655" s="4"/>
      <c r="E655" s="29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 x14ac:dyDescent="0.3">
      <c r="A656" s="595"/>
      <c r="B656" s="399">
        <v>46288</v>
      </c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 x14ac:dyDescent="0.3">
      <c r="A657" s="595"/>
      <c r="B657" s="399">
        <v>46289</v>
      </c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 x14ac:dyDescent="0.3">
      <c r="A658" s="595"/>
      <c r="B658" s="399">
        <v>46290</v>
      </c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 t="s">
        <v>6766</v>
      </c>
      <c r="P658" s="31"/>
    </row>
    <row r="659" spans="1:16" s="17" customFormat="1" ht="33" customHeight="1" x14ac:dyDescent="0.3">
      <c r="A659" s="596"/>
      <c r="B659" s="399">
        <v>46291</v>
      </c>
      <c r="C659" s="4"/>
      <c r="D659" s="4"/>
      <c r="E659" s="291"/>
      <c r="F659" s="31"/>
      <c r="G659" s="16"/>
      <c r="H659" s="193"/>
      <c r="I659" s="31"/>
      <c r="J659" s="31"/>
      <c r="K659" s="125"/>
      <c r="L659" s="16"/>
      <c r="M659" s="8"/>
      <c r="N659" s="31"/>
      <c r="O659" s="432"/>
      <c r="P659" s="31"/>
    </row>
    <row r="660" spans="1:16" s="17" customFormat="1" ht="33" customHeight="1" x14ac:dyDescent="0.3">
      <c r="A660" s="322" t="s">
        <v>0</v>
      </c>
      <c r="B660" s="323" t="s">
        <v>1</v>
      </c>
      <c r="C660" s="322" t="s">
        <v>2</v>
      </c>
      <c r="D660" s="322" t="s">
        <v>3</v>
      </c>
      <c r="E660" s="322" t="s">
        <v>4</v>
      </c>
      <c r="F660" s="322" t="s">
        <v>5</v>
      </c>
      <c r="G660" s="322" t="s">
        <v>6</v>
      </c>
      <c r="H660" s="324" t="s">
        <v>7</v>
      </c>
      <c r="I660" s="322" t="s">
        <v>8</v>
      </c>
      <c r="J660" s="322" t="s">
        <v>9</v>
      </c>
      <c r="K660" s="325" t="s">
        <v>10</v>
      </c>
      <c r="L660" s="326" t="s">
        <v>11</v>
      </c>
      <c r="M660" s="322" t="s">
        <v>12</v>
      </c>
      <c r="N660" s="327" t="s">
        <v>13</v>
      </c>
      <c r="O660" s="427" t="s">
        <v>63</v>
      </c>
      <c r="P660" s="322" t="s">
        <v>123</v>
      </c>
    </row>
    <row r="661" spans="1:16" s="17" customFormat="1" ht="33" customHeight="1" x14ac:dyDescent="0.3">
      <c r="A661" s="594"/>
      <c r="B661" s="399"/>
      <c r="C661" s="4"/>
      <c r="D661" s="4"/>
      <c r="E661" s="31"/>
      <c r="F661" s="31"/>
      <c r="G661" s="16"/>
      <c r="H661" s="193"/>
      <c r="I661" s="31"/>
      <c r="J661" s="31"/>
      <c r="K661" s="125"/>
      <c r="L661" s="16"/>
      <c r="M661" s="8"/>
      <c r="N661" s="31"/>
      <c r="O661" s="431"/>
      <c r="P661" s="31"/>
    </row>
    <row r="662" spans="1:16" s="17" customFormat="1" ht="33" customHeight="1" x14ac:dyDescent="0.3">
      <c r="A662" s="595"/>
      <c r="B662" s="399"/>
      <c r="C662" s="4"/>
      <c r="D662" s="4"/>
      <c r="E662" s="29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 x14ac:dyDescent="0.3">
      <c r="A663" s="595"/>
      <c r="B663" s="399"/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 x14ac:dyDescent="0.3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 x14ac:dyDescent="0.3">
      <c r="A665" s="595"/>
      <c r="B665" s="399"/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 x14ac:dyDescent="0.3">
      <c r="A666" s="596"/>
      <c r="B666" s="399"/>
      <c r="C666" s="4"/>
      <c r="D666" s="4"/>
      <c r="E666" s="291"/>
      <c r="F666" s="31"/>
      <c r="G666" s="16"/>
      <c r="H666" s="193"/>
      <c r="I666" s="31"/>
      <c r="J666" s="31"/>
      <c r="K666" s="125"/>
      <c r="L666" s="16"/>
      <c r="M666" s="8"/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/>
      <c r="B668" s="399"/>
      <c r="C668" s="4"/>
      <c r="D668" s="4"/>
      <c r="E668" s="31"/>
      <c r="F668" s="31"/>
      <c r="G668" s="16"/>
      <c r="H668" s="193"/>
      <c r="I668" s="31"/>
      <c r="J668" s="31"/>
      <c r="K668" s="125"/>
      <c r="L668" s="16"/>
      <c r="M668" s="8"/>
      <c r="N668" s="31"/>
      <c r="O668" s="431"/>
      <c r="P668" s="31"/>
    </row>
    <row r="669" spans="1:16" s="17" customFormat="1" ht="33" customHeight="1" x14ac:dyDescent="0.3">
      <c r="A669" s="595"/>
      <c r="B669" s="399"/>
      <c r="C669" s="4"/>
      <c r="D669" s="4"/>
      <c r="E669" s="291"/>
      <c r="F669" s="31"/>
      <c r="G669" s="16"/>
      <c r="H669" s="193"/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 x14ac:dyDescent="0.3">
      <c r="A670" s="595"/>
      <c r="B670" s="399"/>
      <c r="C670" s="4"/>
      <c r="D670" s="4"/>
      <c r="E670" s="31"/>
      <c r="F670" s="31"/>
      <c r="G670" s="16"/>
      <c r="H670" s="193"/>
      <c r="I670" s="31"/>
      <c r="J670" s="193"/>
      <c r="K670" s="125"/>
      <c r="L670" s="16"/>
      <c r="M670" s="8"/>
      <c r="N670" s="422"/>
      <c r="O670" s="430"/>
      <c r="P670" s="31"/>
    </row>
    <row r="671" spans="1:16" s="17" customFormat="1" ht="33" customHeight="1" x14ac:dyDescent="0.3">
      <c r="A671" s="595"/>
      <c r="B671" s="399"/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 x14ac:dyDescent="0.3">
      <c r="A672" s="595"/>
      <c r="B672" s="399"/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 x14ac:dyDescent="0.3">
      <c r="A673" s="596"/>
      <c r="B673" s="399"/>
      <c r="C673" s="4"/>
      <c r="D673" s="4"/>
      <c r="E673" s="291"/>
      <c r="F673" s="31"/>
      <c r="G673" s="16"/>
      <c r="H673" s="193"/>
      <c r="I673" s="31"/>
      <c r="J673" s="31"/>
      <c r="K673" s="125"/>
      <c r="L673" s="16"/>
      <c r="M673" s="8"/>
      <c r="N673" s="31"/>
      <c r="O673" s="432"/>
      <c r="P673" s="31"/>
    </row>
    <row r="674" spans="1:16" s="17" customFormat="1" ht="33" customHeight="1" x14ac:dyDescent="0.3">
      <c r="A674" s="322" t="s">
        <v>0</v>
      </c>
      <c r="B674" s="323" t="s">
        <v>1</v>
      </c>
      <c r="C674" s="322" t="s">
        <v>2</v>
      </c>
      <c r="D674" s="322" t="s">
        <v>3</v>
      </c>
      <c r="E674" s="322" t="s">
        <v>4</v>
      </c>
      <c r="F674" s="322" t="s">
        <v>5</v>
      </c>
      <c r="G674" s="322" t="s">
        <v>6</v>
      </c>
      <c r="H674" s="324" t="s">
        <v>7</v>
      </c>
      <c r="I674" s="322" t="s">
        <v>8</v>
      </c>
      <c r="J674" s="322" t="s">
        <v>9</v>
      </c>
      <c r="K674" s="325" t="s">
        <v>10</v>
      </c>
      <c r="L674" s="326" t="s">
        <v>11</v>
      </c>
      <c r="M674" s="322" t="s">
        <v>12</v>
      </c>
      <c r="N674" s="327" t="s">
        <v>13</v>
      </c>
      <c r="O674" s="427" t="s">
        <v>63</v>
      </c>
      <c r="P674" s="322" t="s">
        <v>123</v>
      </c>
    </row>
    <row r="675" spans="1:16" s="17" customFormat="1" ht="33" customHeight="1" x14ac:dyDescent="0.3">
      <c r="A675" s="594"/>
      <c r="B675" s="399"/>
      <c r="C675" s="4"/>
      <c r="D675" s="4"/>
      <c r="E675" s="31"/>
      <c r="F675" s="31"/>
      <c r="G675" s="16"/>
      <c r="H675" s="193"/>
      <c r="I675" s="31"/>
      <c r="J675" s="31"/>
      <c r="K675" s="125"/>
      <c r="L675" s="16"/>
      <c r="M675" s="8"/>
      <c r="N675" s="31"/>
      <c r="O675" s="431"/>
      <c r="P675" s="31"/>
    </row>
    <row r="676" spans="1:16" s="17" customFormat="1" ht="33" customHeight="1" x14ac:dyDescent="0.3">
      <c r="A676" s="595"/>
      <c r="B676" s="399"/>
      <c r="C676" s="4"/>
      <c r="D676" s="4"/>
      <c r="E676" s="291"/>
      <c r="F676" s="31"/>
      <c r="G676" s="16"/>
      <c r="H676" s="193"/>
      <c r="I676" s="31"/>
      <c r="J676" s="31"/>
      <c r="K676" s="125"/>
      <c r="L676" s="16"/>
      <c r="M676" s="8"/>
      <c r="N676" s="31"/>
      <c r="O676" s="431"/>
      <c r="P676" s="31"/>
    </row>
    <row r="677" spans="1:16" s="17" customFormat="1" ht="33" customHeight="1" x14ac:dyDescent="0.3">
      <c r="A677" s="595"/>
      <c r="B677" s="399"/>
      <c r="C677" s="4"/>
      <c r="D677" s="4"/>
      <c r="E677" s="31"/>
      <c r="F677" s="31"/>
      <c r="G677" s="16"/>
      <c r="H677" s="193"/>
      <c r="I677" s="31"/>
      <c r="J677" s="193"/>
      <c r="K677" s="125"/>
      <c r="L677" s="16"/>
      <c r="M677" s="8"/>
      <c r="N677" s="422"/>
      <c r="O677" s="430"/>
      <c r="P677" s="31"/>
    </row>
    <row r="678" spans="1:16" s="17" customFormat="1" ht="33" customHeight="1" x14ac:dyDescent="0.3">
      <c r="A678" s="595"/>
      <c r="B678" s="399"/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 x14ac:dyDescent="0.3">
      <c r="A679" s="595"/>
      <c r="B679" s="399"/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 x14ac:dyDescent="0.3">
      <c r="A680" s="596"/>
      <c r="B680" s="399"/>
      <c r="C680" s="4"/>
      <c r="D680" s="4"/>
      <c r="E680" s="291"/>
      <c r="F680" s="31"/>
      <c r="G680" s="16"/>
      <c r="H680" s="193"/>
      <c r="I680" s="31"/>
      <c r="J680" s="31"/>
      <c r="K680" s="125"/>
      <c r="L680" s="16"/>
      <c r="M680" s="8"/>
      <c r="N680" s="31"/>
      <c r="O680" s="432"/>
      <c r="P680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G1626" sqref="G162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 x14ac:dyDescent="0.3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 x14ac:dyDescent="0.3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 x14ac:dyDescent="0.3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 x14ac:dyDescent="0.3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 x14ac:dyDescent="0.3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 x14ac:dyDescent="0.3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 x14ac:dyDescent="0.3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 x14ac:dyDescent="0.3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 x14ac:dyDescent="0.3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 x14ac:dyDescent="0.3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 x14ac:dyDescent="0.3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 x14ac:dyDescent="0.3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 x14ac:dyDescent="0.3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 x14ac:dyDescent="0.3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 x14ac:dyDescent="0.3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 x14ac:dyDescent="0.3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 x14ac:dyDescent="0.3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 x14ac:dyDescent="0.3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 x14ac:dyDescent="0.3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 x14ac:dyDescent="0.3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 x14ac:dyDescent="0.3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 x14ac:dyDescent="0.3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6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7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7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48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7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8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7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 x14ac:dyDescent="0.3">
      <c r="A182" s="55">
        <v>36</v>
      </c>
      <c r="B182" s="847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 x14ac:dyDescent="0.3">
      <c r="A183" s="55">
        <v>36</v>
      </c>
      <c r="B183" s="847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7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8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6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7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7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7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7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8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6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7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7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8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6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7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6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7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0" t="s">
        <v>247</v>
      </c>
    </row>
    <row r="226" spans="1:14" x14ac:dyDescent="0.3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6"/>
    </row>
    <row r="227" spans="1:14" x14ac:dyDescent="0.3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 x14ac:dyDescent="0.3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7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 x14ac:dyDescent="0.3">
      <c r="A250" s="55">
        <v>48</v>
      </c>
      <c r="B250" s="848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 x14ac:dyDescent="0.3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7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 x14ac:dyDescent="0.3">
      <c r="A257" s="55">
        <v>49</v>
      </c>
      <c r="B257" s="848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 x14ac:dyDescent="0.3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 x14ac:dyDescent="0.3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 x14ac:dyDescent="0.3">
      <c r="A263" s="55">
        <v>50</v>
      </c>
      <c r="B263" s="846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7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7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7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8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60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6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7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7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47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47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 x14ac:dyDescent="0.3">
      <c r="A279" s="55">
        <v>1</v>
      </c>
      <c r="B279" s="846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8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6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7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7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7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83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884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60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60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2" t="s">
        <v>671</v>
      </c>
      <c r="L291" s="148" t="s">
        <v>309</v>
      </c>
      <c r="M291" s="866" t="s">
        <v>672</v>
      </c>
      <c r="N291" s="148" t="s">
        <v>723</v>
      </c>
    </row>
    <row r="292" spans="1:15" x14ac:dyDescent="0.3">
      <c r="A292" s="55">
        <v>2</v>
      </c>
      <c r="B292" s="860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3"/>
      <c r="L292" s="148" t="s">
        <v>309</v>
      </c>
      <c r="M292" s="867"/>
      <c r="N292" s="148" t="s">
        <v>723</v>
      </c>
    </row>
    <row r="293" spans="1:15" x14ac:dyDescent="0.3">
      <c r="A293" s="55">
        <v>2</v>
      </c>
      <c r="B293" s="860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6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7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8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6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7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7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7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8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6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8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6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7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8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6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8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6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7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8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6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7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7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8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6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7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7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8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 x14ac:dyDescent="0.3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 x14ac:dyDescent="0.3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 x14ac:dyDescent="0.3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 x14ac:dyDescent="0.3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2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 x14ac:dyDescent="0.3">
      <c r="A404" s="123">
        <v>18</v>
      </c>
      <c r="B404" s="833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 x14ac:dyDescent="0.3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33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 x14ac:dyDescent="0.3">
      <c r="A407" s="123">
        <v>18</v>
      </c>
      <c r="B407" s="833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 x14ac:dyDescent="0.3">
      <c r="A408" s="123">
        <v>18</v>
      </c>
      <c r="B408" s="833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 x14ac:dyDescent="0.3">
      <c r="A409" s="123">
        <v>18</v>
      </c>
      <c r="B409" s="834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 x14ac:dyDescent="0.3">
      <c r="A410" s="123">
        <v>18</v>
      </c>
      <c r="B410" s="832" t="s">
        <v>253</v>
      </c>
      <c r="C410" s="933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3" t="s">
        <v>1769</v>
      </c>
      <c r="I410" s="227" t="s">
        <v>1770</v>
      </c>
      <c r="J410" s="851"/>
      <c r="K410" s="935" t="s">
        <v>1771</v>
      </c>
      <c r="L410" s="851" t="s">
        <v>309</v>
      </c>
      <c r="M410" s="849" t="s">
        <v>1764</v>
      </c>
      <c r="N410" s="851" t="s">
        <v>1772</v>
      </c>
    </row>
    <row r="411" spans="1:14" x14ac:dyDescent="0.3">
      <c r="A411" s="123">
        <v>18</v>
      </c>
      <c r="B411" s="833"/>
      <c r="C411" s="934"/>
      <c r="D411" s="852"/>
      <c r="E411" s="852"/>
      <c r="F411" s="852"/>
      <c r="G411" s="852"/>
      <c r="H411" s="934"/>
      <c r="I411" s="227" t="s">
        <v>1773</v>
      </c>
      <c r="J411" s="852"/>
      <c r="K411" s="936"/>
      <c r="L411" s="852"/>
      <c r="M411" s="850"/>
      <c r="N411" s="852"/>
    </row>
    <row r="412" spans="1:14" ht="22.5" x14ac:dyDescent="0.3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33"/>
      <c r="C413" s="933" t="s">
        <v>1776</v>
      </c>
      <c r="D413" s="933" t="s">
        <v>700</v>
      </c>
      <c r="E413" s="851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 x14ac:dyDescent="0.3">
      <c r="A414" s="123">
        <v>18</v>
      </c>
      <c r="B414" s="834"/>
      <c r="C414" s="934"/>
      <c r="D414" s="934"/>
      <c r="E414" s="852"/>
      <c r="F414" s="934"/>
      <c r="G414" s="934"/>
      <c r="H414" s="934"/>
      <c r="I414" s="26"/>
      <c r="J414" s="852"/>
      <c r="K414" s="852"/>
      <c r="L414" s="852"/>
      <c r="M414" s="850"/>
      <c r="N414" s="852"/>
    </row>
    <row r="415" spans="1:14" ht="16.5" customHeight="1" x14ac:dyDescent="0.3">
      <c r="A415" s="123">
        <v>19</v>
      </c>
      <c r="B415" s="832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 x14ac:dyDescent="0.3">
      <c r="A416" s="123">
        <v>19</v>
      </c>
      <c r="B416" s="833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 x14ac:dyDescent="0.3">
      <c r="A417" s="123">
        <v>19</v>
      </c>
      <c r="B417" s="833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2" t="s">
        <v>1155</v>
      </c>
      <c r="L417" s="857" t="s">
        <v>324</v>
      </c>
      <c r="M417" s="866" t="s">
        <v>1804</v>
      </c>
      <c r="N417" s="857" t="s">
        <v>665</v>
      </c>
    </row>
    <row r="418" spans="1:14" x14ac:dyDescent="0.3">
      <c r="A418" s="123">
        <v>19</v>
      </c>
      <c r="B418" s="834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3"/>
      <c r="L418" s="858"/>
      <c r="M418" s="867"/>
      <c r="N418" s="858"/>
    </row>
    <row r="419" spans="1:14" ht="16.5" customHeight="1" x14ac:dyDescent="0.3">
      <c r="A419" s="123">
        <v>19</v>
      </c>
      <c r="B419" s="832" t="s">
        <v>21</v>
      </c>
      <c r="C419" s="887" t="s">
        <v>1805</v>
      </c>
      <c r="D419" s="887" t="s">
        <v>700</v>
      </c>
      <c r="E419" s="857" t="s">
        <v>675</v>
      </c>
      <c r="F419" s="887" t="s">
        <v>1806</v>
      </c>
      <c r="G419" s="887" t="s">
        <v>1807</v>
      </c>
      <c r="H419" s="887" t="s">
        <v>662</v>
      </c>
      <c r="I419" s="862" t="s">
        <v>1808</v>
      </c>
      <c r="J419" s="857"/>
      <c r="K419" s="937" t="s">
        <v>1809</v>
      </c>
      <c r="L419" s="857" t="s">
        <v>309</v>
      </c>
      <c r="M419" s="866" t="s">
        <v>1810</v>
      </c>
      <c r="N419" s="149" t="s">
        <v>1811</v>
      </c>
    </row>
    <row r="420" spans="1:14" x14ac:dyDescent="0.3">
      <c r="A420" s="123">
        <v>19</v>
      </c>
      <c r="B420" s="833"/>
      <c r="C420" s="889"/>
      <c r="D420" s="889"/>
      <c r="E420" s="858"/>
      <c r="F420" s="889"/>
      <c r="G420" s="889"/>
      <c r="H420" s="889"/>
      <c r="I420" s="863"/>
      <c r="J420" s="858"/>
      <c r="K420" s="938"/>
      <c r="L420" s="858"/>
      <c r="M420" s="867"/>
      <c r="N420" s="149" t="s">
        <v>1812</v>
      </c>
    </row>
    <row r="421" spans="1:14" x14ac:dyDescent="0.3">
      <c r="A421" s="123">
        <v>19</v>
      </c>
      <c r="B421" s="833"/>
      <c r="C421" s="939" t="s">
        <v>1813</v>
      </c>
      <c r="D421" s="887" t="s">
        <v>700</v>
      </c>
      <c r="E421" s="857" t="s">
        <v>320</v>
      </c>
      <c r="F421" s="857" t="s">
        <v>337</v>
      </c>
      <c r="G421" s="887" t="s">
        <v>353</v>
      </c>
      <c r="H421" s="887" t="s">
        <v>1814</v>
      </c>
      <c r="I421" s="862" t="s">
        <v>1815</v>
      </c>
      <c r="J421" s="857" t="s">
        <v>638</v>
      </c>
      <c r="K421" s="941" t="s">
        <v>692</v>
      </c>
      <c r="L421" s="857" t="s">
        <v>309</v>
      </c>
      <c r="M421" s="866" t="s">
        <v>1816</v>
      </c>
      <c r="N421" s="148" t="s">
        <v>1817</v>
      </c>
    </row>
    <row r="422" spans="1:14" x14ac:dyDescent="0.3">
      <c r="A422" s="123">
        <v>19</v>
      </c>
      <c r="B422" s="833"/>
      <c r="C422" s="940"/>
      <c r="D422" s="889"/>
      <c r="E422" s="858"/>
      <c r="F422" s="858"/>
      <c r="G422" s="889"/>
      <c r="H422" s="889"/>
      <c r="I422" s="863"/>
      <c r="J422" s="858"/>
      <c r="K422" s="942"/>
      <c r="L422" s="858"/>
      <c r="M422" s="867"/>
      <c r="N422" s="148" t="s">
        <v>1818</v>
      </c>
    </row>
    <row r="423" spans="1:14" x14ac:dyDescent="0.3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33"/>
      <c r="C424" s="887" t="s">
        <v>1820</v>
      </c>
      <c r="D424" s="887" t="s">
        <v>700</v>
      </c>
      <c r="E424" s="857" t="s">
        <v>320</v>
      </c>
      <c r="F424" s="857" t="s">
        <v>709</v>
      </c>
      <c r="G424" s="857" t="s">
        <v>1768</v>
      </c>
      <c r="H424" s="887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 x14ac:dyDescent="0.3">
      <c r="A425" s="123">
        <v>19</v>
      </c>
      <c r="B425" s="833"/>
      <c r="C425" s="889"/>
      <c r="D425" s="889"/>
      <c r="E425" s="858"/>
      <c r="F425" s="858"/>
      <c r="G425" s="858"/>
      <c r="H425" s="889"/>
      <c r="I425" s="149" t="s">
        <v>1823</v>
      </c>
      <c r="J425" s="858"/>
      <c r="K425" s="858"/>
      <c r="L425" s="858"/>
      <c r="M425" s="867"/>
      <c r="N425" s="863"/>
    </row>
    <row r="426" spans="1:14" x14ac:dyDescent="0.3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2" t="s">
        <v>2078</v>
      </c>
      <c r="C452" s="243" t="s">
        <v>1906</v>
      </c>
      <c r="D452" s="838" t="s">
        <v>306</v>
      </c>
      <c r="E452" s="838" t="s">
        <v>322</v>
      </c>
      <c r="F452" s="838" t="s">
        <v>307</v>
      </c>
      <c r="G452" s="838">
        <v>3306</v>
      </c>
      <c r="H452" s="838" t="s">
        <v>1153</v>
      </c>
      <c r="I452" s="838" t="s">
        <v>1907</v>
      </c>
      <c r="J452" s="838" t="s">
        <v>1111</v>
      </c>
      <c r="K452" s="838" t="s">
        <v>692</v>
      </c>
      <c r="L452" s="838" t="s">
        <v>324</v>
      </c>
      <c r="M452" s="844" t="s">
        <v>1908</v>
      </c>
      <c r="N452" s="838" t="s">
        <v>665</v>
      </c>
    </row>
    <row r="453" spans="1:14" x14ac:dyDescent="0.3">
      <c r="A453" s="123">
        <v>23</v>
      </c>
      <c r="B453" s="833"/>
      <c r="C453" s="243" t="s">
        <v>1909</v>
      </c>
      <c r="D453" s="839"/>
      <c r="E453" s="839"/>
      <c r="F453" s="839"/>
      <c r="G453" s="839"/>
      <c r="H453" s="839"/>
      <c r="I453" s="839"/>
      <c r="J453" s="839"/>
      <c r="K453" s="839"/>
      <c r="L453" s="839"/>
      <c r="M453" s="845"/>
      <c r="N453" s="839"/>
    </row>
    <row r="454" spans="1:14" x14ac:dyDescent="0.3">
      <c r="A454" s="123">
        <v>23</v>
      </c>
      <c r="B454" s="833"/>
      <c r="C454" s="243" t="s">
        <v>1910</v>
      </c>
      <c r="D454" s="838" t="s">
        <v>306</v>
      </c>
      <c r="E454" s="838" t="s">
        <v>322</v>
      </c>
      <c r="F454" s="838" t="s">
        <v>307</v>
      </c>
      <c r="G454" s="842" t="s">
        <v>1418</v>
      </c>
      <c r="H454" s="838" t="s">
        <v>1911</v>
      </c>
      <c r="I454" s="842" t="s">
        <v>1154</v>
      </c>
      <c r="J454" s="838" t="s">
        <v>664</v>
      </c>
      <c r="K454" s="943" t="s">
        <v>1763</v>
      </c>
      <c r="L454" s="838" t="s">
        <v>324</v>
      </c>
      <c r="M454" s="844" t="s">
        <v>1535</v>
      </c>
      <c r="N454" s="838" t="s">
        <v>665</v>
      </c>
    </row>
    <row r="455" spans="1:14" x14ac:dyDescent="0.3">
      <c r="A455" s="123">
        <v>23</v>
      </c>
      <c r="B455" s="833"/>
      <c r="C455" s="243" t="s">
        <v>1909</v>
      </c>
      <c r="D455" s="839"/>
      <c r="E455" s="839"/>
      <c r="F455" s="839"/>
      <c r="G455" s="843"/>
      <c r="H455" s="839"/>
      <c r="I455" s="843"/>
      <c r="J455" s="839"/>
      <c r="K455" s="944"/>
      <c r="L455" s="839"/>
      <c r="M455" s="845"/>
      <c r="N455" s="839"/>
    </row>
    <row r="456" spans="1:14" x14ac:dyDescent="0.3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33"/>
      <c r="C457" s="243" t="s">
        <v>1917</v>
      </c>
      <c r="D457" s="838" t="s">
        <v>306</v>
      </c>
      <c r="E457" s="838" t="s">
        <v>322</v>
      </c>
      <c r="F457" s="838" t="s">
        <v>307</v>
      </c>
      <c r="G457" s="842">
        <v>4267</v>
      </c>
      <c r="H457" s="838" t="s">
        <v>640</v>
      </c>
      <c r="I457" s="842" t="s">
        <v>1154</v>
      </c>
      <c r="J457" s="838" t="s">
        <v>664</v>
      </c>
      <c r="K457" s="943" t="s">
        <v>1763</v>
      </c>
      <c r="L457" s="838" t="s">
        <v>324</v>
      </c>
      <c r="M457" s="844" t="s">
        <v>1535</v>
      </c>
      <c r="N457" s="838" t="s">
        <v>665</v>
      </c>
    </row>
    <row r="458" spans="1:14" x14ac:dyDescent="0.3">
      <c r="A458" s="123">
        <v>23</v>
      </c>
      <c r="B458" s="833"/>
      <c r="C458" s="243" t="s">
        <v>1918</v>
      </c>
      <c r="D458" s="839"/>
      <c r="E458" s="839"/>
      <c r="F458" s="839"/>
      <c r="G458" s="843"/>
      <c r="H458" s="839"/>
      <c r="I458" s="843"/>
      <c r="J458" s="839"/>
      <c r="K458" s="944"/>
      <c r="L458" s="839"/>
      <c r="M458" s="845"/>
      <c r="N458" s="839"/>
    </row>
    <row r="459" spans="1:14" x14ac:dyDescent="0.3">
      <c r="A459" s="123">
        <v>23</v>
      </c>
      <c r="B459" s="833"/>
      <c r="C459" s="243" t="s">
        <v>1917</v>
      </c>
      <c r="D459" s="838" t="s">
        <v>306</v>
      </c>
      <c r="E459" s="838" t="s">
        <v>322</v>
      </c>
      <c r="F459" s="838" t="s">
        <v>307</v>
      </c>
      <c r="G459" s="842" t="s">
        <v>1919</v>
      </c>
      <c r="H459" s="838" t="s">
        <v>662</v>
      </c>
      <c r="I459" s="842" t="s">
        <v>1920</v>
      </c>
      <c r="J459" s="838" t="s">
        <v>349</v>
      </c>
      <c r="K459" s="945" t="s">
        <v>1916</v>
      </c>
      <c r="L459" s="838" t="s">
        <v>324</v>
      </c>
      <c r="M459" s="844" t="s">
        <v>1535</v>
      </c>
      <c r="N459" s="838" t="s">
        <v>425</v>
      </c>
    </row>
    <row r="460" spans="1:14" x14ac:dyDescent="0.3">
      <c r="A460" s="123">
        <v>23</v>
      </c>
      <c r="B460" s="834"/>
      <c r="C460" s="244" t="s">
        <v>1918</v>
      </c>
      <c r="D460" s="839"/>
      <c r="E460" s="839"/>
      <c r="F460" s="839"/>
      <c r="G460" s="843"/>
      <c r="H460" s="839"/>
      <c r="I460" s="843"/>
      <c r="J460" s="839"/>
      <c r="K460" s="946"/>
      <c r="L460" s="839"/>
      <c r="M460" s="845"/>
      <c r="N460" s="839"/>
    </row>
    <row r="461" spans="1:14" x14ac:dyDescent="0.3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33"/>
      <c r="C462" s="838" t="s">
        <v>1921</v>
      </c>
      <c r="D462" s="838" t="s">
        <v>311</v>
      </c>
      <c r="E462" s="838" t="s">
        <v>675</v>
      </c>
      <c r="F462" s="838" t="s">
        <v>1926</v>
      </c>
      <c r="G462" s="838" t="s">
        <v>1927</v>
      </c>
      <c r="H462" s="840" t="s">
        <v>347</v>
      </c>
      <c r="I462" s="242" t="s">
        <v>1928</v>
      </c>
      <c r="J462" s="838"/>
      <c r="K462" s="842" t="s">
        <v>1924</v>
      </c>
      <c r="L462" s="838" t="s">
        <v>309</v>
      </c>
      <c r="M462" s="844" t="s">
        <v>1828</v>
      </c>
      <c r="N462" s="842" t="s">
        <v>1925</v>
      </c>
    </row>
    <row r="463" spans="1:14" x14ac:dyDescent="0.3">
      <c r="A463" s="123">
        <v>23</v>
      </c>
      <c r="B463" s="833"/>
      <c r="C463" s="839"/>
      <c r="D463" s="839"/>
      <c r="E463" s="839"/>
      <c r="F463" s="839"/>
      <c r="G463" s="839"/>
      <c r="H463" s="841"/>
      <c r="I463" s="242" t="s">
        <v>1929</v>
      </c>
      <c r="J463" s="839"/>
      <c r="K463" s="843"/>
      <c r="L463" s="839"/>
      <c r="M463" s="845"/>
      <c r="N463" s="843"/>
    </row>
    <row r="464" spans="1:14" ht="24" x14ac:dyDescent="0.3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33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1" t="s">
        <v>1763</v>
      </c>
      <c r="L687" s="857"/>
      <c r="M687" s="866" t="s">
        <v>458</v>
      </c>
      <c r="N687" s="857" t="s">
        <v>665</v>
      </c>
    </row>
    <row r="688" spans="1:14" x14ac:dyDescent="0.3">
      <c r="A688" s="123">
        <v>8</v>
      </c>
      <c r="B688" s="833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2"/>
      <c r="L688" s="858"/>
      <c r="M688" s="867"/>
      <c r="N688" s="858"/>
    </row>
    <row r="689" spans="1:14" x14ac:dyDescent="0.3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33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3" t="s">
        <v>2732</v>
      </c>
      <c r="L690" s="857"/>
      <c r="M690" s="866" t="s">
        <v>2769</v>
      </c>
      <c r="N690" s="857" t="s">
        <v>425</v>
      </c>
    </row>
    <row r="691" spans="1:14" x14ac:dyDescent="0.3">
      <c r="A691" s="123">
        <v>8</v>
      </c>
      <c r="B691" s="834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4"/>
      <c r="L691" s="858"/>
      <c r="M691" s="867"/>
      <c r="N691" s="858"/>
    </row>
    <row r="692" spans="1:14" x14ac:dyDescent="0.3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33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 x14ac:dyDescent="0.3">
      <c r="A694" s="123">
        <v>8</v>
      </c>
      <c r="B694" s="834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5"/>
    </row>
    <row r="695" spans="1:14" x14ac:dyDescent="0.3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33"/>
      <c r="C697" s="243" t="s">
        <v>2745</v>
      </c>
      <c r="D697" s="838" t="s">
        <v>306</v>
      </c>
      <c r="E697" s="838" t="s">
        <v>322</v>
      </c>
      <c r="F697" s="838" t="s">
        <v>307</v>
      </c>
      <c r="G697" s="842" t="s">
        <v>2746</v>
      </c>
      <c r="H697" s="838" t="s">
        <v>405</v>
      </c>
      <c r="I697" s="842" t="s">
        <v>2747</v>
      </c>
      <c r="J697" s="838" t="s">
        <v>664</v>
      </c>
      <c r="K697" s="955" t="s">
        <v>1757</v>
      </c>
      <c r="L697" s="838"/>
      <c r="M697" s="844">
        <v>750000</v>
      </c>
      <c r="N697" s="838" t="s">
        <v>665</v>
      </c>
    </row>
    <row r="698" spans="1:14" x14ac:dyDescent="0.3">
      <c r="A698" s="123">
        <v>9</v>
      </c>
      <c r="B698" s="833"/>
      <c r="C698" s="243" t="s">
        <v>2748</v>
      </c>
      <c r="D698" s="839"/>
      <c r="E698" s="839"/>
      <c r="F698" s="839"/>
      <c r="G698" s="843"/>
      <c r="H698" s="839"/>
      <c r="I698" s="843"/>
      <c r="J698" s="839"/>
      <c r="K698" s="956"/>
      <c r="L698" s="839"/>
      <c r="M698" s="845"/>
      <c r="N698" s="839"/>
    </row>
    <row r="699" spans="1:14" x14ac:dyDescent="0.3">
      <c r="A699" s="123">
        <v>9</v>
      </c>
      <c r="B699" s="833"/>
      <c r="C699" s="243" t="s">
        <v>2745</v>
      </c>
      <c r="D699" s="838" t="s">
        <v>306</v>
      </c>
      <c r="E699" s="838" t="s">
        <v>322</v>
      </c>
      <c r="F699" s="838" t="s">
        <v>307</v>
      </c>
      <c r="G699" s="842" t="s">
        <v>2749</v>
      </c>
      <c r="H699" s="838" t="s">
        <v>662</v>
      </c>
      <c r="I699" s="842" t="s">
        <v>668</v>
      </c>
      <c r="J699" s="838" t="s">
        <v>349</v>
      </c>
      <c r="K699" s="957" t="s">
        <v>2732</v>
      </c>
      <c r="L699" s="838"/>
      <c r="M699" s="844">
        <v>1000000</v>
      </c>
      <c r="N699" s="838" t="s">
        <v>425</v>
      </c>
    </row>
    <row r="700" spans="1:14" x14ac:dyDescent="0.3">
      <c r="A700" s="123">
        <v>9</v>
      </c>
      <c r="B700" s="833"/>
      <c r="C700" s="243" t="s">
        <v>2750</v>
      </c>
      <c r="D700" s="839"/>
      <c r="E700" s="839"/>
      <c r="F700" s="839"/>
      <c r="G700" s="843"/>
      <c r="H700" s="839"/>
      <c r="I700" s="843"/>
      <c r="J700" s="839"/>
      <c r="K700" s="958"/>
      <c r="L700" s="839"/>
      <c r="M700" s="845"/>
      <c r="N700" s="839"/>
    </row>
    <row r="701" spans="1:14" x14ac:dyDescent="0.3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 x14ac:dyDescent="0.3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 x14ac:dyDescent="0.3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2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2" t="s">
        <v>3082</v>
      </c>
      <c r="N835" s="148" t="s">
        <v>3083</v>
      </c>
    </row>
    <row r="836" spans="1:14" x14ac:dyDescent="0.3">
      <c r="A836" s="123">
        <v>29</v>
      </c>
      <c r="B836" s="833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 x14ac:dyDescent="0.3">
      <c r="A837" s="123">
        <v>29</v>
      </c>
      <c r="B837" s="833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4"/>
      <c r="N837" s="148" t="s">
        <v>3084</v>
      </c>
    </row>
    <row r="838" spans="1:14" x14ac:dyDescent="0.3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2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2" t="s">
        <v>1816</v>
      </c>
      <c r="N840" s="857" t="s">
        <v>3088</v>
      </c>
    </row>
    <row r="841" spans="1:14" x14ac:dyDescent="0.3">
      <c r="A841" s="123">
        <v>29</v>
      </c>
      <c r="B841" s="833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4"/>
      <c r="N841" s="858"/>
    </row>
    <row r="842" spans="1:14" x14ac:dyDescent="0.3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33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5" t="s">
        <v>3092</v>
      </c>
      <c r="N844" s="857" t="s">
        <v>1206</v>
      </c>
    </row>
    <row r="845" spans="1:14" x14ac:dyDescent="0.3">
      <c r="A845" s="123">
        <v>29</v>
      </c>
      <c r="B845" s="833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6"/>
      <c r="N845" s="858"/>
    </row>
    <row r="846" spans="1:14" x14ac:dyDescent="0.3">
      <c r="A846" s="123">
        <v>29</v>
      </c>
      <c r="B846" s="833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2" t="s">
        <v>3094</v>
      </c>
      <c r="N846" s="857" t="s">
        <v>3095</v>
      </c>
    </row>
    <row r="847" spans="1:14" x14ac:dyDescent="0.3">
      <c r="A847" s="123">
        <v>29</v>
      </c>
      <c r="B847" s="833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 x14ac:dyDescent="0.3">
      <c r="A848" s="123">
        <v>29</v>
      </c>
      <c r="B848" s="833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4"/>
      <c r="N848" s="858"/>
    </row>
    <row r="849" spans="1:14" x14ac:dyDescent="0.3">
      <c r="A849" s="123">
        <v>29</v>
      </c>
      <c r="B849" s="833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2" t="s">
        <v>1816</v>
      </c>
      <c r="N849" s="857" t="s">
        <v>3095</v>
      </c>
    </row>
    <row r="850" spans="1:14" x14ac:dyDescent="0.3">
      <c r="A850" s="123">
        <v>29</v>
      </c>
      <c r="B850" s="834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4"/>
      <c r="N850" s="858"/>
    </row>
    <row r="851" spans="1:14" x14ac:dyDescent="0.3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70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 x14ac:dyDescent="0.3">
      <c r="A854" s="123">
        <v>30</v>
      </c>
      <c r="B854" s="970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 x14ac:dyDescent="0.3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2" t="s">
        <v>3116</v>
      </c>
      <c r="C856" s="967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 x14ac:dyDescent="0.3">
      <c r="A857" s="123">
        <v>30</v>
      </c>
      <c r="B857" s="833"/>
      <c r="C857" s="968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 x14ac:dyDescent="0.3">
      <c r="A858" s="123">
        <v>30</v>
      </c>
      <c r="B858" s="833"/>
      <c r="C858" s="967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 x14ac:dyDescent="0.3">
      <c r="A859" s="123">
        <v>30</v>
      </c>
      <c r="B859" s="833"/>
      <c r="C859" s="968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 x14ac:dyDescent="0.3">
      <c r="A860" s="123">
        <v>30</v>
      </c>
      <c r="B860" s="833"/>
      <c r="C860" s="967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 x14ac:dyDescent="0.3">
      <c r="A861" s="123">
        <v>30</v>
      </c>
      <c r="B861" s="833"/>
      <c r="C861" s="968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 x14ac:dyDescent="0.3">
      <c r="A862" s="123">
        <v>30</v>
      </c>
      <c r="B862" s="833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 x14ac:dyDescent="0.3">
      <c r="A863" s="123">
        <v>30</v>
      </c>
      <c r="B863" s="833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 x14ac:dyDescent="0.3">
      <c r="A864" s="123">
        <v>30</v>
      </c>
      <c r="B864" s="833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 x14ac:dyDescent="0.3">
      <c r="A865" s="123">
        <v>30</v>
      </c>
      <c r="B865" s="833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 x14ac:dyDescent="0.3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33"/>
      <c r="C867" s="967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 x14ac:dyDescent="0.3">
      <c r="A868" s="123">
        <v>30</v>
      </c>
      <c r="B868" s="834"/>
      <c r="C868" s="968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 x14ac:dyDescent="0.3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33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 x14ac:dyDescent="0.3">
      <c r="A871" s="123">
        <v>31</v>
      </c>
      <c r="B871" s="833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 x14ac:dyDescent="0.3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33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 x14ac:dyDescent="0.3">
      <c r="A874" s="123">
        <v>31</v>
      </c>
      <c r="B874" s="834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 x14ac:dyDescent="0.3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33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 x14ac:dyDescent="0.3">
      <c r="A877" s="123">
        <v>31</v>
      </c>
      <c r="B877" s="833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 x14ac:dyDescent="0.3">
      <c r="A878" s="123">
        <v>31</v>
      </c>
      <c r="B878" s="833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 x14ac:dyDescent="0.3">
      <c r="A879" s="123">
        <v>31</v>
      </c>
      <c r="B879" s="833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 x14ac:dyDescent="0.3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33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 x14ac:dyDescent="0.3">
      <c r="A884" s="123">
        <v>31</v>
      </c>
      <c r="B884" s="834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 x14ac:dyDescent="0.3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 x14ac:dyDescent="0.3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 x14ac:dyDescent="0.3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 x14ac:dyDescent="0.3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 x14ac:dyDescent="0.3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 x14ac:dyDescent="0.3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 x14ac:dyDescent="0.3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 x14ac:dyDescent="0.3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 x14ac:dyDescent="0.3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 x14ac:dyDescent="0.3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 x14ac:dyDescent="0.3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 x14ac:dyDescent="0.3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 x14ac:dyDescent="0.3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 x14ac:dyDescent="0.3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 x14ac:dyDescent="0.3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 x14ac:dyDescent="0.3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 x14ac:dyDescent="0.3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 x14ac:dyDescent="0.3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 x14ac:dyDescent="0.3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 x14ac:dyDescent="0.3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 x14ac:dyDescent="0.3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 x14ac:dyDescent="0.3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 x14ac:dyDescent="0.3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 x14ac:dyDescent="0.3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 x14ac:dyDescent="0.3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 x14ac:dyDescent="0.3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 x14ac:dyDescent="0.3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 x14ac:dyDescent="0.3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 x14ac:dyDescent="0.3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 x14ac:dyDescent="0.3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 x14ac:dyDescent="0.3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 x14ac:dyDescent="0.3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 x14ac:dyDescent="0.3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 x14ac:dyDescent="0.3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 x14ac:dyDescent="0.3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 x14ac:dyDescent="0.3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 x14ac:dyDescent="0.3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3" t="s">
        <v>5443</v>
      </c>
    </row>
    <row r="1370" spans="1:14" x14ac:dyDescent="0.3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3"/>
    </row>
    <row r="1371" spans="1:14" x14ac:dyDescent="0.3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1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1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9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9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9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9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9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9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9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33"/>
      <c r="C1439" s="989" t="s">
        <v>5860</v>
      </c>
      <c r="D1439" s="990" t="s">
        <v>311</v>
      </c>
      <c r="E1439" s="990" t="s">
        <v>320</v>
      </c>
      <c r="F1439" s="991" t="s">
        <v>5188</v>
      </c>
      <c r="G1439" s="658" t="s">
        <v>1919</v>
      </c>
      <c r="H1439" s="991" t="s">
        <v>347</v>
      </c>
      <c r="I1439" s="991" t="s">
        <v>5870</v>
      </c>
      <c r="J1439" s="991"/>
      <c r="K1439" s="991" t="s">
        <v>692</v>
      </c>
      <c r="L1439" s="990" t="s">
        <v>309</v>
      </c>
      <c r="M1439" s="992">
        <v>500000</v>
      </c>
      <c r="N1439" s="975"/>
    </row>
    <row r="1440" spans="1:14" x14ac:dyDescent="0.3">
      <c r="A1440" s="694">
        <v>20</v>
      </c>
      <c r="B1440" s="833"/>
      <c r="C1440" s="989"/>
      <c r="D1440" s="990"/>
      <c r="E1440" s="990"/>
      <c r="F1440" s="991"/>
      <c r="G1440" s="658" t="s">
        <v>5189</v>
      </c>
      <c r="H1440" s="991"/>
      <c r="I1440" s="991"/>
      <c r="J1440" s="991"/>
      <c r="K1440" s="991"/>
      <c r="L1440" s="990"/>
      <c r="M1440" s="992"/>
      <c r="N1440" s="975"/>
    </row>
    <row r="1441" spans="1:14" ht="24" x14ac:dyDescent="0.3">
      <c r="A1441" s="694">
        <v>20</v>
      </c>
      <c r="B1441" s="8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9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9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9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9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9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9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9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9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9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9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9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78" t="s">
        <v>5942</v>
      </c>
    </row>
    <row r="1454" spans="1:14" x14ac:dyDescent="0.3">
      <c r="A1454" s="696">
        <v>22</v>
      </c>
      <c r="B1454" s="9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79"/>
    </row>
    <row r="1455" spans="1:14" x14ac:dyDescent="0.3">
      <c r="A1455" s="696">
        <v>22</v>
      </c>
      <c r="B1455" s="9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1" t="s">
        <v>3274</v>
      </c>
      <c r="K1459" s="981" t="s">
        <v>3454</v>
      </c>
      <c r="L1459" s="646" t="s">
        <v>3265</v>
      </c>
      <c r="M1459" s="983">
        <v>250000</v>
      </c>
      <c r="N1459" s="693" t="s">
        <v>5964</v>
      </c>
    </row>
    <row r="1460" spans="1:14" x14ac:dyDescent="0.3">
      <c r="A1460" s="696">
        <v>22</v>
      </c>
      <c r="B1460" s="9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2"/>
      <c r="K1460" s="982"/>
      <c r="L1460" s="646" t="s">
        <v>3265</v>
      </c>
      <c r="M1460" s="984"/>
      <c r="N1460" s="693" t="s">
        <v>5965</v>
      </c>
    </row>
    <row r="1461" spans="1:14" x14ac:dyDescent="0.3">
      <c r="A1461" s="696">
        <v>22</v>
      </c>
      <c r="B1461" s="9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5" t="s">
        <v>5920</v>
      </c>
      <c r="L1464" s="646" t="s">
        <v>15</v>
      </c>
      <c r="M1464" s="983">
        <v>500000</v>
      </c>
      <c r="N1464" s="693" t="s">
        <v>5969</v>
      </c>
    </row>
    <row r="1465" spans="1:14" x14ac:dyDescent="0.3">
      <c r="A1465" s="696">
        <v>22</v>
      </c>
      <c r="B1465" s="9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6"/>
      <c r="L1465" s="646" t="s">
        <v>15</v>
      </c>
      <c r="M1465" s="984"/>
      <c r="N1465" s="693" t="s">
        <v>5970</v>
      </c>
    </row>
    <row r="1466" spans="1:14" x14ac:dyDescent="0.3">
      <c r="A1466" s="694">
        <v>23</v>
      </c>
      <c r="B1466" s="9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9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9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9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9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9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9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9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9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99" t="s">
        <v>90</v>
      </c>
      <c r="K1474" s="999" t="s">
        <v>6007</v>
      </c>
      <c r="L1474" s="136" t="s">
        <v>15</v>
      </c>
      <c r="M1474" s="1000">
        <v>250000</v>
      </c>
      <c r="N1474" s="646"/>
    </row>
    <row r="1475" spans="1:14" ht="27" x14ac:dyDescent="0.3">
      <c r="A1475" s="694">
        <v>23</v>
      </c>
      <c r="B1475" s="9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99"/>
      <c r="K1475" s="999"/>
      <c r="L1475" s="136" t="s">
        <v>15</v>
      </c>
      <c r="M1475" s="1000"/>
      <c r="N1475" s="646"/>
    </row>
    <row r="1476" spans="1:14" x14ac:dyDescent="0.3">
      <c r="A1476" s="694">
        <v>23</v>
      </c>
      <c r="B1476" s="9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9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9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9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9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9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9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9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9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9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9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9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9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9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9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9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9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9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9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9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9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9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9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9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9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9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9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9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9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9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9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9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9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99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99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99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99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99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99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99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99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99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99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99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99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99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99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99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99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99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99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99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99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99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99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99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99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9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9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9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9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9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9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9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9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98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98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98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98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98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98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9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9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9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9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9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9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9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3" t="s">
        <v>6410</v>
      </c>
      <c r="L1553" s="632" t="s">
        <v>6349</v>
      </c>
      <c r="M1553" s="983">
        <v>250000</v>
      </c>
      <c r="N1553" s="693" t="s">
        <v>6437</v>
      </c>
    </row>
    <row r="1554" spans="1:14" x14ac:dyDescent="0.3">
      <c r="A1554" s="696">
        <v>27</v>
      </c>
      <c r="B1554" s="9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4"/>
      <c r="L1554" s="632" t="s">
        <v>15</v>
      </c>
      <c r="M1554" s="984"/>
      <c r="N1554" s="693" t="s">
        <v>6438</v>
      </c>
    </row>
    <row r="1555" spans="1:14" x14ac:dyDescent="0.3">
      <c r="A1555" s="696">
        <v>27</v>
      </c>
      <c r="B1555" s="9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9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99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99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99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99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99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99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99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5" t="s">
        <v>686</v>
      </c>
      <c r="L1563" s="125" t="s">
        <v>15</v>
      </c>
      <c r="M1563" s="983">
        <v>250000</v>
      </c>
      <c r="N1563" s="693" t="s">
        <v>393</v>
      </c>
    </row>
    <row r="1564" spans="1:14" x14ac:dyDescent="0.3">
      <c r="A1564" s="694">
        <v>28</v>
      </c>
      <c r="B1564" s="99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1"/>
      <c r="L1564" s="125" t="s">
        <v>15</v>
      </c>
      <c r="M1564" s="1002"/>
      <c r="N1564" s="693" t="s">
        <v>128</v>
      </c>
    </row>
    <row r="1565" spans="1:14" ht="27" x14ac:dyDescent="0.3">
      <c r="A1565" s="694">
        <v>28</v>
      </c>
      <c r="B1565" s="99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6"/>
      <c r="L1565" s="125" t="s">
        <v>15</v>
      </c>
      <c r="M1565" s="984"/>
      <c r="N1565" s="693" t="s">
        <v>393</v>
      </c>
    </row>
    <row r="1566" spans="1:14" x14ac:dyDescent="0.3">
      <c r="A1566" s="694">
        <v>28</v>
      </c>
      <c r="B1566" s="99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99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99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99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5" t="s">
        <v>1113</v>
      </c>
      <c r="L1571" s="125" t="s">
        <v>15</v>
      </c>
      <c r="M1571" s="983">
        <v>750000</v>
      </c>
      <c r="N1571" s="808" t="s">
        <v>6608</v>
      </c>
    </row>
    <row r="1572" spans="1:14" x14ac:dyDescent="0.3">
      <c r="A1572" s="694">
        <v>29</v>
      </c>
      <c r="B1572" s="9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6"/>
      <c r="L1572" s="125" t="s">
        <v>15</v>
      </c>
      <c r="M1572" s="984"/>
      <c r="N1572" s="810"/>
    </row>
    <row r="1573" spans="1:14" ht="27" x14ac:dyDescent="0.3">
      <c r="A1573" s="694">
        <v>29</v>
      </c>
      <c r="B1573" s="9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7" t="s">
        <v>41</v>
      </c>
      <c r="L1576" s="136" t="s">
        <v>15</v>
      </c>
      <c r="M1576" s="983">
        <v>250000</v>
      </c>
      <c r="N1576" s="646" t="s">
        <v>6615</v>
      </c>
    </row>
    <row r="1577" spans="1:14" x14ac:dyDescent="0.3">
      <c r="A1577" s="694">
        <v>29</v>
      </c>
      <c r="B1577" s="9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98"/>
      <c r="L1577" s="136" t="s">
        <v>15</v>
      </c>
      <c r="M1577" s="984"/>
      <c r="N1577" s="646" t="s">
        <v>6616</v>
      </c>
    </row>
    <row r="1578" spans="1:14" x14ac:dyDescent="0.3">
      <c r="A1578" s="694">
        <v>29</v>
      </c>
      <c r="B1578" s="9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5" t="s">
        <v>686</v>
      </c>
      <c r="L1581" s="125" t="s">
        <v>15</v>
      </c>
      <c r="M1581" s="983">
        <v>250000</v>
      </c>
      <c r="N1581" s="646" t="s">
        <v>6737</v>
      </c>
    </row>
    <row r="1582" spans="1:14" x14ac:dyDescent="0.3">
      <c r="A1582" s="694">
        <v>29</v>
      </c>
      <c r="B1582" s="9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6"/>
      <c r="L1582" s="125" t="s">
        <v>15</v>
      </c>
      <c r="M1582" s="984"/>
      <c r="N1582" s="646" t="s">
        <v>6620</v>
      </c>
    </row>
    <row r="1583" spans="1:14" x14ac:dyDescent="0.3">
      <c r="A1583" s="694">
        <v>29</v>
      </c>
      <c r="B1583" s="9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5" t="s">
        <v>686</v>
      </c>
      <c r="L1583" s="125" t="s">
        <v>15</v>
      </c>
      <c r="M1583" s="983">
        <v>250000</v>
      </c>
      <c r="N1583" s="646" t="s">
        <v>6737</v>
      </c>
    </row>
    <row r="1584" spans="1:14" x14ac:dyDescent="0.3">
      <c r="A1584" s="694">
        <v>29</v>
      </c>
      <c r="B1584" s="9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6"/>
      <c r="L1584" s="125" t="s">
        <v>15</v>
      </c>
      <c r="M1584" s="984"/>
      <c r="N1584" s="646" t="s">
        <v>6621</v>
      </c>
    </row>
    <row r="1585" spans="1:14" x14ac:dyDescent="0.3">
      <c r="A1585" s="694">
        <v>30</v>
      </c>
      <c r="B1585" s="98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98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9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9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9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9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9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9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9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 x14ac:dyDescent="0.3">
      <c r="A1595" s="694">
        <v>31</v>
      </c>
      <c r="B1595" s="9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09"/>
    </row>
    <row r="1596" spans="1:14" x14ac:dyDescent="0.3">
      <c r="A1596" s="694">
        <v>31</v>
      </c>
      <c r="B1596" s="9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09"/>
    </row>
    <row r="1597" spans="1:14" x14ac:dyDescent="0.3">
      <c r="A1597" s="694">
        <v>31</v>
      </c>
      <c r="B1597" s="9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09"/>
    </row>
    <row r="1598" spans="1:14" x14ac:dyDescent="0.3">
      <c r="A1598" s="694">
        <v>31</v>
      </c>
      <c r="B1598" s="9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0"/>
    </row>
    <row r="1599" spans="1:14" x14ac:dyDescent="0.3">
      <c r="A1599" s="694">
        <v>31</v>
      </c>
      <c r="B1599" s="9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987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987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987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987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9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9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9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9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9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9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987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987" t="s">
        <v>307</v>
      </c>
      <c r="C1611" s="645" t="s">
        <v>6925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6926</v>
      </c>
      <c r="I1611" s="647" t="s">
        <v>6927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987"/>
      <c r="C1612" s="645" t="s">
        <v>6928</v>
      </c>
      <c r="D1612" s="637" t="s">
        <v>306</v>
      </c>
      <c r="E1612" s="637" t="s">
        <v>322</v>
      </c>
      <c r="F1612" s="647" t="s">
        <v>5400</v>
      </c>
      <c r="G1612" s="645" t="s">
        <v>6916</v>
      </c>
      <c r="H1612" s="645" t="s">
        <v>329</v>
      </c>
      <c r="I1612" s="647" t="s">
        <v>6929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987"/>
      <c r="C1613" s="645" t="s">
        <v>6930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6931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987" t="s">
        <v>311</v>
      </c>
      <c r="C1614" s="645" t="s">
        <v>6932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6933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987"/>
      <c r="C1615" s="645" t="s">
        <v>6932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6934</v>
      </c>
      <c r="J1615" s="645"/>
      <c r="K1615" s="645" t="s">
        <v>6935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987"/>
      <c r="C1616" s="645" t="s">
        <v>6936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6937</v>
      </c>
      <c r="J1616" s="645"/>
      <c r="K1616" s="645" t="s">
        <v>6935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987"/>
      <c r="C1617" s="645" t="s">
        <v>6936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6938</v>
      </c>
      <c r="I1617" s="645" t="s">
        <v>6933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987"/>
      <c r="C1618" s="645" t="s">
        <v>6939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6937</v>
      </c>
      <c r="J1618" s="645"/>
      <c r="K1618" s="645" t="s">
        <v>6940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987"/>
      <c r="C1619" s="645" t="s">
        <v>6939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6933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987"/>
      <c r="C1620" s="645" t="s">
        <v>6941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6942</v>
      </c>
      <c r="J1620" s="645" t="s">
        <v>5447</v>
      </c>
      <c r="K1620" s="645" t="s">
        <v>6943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987"/>
      <c r="C1621" s="645" t="s">
        <v>6941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6893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1100">
        <v>34</v>
      </c>
      <c r="B1622" s="987" t="s">
        <v>20</v>
      </c>
      <c r="C1622" s="369" t="s">
        <v>6898</v>
      </c>
      <c r="D1622" s="726" t="s">
        <v>49</v>
      </c>
      <c r="E1622" s="632" t="s">
        <v>25</v>
      </c>
      <c r="F1622" s="633" t="s">
        <v>5254</v>
      </c>
      <c r="G1622" s="793">
        <v>7065</v>
      </c>
      <c r="H1622" s="793" t="s">
        <v>6900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4">
        <f>250000*5</f>
        <v>1250000</v>
      </c>
      <c r="N1622" s="646"/>
    </row>
    <row r="1623" spans="1:14" ht="27" x14ac:dyDescent="0.3">
      <c r="A1623" s="1100">
        <v>34</v>
      </c>
      <c r="B1623" s="987"/>
      <c r="C1623" s="369" t="s">
        <v>6904</v>
      </c>
      <c r="D1623" s="726" t="s">
        <v>5524</v>
      </c>
      <c r="E1623" s="632" t="s">
        <v>25</v>
      </c>
      <c r="F1623" s="633" t="s">
        <v>5254</v>
      </c>
      <c r="G1623" s="793">
        <v>2688</v>
      </c>
      <c r="H1623" s="793" t="s">
        <v>18</v>
      </c>
      <c r="I1623" s="795" t="s">
        <v>6902</v>
      </c>
      <c r="J1623" s="633" t="s">
        <v>168</v>
      </c>
      <c r="K1623" s="795" t="s">
        <v>3004</v>
      </c>
      <c r="L1623" s="703" t="s">
        <v>4875</v>
      </c>
      <c r="M1623" s="794">
        <f>250000*3</f>
        <v>750000</v>
      </c>
      <c r="N1623" s="646"/>
    </row>
    <row r="1624" spans="1:14" ht="27" x14ac:dyDescent="0.3">
      <c r="A1624" s="1100">
        <v>34</v>
      </c>
      <c r="B1624" s="987"/>
      <c r="C1624" s="369" t="s">
        <v>6905</v>
      </c>
      <c r="D1624" s="726" t="s">
        <v>49</v>
      </c>
      <c r="E1624" s="632" t="s">
        <v>25</v>
      </c>
      <c r="F1624" s="633" t="s">
        <v>5254</v>
      </c>
      <c r="G1624" s="793">
        <v>7062</v>
      </c>
      <c r="H1624" s="793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4">
        <f>250000*4</f>
        <v>1000000</v>
      </c>
      <c r="N1624" s="646"/>
    </row>
    <row r="1625" spans="1:14" x14ac:dyDescent="0.3">
      <c r="A1625" s="1100">
        <v>34</v>
      </c>
      <c r="B1625" s="987" t="s">
        <v>21</v>
      </c>
      <c r="C1625" s="369">
        <v>46258</v>
      </c>
      <c r="D1625" s="4" t="s">
        <v>21</v>
      </c>
      <c r="E1625" s="4" t="s">
        <v>70</v>
      </c>
      <c r="F1625" s="792" t="s">
        <v>78</v>
      </c>
      <c r="G1625" s="792" t="s">
        <v>3833</v>
      </c>
      <c r="H1625" s="16" t="s">
        <v>207</v>
      </c>
      <c r="I1625" s="797" t="s">
        <v>6885</v>
      </c>
      <c r="J1625" s="792" t="s">
        <v>202</v>
      </c>
      <c r="K1625" s="792" t="s">
        <v>6887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1100">
        <v>34</v>
      </c>
      <c r="B1626" s="987"/>
      <c r="C1626" s="369">
        <v>46258</v>
      </c>
      <c r="D1626" s="4" t="s">
        <v>21</v>
      </c>
      <c r="E1626" s="4" t="s">
        <v>14</v>
      </c>
      <c r="F1626" s="792" t="s">
        <v>211</v>
      </c>
      <c r="G1626" s="792" t="s">
        <v>2916</v>
      </c>
      <c r="H1626" s="16" t="s">
        <v>2917</v>
      </c>
      <c r="I1626" s="797" t="s">
        <v>6895</v>
      </c>
      <c r="J1626" s="792" t="s">
        <v>6520</v>
      </c>
      <c r="K1626" s="792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1100">
        <v>34</v>
      </c>
      <c r="B1627" s="987"/>
      <c r="C1627" s="369">
        <v>46258</v>
      </c>
      <c r="D1627" s="4" t="s">
        <v>21</v>
      </c>
      <c r="E1627" s="4" t="s">
        <v>14</v>
      </c>
      <c r="F1627" s="792" t="s">
        <v>149</v>
      </c>
      <c r="G1627" s="792" t="s">
        <v>3415</v>
      </c>
      <c r="H1627" s="16" t="s">
        <v>23</v>
      </c>
      <c r="I1627" s="797" t="s">
        <v>6891</v>
      </c>
      <c r="J1627" s="792"/>
      <c r="K1627" s="792" t="s">
        <v>6877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1100">
        <v>34</v>
      </c>
      <c r="B1628" s="9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6870</v>
      </c>
      <c r="J1628" s="792"/>
      <c r="K1628" s="792" t="s">
        <v>6877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1100">
        <v>34</v>
      </c>
      <c r="B1629" s="9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6875</v>
      </c>
      <c r="J1629" s="797" t="s">
        <v>6878</v>
      </c>
      <c r="K1629" s="792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1100">
        <v>34</v>
      </c>
      <c r="B1630" s="987"/>
      <c r="C1630" s="369">
        <v>46261</v>
      </c>
      <c r="D1630" s="4" t="s">
        <v>21</v>
      </c>
      <c r="E1630" s="4" t="s">
        <v>70</v>
      </c>
      <c r="F1630" s="792" t="s">
        <v>1787</v>
      </c>
      <c r="G1630" s="792" t="s">
        <v>2978</v>
      </c>
      <c r="H1630" s="16" t="s">
        <v>40</v>
      </c>
      <c r="I1630" s="797" t="s">
        <v>396</v>
      </c>
      <c r="J1630" s="792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1100">
        <v>34</v>
      </c>
      <c r="B1631" s="987"/>
      <c r="C1631" s="369">
        <v>46262</v>
      </c>
      <c r="D1631" s="4" t="s">
        <v>64</v>
      </c>
      <c r="E1631" s="4" t="s">
        <v>17</v>
      </c>
      <c r="F1631" s="792" t="s">
        <v>100</v>
      </c>
      <c r="G1631" s="792" t="s">
        <v>6666</v>
      </c>
      <c r="H1631" s="16" t="s">
        <v>207</v>
      </c>
      <c r="I1631" s="797" t="s">
        <v>6874</v>
      </c>
      <c r="J1631" s="792"/>
      <c r="K1631" s="797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H33" sqref="H3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07" t="s">
        <v>4857</v>
      </c>
      <c r="D10" s="1007"/>
    </row>
    <row r="11" spans="1:4" x14ac:dyDescent="0.3">
      <c r="A11" s="589" t="s">
        <v>4858</v>
      </c>
      <c r="B11" s="589">
        <v>3</v>
      </c>
      <c r="C11" s="1008">
        <f>'사전품의양식 (12)'!L7</f>
        <v>3000000</v>
      </c>
      <c r="D11" s="1008"/>
    </row>
    <row r="12" spans="1:4" x14ac:dyDescent="0.3">
      <c r="A12" s="589" t="s">
        <v>4859</v>
      </c>
      <c r="B12" s="589">
        <v>5</v>
      </c>
      <c r="C12" s="1008">
        <f>'사전품의양식 (12)'!L15</f>
        <v>3050000</v>
      </c>
      <c r="D12" s="1008"/>
    </row>
    <row r="13" spans="1:4" x14ac:dyDescent="0.3">
      <c r="A13" s="591" t="s">
        <v>53</v>
      </c>
      <c r="B13" s="591">
        <f>SUM(B11:B12)</f>
        <v>8</v>
      </c>
      <c r="C13" s="1009">
        <f>SUM(C11:C12)</f>
        <v>6050000</v>
      </c>
      <c r="D13" s="100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10" t="s">
        <v>4872</v>
      </c>
      <c r="D24" s="1011"/>
      <c r="E24" s="667"/>
    </row>
    <row r="25" spans="1:5" x14ac:dyDescent="0.3">
      <c r="A25" s="589" t="s">
        <v>4873</v>
      </c>
      <c r="B25" s="589" t="s">
        <v>4874</v>
      </c>
      <c r="C25" s="1005" t="s">
        <v>4875</v>
      </c>
      <c r="D25" s="100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41" zoomScale="90" zoomScaleNormal="90" zoomScaleSheetLayoutView="55" workbookViewId="0">
      <selection activeCell="J32" sqref="J32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12" t="s">
        <v>6915</v>
      </c>
      <c r="B2" s="1012" t="s">
        <v>1</v>
      </c>
      <c r="C2" s="1012" t="s">
        <v>2</v>
      </c>
      <c r="D2" s="1012" t="s">
        <v>3</v>
      </c>
      <c r="E2" s="782" t="s">
        <v>2623</v>
      </c>
      <c r="F2" s="1012" t="s">
        <v>5</v>
      </c>
      <c r="G2" s="1012" t="s">
        <v>6</v>
      </c>
      <c r="H2" s="1012" t="s">
        <v>2624</v>
      </c>
      <c r="I2" s="1012" t="s">
        <v>55</v>
      </c>
      <c r="J2" s="1012" t="s">
        <v>9</v>
      </c>
      <c r="K2" s="1013" t="s">
        <v>56</v>
      </c>
      <c r="L2" s="1012" t="s">
        <v>57</v>
      </c>
      <c r="M2" s="1012" t="s">
        <v>58</v>
      </c>
    </row>
    <row r="3" spans="1:13" x14ac:dyDescent="0.3">
      <c r="A3" s="1012"/>
      <c r="B3" s="1012"/>
      <c r="C3" s="1012"/>
      <c r="D3" s="1012"/>
      <c r="E3" s="782" t="s">
        <v>1724</v>
      </c>
      <c r="F3" s="1012"/>
      <c r="G3" s="1012"/>
      <c r="H3" s="1012"/>
      <c r="I3" s="1012"/>
      <c r="J3" s="1012"/>
      <c r="K3" s="1013"/>
      <c r="L3" s="1012"/>
      <c r="M3" s="1012"/>
    </row>
    <row r="4" spans="1:13" s="685" customFormat="1" ht="17.100000000000001" customHeight="1" x14ac:dyDescent="0.3">
      <c r="A4" s="987" t="s">
        <v>20</v>
      </c>
      <c r="B4" s="399" t="s">
        <v>6898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6900</v>
      </c>
      <c r="H4" s="634" t="s">
        <v>6899</v>
      </c>
      <c r="I4" s="633" t="s">
        <v>737</v>
      </c>
      <c r="J4" s="634" t="s">
        <v>6897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 x14ac:dyDescent="0.3">
      <c r="A5" s="987"/>
      <c r="B5" s="399" t="s">
        <v>6904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6901</v>
      </c>
      <c r="H5" s="634" t="s">
        <v>6902</v>
      </c>
      <c r="I5" s="633" t="s">
        <v>6903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 x14ac:dyDescent="0.3">
      <c r="A6" s="987"/>
      <c r="B6" s="399" t="s">
        <v>6905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6906</v>
      </c>
      <c r="H6" s="634" t="s">
        <v>6907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 x14ac:dyDescent="0.3">
      <c r="A7" s="987"/>
      <c r="B7" s="987" t="s">
        <v>1136</v>
      </c>
      <c r="C7" s="987"/>
      <c r="D7" s="987"/>
      <c r="E7" s="987"/>
      <c r="F7" s="987"/>
      <c r="G7" s="987"/>
      <c r="H7" s="987"/>
      <c r="I7" s="987"/>
      <c r="J7" s="987"/>
      <c r="K7" s="987"/>
      <c r="L7" s="729">
        <f>SUM(L4:L6)</f>
        <v>3000000</v>
      </c>
      <c r="M7" s="646"/>
    </row>
    <row r="8" spans="1:13" ht="18" customHeight="1" x14ac:dyDescent="0.3">
      <c r="A8" s="987" t="s">
        <v>21</v>
      </c>
      <c r="B8" s="399">
        <v>46258</v>
      </c>
      <c r="C8" s="4" t="s">
        <v>6881</v>
      </c>
      <c r="D8" s="4" t="s">
        <v>70</v>
      </c>
      <c r="E8" s="31" t="s">
        <v>6882</v>
      </c>
      <c r="F8" s="31" t="s">
        <v>6883</v>
      </c>
      <c r="G8" s="16" t="s">
        <v>6884</v>
      </c>
      <c r="H8" s="193" t="s">
        <v>6885</v>
      </c>
      <c r="I8" s="31" t="s">
        <v>6886</v>
      </c>
      <c r="J8" s="31" t="s">
        <v>6887</v>
      </c>
      <c r="K8" s="125" t="s">
        <v>6888</v>
      </c>
      <c r="L8" s="757">
        <v>300000</v>
      </c>
      <c r="M8" s="646" t="s">
        <v>6908</v>
      </c>
    </row>
    <row r="9" spans="1:13" ht="27" x14ac:dyDescent="0.3">
      <c r="A9" s="987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6895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6909</v>
      </c>
    </row>
    <row r="10" spans="1:13" ht="13.5" x14ac:dyDescent="0.3">
      <c r="A10" s="987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6891</v>
      </c>
      <c r="I10" s="31"/>
      <c r="J10" s="31" t="s">
        <v>6877</v>
      </c>
      <c r="K10" s="125" t="s">
        <v>15</v>
      </c>
      <c r="L10" s="757">
        <v>500000</v>
      </c>
      <c r="M10" s="646" t="s">
        <v>6910</v>
      </c>
    </row>
    <row r="11" spans="1:13" ht="13.5" x14ac:dyDescent="0.3">
      <c r="A11" s="987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6870</v>
      </c>
      <c r="I11" s="31"/>
      <c r="J11" s="31" t="s">
        <v>6877</v>
      </c>
      <c r="K11" s="125" t="s">
        <v>15</v>
      </c>
      <c r="L11" s="757">
        <v>500000</v>
      </c>
      <c r="M11" s="646" t="s">
        <v>6911</v>
      </c>
    </row>
    <row r="12" spans="1:13" ht="13.5" x14ac:dyDescent="0.3">
      <c r="A12" s="987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6875</v>
      </c>
      <c r="I12" s="193" t="s">
        <v>6878</v>
      </c>
      <c r="J12" s="31" t="s">
        <v>3537</v>
      </c>
      <c r="K12" s="125" t="s">
        <v>15</v>
      </c>
      <c r="L12" s="757">
        <v>500000</v>
      </c>
      <c r="M12" s="646" t="s">
        <v>6912</v>
      </c>
    </row>
    <row r="13" spans="1:13" ht="13.5" x14ac:dyDescent="0.3">
      <c r="A13" s="987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6913</v>
      </c>
    </row>
    <row r="14" spans="1:13" ht="13.5" x14ac:dyDescent="0.3">
      <c r="A14" s="987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6873</v>
      </c>
      <c r="H14" s="193" t="s">
        <v>6874</v>
      </c>
      <c r="I14" s="31"/>
      <c r="J14" s="193" t="s">
        <v>3537</v>
      </c>
      <c r="K14" s="125" t="s">
        <v>69</v>
      </c>
      <c r="L14" s="757">
        <v>500000</v>
      </c>
      <c r="M14" s="646" t="s">
        <v>6914</v>
      </c>
    </row>
    <row r="15" spans="1:13" ht="17.100000000000001" customHeight="1" x14ac:dyDescent="0.3">
      <c r="A15" s="987"/>
      <c r="B15" s="987" t="s">
        <v>4879</v>
      </c>
      <c r="C15" s="987"/>
      <c r="D15" s="987"/>
      <c r="E15" s="987"/>
      <c r="F15" s="987"/>
      <c r="G15" s="987"/>
      <c r="H15" s="987"/>
      <c r="I15" s="987"/>
      <c r="J15" s="987"/>
      <c r="K15" s="987"/>
      <c r="L15" s="729">
        <f>SUM(L8:L14)</f>
        <v>3050000</v>
      </c>
      <c r="M15" s="646"/>
    </row>
    <row r="16" spans="1:13" ht="25.5" customHeight="1" x14ac:dyDescent="0.3">
      <c r="A16" s="1014" t="s">
        <v>62</v>
      </c>
      <c r="B16" s="1014"/>
      <c r="C16" s="1014"/>
      <c r="D16" s="1014"/>
      <c r="E16" s="1014"/>
      <c r="F16" s="1014"/>
      <c r="G16" s="1014"/>
      <c r="H16" s="1014"/>
      <c r="I16" s="1014"/>
      <c r="J16" s="1014"/>
      <c r="K16" s="1014"/>
      <c r="L16" s="729">
        <f>L7+L15</f>
        <v>6050000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6894</v>
      </c>
      <c r="F29" s="31">
        <v>3006</v>
      </c>
      <c r="G29" s="16" t="s">
        <v>6722</v>
      </c>
      <c r="H29" s="193" t="s">
        <v>6856</v>
      </c>
      <c r="I29" s="31" t="s">
        <v>6861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 x14ac:dyDescent="0.3">
      <c r="A30" s="595"/>
      <c r="B30" s="399">
        <v>46258</v>
      </c>
      <c r="C30" s="4" t="s">
        <v>6881</v>
      </c>
      <c r="D30" s="4" t="s">
        <v>70</v>
      </c>
      <c r="E30" s="31" t="s">
        <v>6882</v>
      </c>
      <c r="F30" s="31" t="s">
        <v>6883</v>
      </c>
      <c r="G30" s="16" t="s">
        <v>6884</v>
      </c>
      <c r="H30" s="193" t="s">
        <v>6885</v>
      </c>
      <c r="I30" s="31" t="s">
        <v>6886</v>
      </c>
      <c r="J30" s="31" t="s">
        <v>6887</v>
      </c>
      <c r="K30" s="125" t="s">
        <v>6888</v>
      </c>
      <c r="L30" s="8">
        <v>2</v>
      </c>
      <c r="M30" s="8"/>
      <c r="N30" s="31"/>
      <c r="O30" s="431"/>
      <c r="P30" s="31"/>
    </row>
    <row r="31" spans="1:16" s="17" customFormat="1" ht="33" customHeight="1" x14ac:dyDescent="0.3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6895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 x14ac:dyDescent="0.3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6891</v>
      </c>
      <c r="I32" s="31"/>
      <c r="J32" s="31" t="s">
        <v>6877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 x14ac:dyDescent="0.3">
      <c r="A33" s="595"/>
      <c r="B33" s="399">
        <v>46258</v>
      </c>
      <c r="C33" s="4" t="s">
        <v>6707</v>
      </c>
      <c r="D33" s="4" t="s">
        <v>151</v>
      </c>
      <c r="E33" s="31" t="s">
        <v>6918</v>
      </c>
      <c r="F33" s="31" t="s">
        <v>6917</v>
      </c>
      <c r="G33" s="16" t="s">
        <v>145</v>
      </c>
      <c r="H33" s="193" t="s">
        <v>6919</v>
      </c>
      <c r="I33" s="31" t="s">
        <v>6920</v>
      </c>
      <c r="J33" s="31"/>
      <c r="K33" s="277" t="s">
        <v>6921</v>
      </c>
      <c r="L33" s="8">
        <v>2</v>
      </c>
      <c r="M33" s="8"/>
      <c r="N33" s="31"/>
      <c r="O33" s="431"/>
      <c r="P33" s="31"/>
    </row>
    <row r="34" spans="1:17" s="17" customFormat="1" ht="33" customHeight="1" x14ac:dyDescent="0.3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 x14ac:dyDescent="0.3">
      <c r="A35" s="595"/>
      <c r="B35" s="399">
        <v>46259</v>
      </c>
      <c r="C35" s="3" t="s">
        <v>6707</v>
      </c>
      <c r="D35" s="3" t="s">
        <v>151</v>
      </c>
      <c r="E35" s="454" t="s">
        <v>6918</v>
      </c>
      <c r="F35" s="454" t="s">
        <v>6917</v>
      </c>
      <c r="G35" s="459" t="s">
        <v>145</v>
      </c>
      <c r="H35" s="453" t="s">
        <v>6919</v>
      </c>
      <c r="I35" s="454" t="s">
        <v>6920</v>
      </c>
      <c r="J35" s="454"/>
      <c r="K35" s="277" t="s">
        <v>6921</v>
      </c>
      <c r="L35" s="8">
        <v>2</v>
      </c>
      <c r="M35" s="8"/>
      <c r="N35" s="31"/>
      <c r="O35" s="431"/>
      <c r="P35" s="31"/>
    </row>
    <row r="36" spans="1:17" s="17" customFormat="1" ht="33" customHeight="1" x14ac:dyDescent="0.3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6869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 x14ac:dyDescent="0.3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6870</v>
      </c>
      <c r="I37" s="454"/>
      <c r="J37" s="454" t="s">
        <v>6877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 x14ac:dyDescent="0.3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 x14ac:dyDescent="0.3">
      <c r="A39" s="595"/>
      <c r="B39" s="399">
        <v>46260</v>
      </c>
      <c r="C39" s="3" t="s">
        <v>6707</v>
      </c>
      <c r="D39" s="3" t="s">
        <v>151</v>
      </c>
      <c r="E39" s="454" t="s">
        <v>6918</v>
      </c>
      <c r="F39" s="454" t="s">
        <v>6917</v>
      </c>
      <c r="G39" s="459" t="s">
        <v>145</v>
      </c>
      <c r="H39" s="453" t="s">
        <v>6919</v>
      </c>
      <c r="I39" s="454" t="s">
        <v>6920</v>
      </c>
      <c r="J39" s="454"/>
      <c r="K39" s="277" t="s">
        <v>6921</v>
      </c>
      <c r="L39" s="8">
        <v>2</v>
      </c>
      <c r="M39" s="8"/>
      <c r="N39" s="31"/>
      <c r="O39" s="431"/>
      <c r="P39" s="31"/>
    </row>
    <row r="40" spans="1:17" s="17" customFormat="1" ht="33" customHeight="1" x14ac:dyDescent="0.3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 x14ac:dyDescent="0.3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6875</v>
      </c>
      <c r="I41" s="453" t="s">
        <v>6878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 x14ac:dyDescent="0.3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 x14ac:dyDescent="0.3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6896</v>
      </c>
      <c r="P43" s="31"/>
      <c r="Q43" s="17" t="s">
        <v>6729</v>
      </c>
    </row>
    <row r="44" spans="1:17" s="17" customFormat="1" ht="33" customHeight="1" x14ac:dyDescent="0.3">
      <c r="A44" s="595"/>
      <c r="B44" s="399">
        <v>46261</v>
      </c>
      <c r="C44" s="4" t="s">
        <v>6707</v>
      </c>
      <c r="D44" s="4" t="s">
        <v>151</v>
      </c>
      <c r="E44" s="31" t="s">
        <v>6918</v>
      </c>
      <c r="F44" s="31" t="s">
        <v>6917</v>
      </c>
      <c r="G44" s="16" t="s">
        <v>145</v>
      </c>
      <c r="H44" s="193" t="s">
        <v>6919</v>
      </c>
      <c r="I44" s="31" t="s">
        <v>6920</v>
      </c>
      <c r="J44" s="31"/>
      <c r="K44" s="277" t="s">
        <v>6921</v>
      </c>
      <c r="L44" s="8">
        <v>2</v>
      </c>
      <c r="M44" s="8"/>
      <c r="N44" s="422"/>
      <c r="O44" s="430"/>
      <c r="P44" s="31"/>
    </row>
    <row r="45" spans="1:17" s="17" customFormat="1" ht="33" customHeight="1" x14ac:dyDescent="0.3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 x14ac:dyDescent="0.3">
      <c r="A46" s="595"/>
      <c r="B46" s="399">
        <v>46262</v>
      </c>
      <c r="C46" s="4" t="s">
        <v>6707</v>
      </c>
      <c r="D46" s="4" t="s">
        <v>151</v>
      </c>
      <c r="E46" s="31" t="s">
        <v>6918</v>
      </c>
      <c r="F46" s="31" t="s">
        <v>6917</v>
      </c>
      <c r="G46" s="16" t="s">
        <v>145</v>
      </c>
      <c r="H46" s="193" t="s">
        <v>6919</v>
      </c>
      <c r="I46" s="31" t="s">
        <v>6920</v>
      </c>
      <c r="J46" s="31"/>
      <c r="K46" s="277" t="s">
        <v>6921</v>
      </c>
      <c r="L46" s="8">
        <v>2</v>
      </c>
      <c r="M46" s="8"/>
      <c r="N46" s="422"/>
      <c r="O46" s="430"/>
      <c r="P46" s="31"/>
    </row>
    <row r="47" spans="1:17" s="17" customFormat="1" ht="33" customHeight="1" x14ac:dyDescent="0.3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6873</v>
      </c>
      <c r="H47" s="193" t="s">
        <v>6874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6890</v>
      </c>
      <c r="P47" s="31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0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0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0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0"/>
      <c r="B107" s="10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0"/>
      <c r="B108" s="10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2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33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33"/>
      <c r="B129" s="105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52">
        <v>2</v>
      </c>
      <c r="K129" s="25" t="s">
        <v>52</v>
      </c>
      <c r="L129" s="25" t="s">
        <v>51</v>
      </c>
    </row>
    <row r="130" spans="1:12" x14ac:dyDescent="0.3">
      <c r="A130" s="833"/>
      <c r="B130" s="105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54"/>
      <c r="K130" s="25" t="s">
        <v>52</v>
      </c>
      <c r="L130" s="25" t="s">
        <v>51</v>
      </c>
    </row>
    <row r="131" spans="1:12" x14ac:dyDescent="0.3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33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8" t="s">
        <v>1277</v>
      </c>
      <c r="J133" s="1052">
        <v>1</v>
      </c>
      <c r="K133" s="25" t="s">
        <v>52</v>
      </c>
      <c r="L133" s="25" t="s">
        <v>51</v>
      </c>
    </row>
    <row r="134" spans="1:12" x14ac:dyDescent="0.3">
      <c r="A134" s="833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54"/>
      <c r="K134" s="25" t="s">
        <v>52</v>
      </c>
      <c r="L134" s="25" t="s">
        <v>51</v>
      </c>
    </row>
    <row r="135" spans="1:12" x14ac:dyDescent="0.3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33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33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3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39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39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3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3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99" t="s">
        <v>53</v>
      </c>
      <c r="B154" s="999"/>
      <c r="C154" s="999"/>
      <c r="D154" s="999"/>
      <c r="E154" s="999"/>
      <c r="F154" s="999"/>
      <c r="G154" s="999"/>
      <c r="H154" s="999"/>
      <c r="I154" s="99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99" t="s">
        <v>53</v>
      </c>
      <c r="B167" s="999"/>
      <c r="C167" s="999"/>
      <c r="D167" s="999"/>
      <c r="E167" s="999"/>
      <c r="F167" s="999"/>
      <c r="G167" s="999"/>
      <c r="H167" s="999"/>
      <c r="I167" s="99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4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4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4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4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99" t="s">
        <v>53</v>
      </c>
      <c r="B203" s="999"/>
      <c r="C203" s="999"/>
      <c r="D203" s="999"/>
      <c r="E203" s="999"/>
      <c r="F203" s="999"/>
      <c r="G203" s="999"/>
      <c r="H203" s="999"/>
      <c r="I203" s="99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99" t="s">
        <v>53</v>
      </c>
      <c r="B214" s="999"/>
      <c r="C214" s="999"/>
      <c r="D214" s="999"/>
      <c r="E214" s="999"/>
      <c r="F214" s="999"/>
      <c r="G214" s="999"/>
      <c r="H214" s="999"/>
      <c r="I214" s="99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99" t="s">
        <v>1458</v>
      </c>
      <c r="B226" s="999"/>
      <c r="C226" s="999"/>
      <c r="D226" s="999"/>
      <c r="E226" s="999"/>
      <c r="F226" s="999"/>
      <c r="G226" s="999"/>
      <c r="H226" s="999"/>
      <c r="I226" s="99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99" t="s">
        <v>1499</v>
      </c>
      <c r="B236" s="999"/>
      <c r="C236" s="999"/>
      <c r="D236" s="999"/>
      <c r="E236" s="999"/>
      <c r="F236" s="999"/>
      <c r="G236" s="999"/>
      <c r="H236" s="999"/>
      <c r="I236" s="99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9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9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99" t="s">
        <v>1659</v>
      </c>
      <c r="B305" s="999"/>
      <c r="C305" s="999"/>
      <c r="D305" s="999"/>
      <c r="E305" s="999"/>
      <c r="F305" s="999"/>
      <c r="G305" s="999"/>
      <c r="H305" s="999"/>
      <c r="I305" s="99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99" t="s">
        <v>53</v>
      </c>
      <c r="B309" s="999"/>
      <c r="C309" s="999"/>
      <c r="D309" s="999"/>
      <c r="E309" s="999"/>
      <c r="F309" s="999"/>
      <c r="G309" s="999"/>
      <c r="H309" s="999"/>
      <c r="I309" s="99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9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9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99" t="s">
        <v>1659</v>
      </c>
      <c r="B314" s="999"/>
      <c r="C314" s="999"/>
      <c r="D314" s="999"/>
      <c r="E314" s="999"/>
      <c r="F314" s="999"/>
      <c r="G314" s="999"/>
      <c r="H314" s="999"/>
      <c r="I314" s="99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9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9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99" t="s">
        <v>1659</v>
      </c>
      <c r="B321" s="999"/>
      <c r="C321" s="999"/>
      <c r="D321" s="999"/>
      <c r="E321" s="999"/>
      <c r="F321" s="999"/>
      <c r="G321" s="999"/>
      <c r="H321" s="999"/>
      <c r="I321" s="99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9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9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9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9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9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99" t="s">
        <v>1659</v>
      </c>
      <c r="B330" s="999"/>
      <c r="C330" s="999"/>
      <c r="D330" s="999"/>
      <c r="E330" s="999"/>
      <c r="F330" s="999"/>
      <c r="G330" s="999"/>
      <c r="H330" s="999"/>
      <c r="I330" s="99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99" t="s">
        <v>1659</v>
      </c>
      <c r="B338" s="999"/>
      <c r="C338" s="999"/>
      <c r="D338" s="999"/>
      <c r="E338" s="999"/>
      <c r="F338" s="999"/>
      <c r="G338" s="999"/>
      <c r="H338" s="999"/>
      <c r="I338" s="99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3" t="s">
        <v>1521</v>
      </c>
      <c r="B343" s="128" t="s">
        <v>1531</v>
      </c>
      <c r="C343" s="875" t="s">
        <v>306</v>
      </c>
      <c r="D343" s="875" t="s">
        <v>322</v>
      </c>
      <c r="E343" s="857" t="s">
        <v>307</v>
      </c>
      <c r="F343" s="1042">
        <v>4266</v>
      </c>
      <c r="G343" s="875" t="s">
        <v>640</v>
      </c>
      <c r="H343" s="1042" t="s">
        <v>1533</v>
      </c>
      <c r="I343" s="875" t="s">
        <v>1534</v>
      </c>
      <c r="J343" s="857">
        <v>2</v>
      </c>
      <c r="K343" s="1040" t="s">
        <v>50</v>
      </c>
      <c r="L343" s="1040" t="s">
        <v>51</v>
      </c>
    </row>
    <row r="344" spans="1:13" x14ac:dyDescent="0.3">
      <c r="A344" s="1044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41"/>
      <c r="L344" s="1041"/>
    </row>
    <row r="345" spans="1:13" x14ac:dyDescent="0.3">
      <c r="A345" s="1044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40" t="s">
        <v>50</v>
      </c>
      <c r="L345" s="1040" t="s">
        <v>51</v>
      </c>
    </row>
    <row r="346" spans="1:13" x14ac:dyDescent="0.3">
      <c r="A346" s="1045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41"/>
      <c r="L346" s="1041"/>
    </row>
    <row r="347" spans="1:13" x14ac:dyDescent="0.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99" t="s">
        <v>1458</v>
      </c>
      <c r="B361" s="999"/>
      <c r="C361" s="999"/>
      <c r="D361" s="999"/>
      <c r="E361" s="999"/>
      <c r="F361" s="999"/>
      <c r="G361" s="999"/>
      <c r="H361" s="999"/>
      <c r="I361" s="99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3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9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9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9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9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9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99" t="s">
        <v>1659</v>
      </c>
      <c r="B370" s="999"/>
      <c r="C370" s="999"/>
      <c r="D370" s="999"/>
      <c r="E370" s="999"/>
      <c r="F370" s="999"/>
      <c r="G370" s="999"/>
      <c r="H370" s="999"/>
      <c r="I370" s="99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 x14ac:dyDescent="0.3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 x14ac:dyDescent="0.3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99" t="s">
        <v>53</v>
      </c>
      <c r="B394" s="999"/>
      <c r="C394" s="999"/>
      <c r="D394" s="999"/>
      <c r="E394" s="999"/>
      <c r="F394" s="999"/>
      <c r="G394" s="999"/>
      <c r="H394" s="999"/>
      <c r="I394" s="99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99" t="s">
        <v>53</v>
      </c>
      <c r="B401" s="999"/>
      <c r="C401" s="999"/>
      <c r="D401" s="999"/>
      <c r="E401" s="999"/>
      <c r="F401" s="999"/>
      <c r="G401" s="999"/>
      <c r="H401" s="999"/>
      <c r="I401" s="99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4" t="s">
        <v>229</v>
      </c>
      <c r="B405" s="1038" t="s">
        <v>1805</v>
      </c>
      <c r="C405" s="1038" t="s">
        <v>700</v>
      </c>
      <c r="D405" s="1067" t="s">
        <v>675</v>
      </c>
      <c r="E405" s="1038" t="s">
        <v>1806</v>
      </c>
      <c r="F405" s="1038" t="s">
        <v>1807</v>
      </c>
      <c r="G405" s="1038" t="s">
        <v>662</v>
      </c>
      <c r="H405" s="1068" t="s">
        <v>1808</v>
      </c>
      <c r="I405" s="1067"/>
      <c r="J405" s="1068">
        <v>1</v>
      </c>
      <c r="K405" s="1040" t="s">
        <v>631</v>
      </c>
      <c r="L405" s="972" t="s">
        <v>51</v>
      </c>
    </row>
    <row r="406" spans="1:12" ht="13.5" customHeight="1" x14ac:dyDescent="0.3">
      <c r="A406" s="1034"/>
      <c r="B406" s="1038"/>
      <c r="C406" s="1038"/>
      <c r="D406" s="1067"/>
      <c r="E406" s="1038"/>
      <c r="F406" s="1038"/>
      <c r="G406" s="1038"/>
      <c r="H406" s="1068"/>
      <c r="I406" s="1067"/>
      <c r="J406" s="1068"/>
      <c r="K406" s="1041"/>
      <c r="L406" s="974"/>
    </row>
    <row r="407" spans="1:12" ht="27" customHeight="1" x14ac:dyDescent="0.3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4" t="s">
        <v>2008</v>
      </c>
      <c r="B412" s="1069" t="s">
        <v>2009</v>
      </c>
      <c r="C412" s="1040" t="s">
        <v>21</v>
      </c>
      <c r="D412" s="870" t="s">
        <v>14</v>
      </c>
      <c r="E412" s="1040" t="s">
        <v>78</v>
      </c>
      <c r="F412" s="1038" t="s">
        <v>2010</v>
      </c>
      <c r="G412" s="1038" t="s">
        <v>40</v>
      </c>
      <c r="H412" s="1068" t="s">
        <v>614</v>
      </c>
      <c r="I412" s="1067"/>
      <c r="J412" s="1068">
        <v>1</v>
      </c>
      <c r="K412" s="1040" t="s">
        <v>2011</v>
      </c>
      <c r="L412" s="972" t="s">
        <v>1997</v>
      </c>
    </row>
    <row r="413" spans="1:12" ht="20.100000000000001" customHeight="1" x14ac:dyDescent="0.3">
      <c r="A413" s="1034"/>
      <c r="B413" s="1038"/>
      <c r="C413" s="1041"/>
      <c r="D413" s="871"/>
      <c r="E413" s="1041"/>
      <c r="F413" s="1038"/>
      <c r="G413" s="1038"/>
      <c r="H413" s="1068"/>
      <c r="I413" s="1067"/>
      <c r="J413" s="1068"/>
      <c r="K413" s="1041"/>
      <c r="L413" s="974"/>
    </row>
    <row r="414" spans="1:12" ht="20.100000000000001" customHeight="1" x14ac:dyDescent="0.3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3"/>
      <c r="B418" s="78" t="s">
        <v>1748</v>
      </c>
      <c r="C418" s="1067" t="s">
        <v>306</v>
      </c>
      <c r="D418" s="1067" t="s">
        <v>322</v>
      </c>
      <c r="E418" s="1067" t="s">
        <v>307</v>
      </c>
      <c r="F418" s="1068">
        <v>3306</v>
      </c>
      <c r="G418" s="1067" t="s">
        <v>1153</v>
      </c>
      <c r="H418" s="1068" t="s">
        <v>1749</v>
      </c>
      <c r="I418" s="1067" t="s">
        <v>664</v>
      </c>
      <c r="J418" s="1067">
        <v>4</v>
      </c>
      <c r="K418" s="1040" t="s">
        <v>631</v>
      </c>
      <c r="L418" s="972" t="s">
        <v>51</v>
      </c>
    </row>
    <row r="419" spans="1:12" ht="13.5" customHeight="1" x14ac:dyDescent="0.3">
      <c r="A419" s="973"/>
      <c r="B419" s="79" t="s">
        <v>1751</v>
      </c>
      <c r="C419" s="1067"/>
      <c r="D419" s="1067"/>
      <c r="E419" s="1067"/>
      <c r="F419" s="1068"/>
      <c r="G419" s="1067"/>
      <c r="H419" s="1068"/>
      <c r="I419" s="1067"/>
      <c r="J419" s="1067"/>
      <c r="K419" s="1041"/>
      <c r="L419" s="974"/>
    </row>
    <row r="420" spans="1:12" ht="13.5" customHeight="1" x14ac:dyDescent="0.3">
      <c r="A420" s="973"/>
      <c r="B420" s="78" t="s">
        <v>1800</v>
      </c>
      <c r="C420" s="1067" t="s">
        <v>306</v>
      </c>
      <c r="D420" s="1067" t="s">
        <v>322</v>
      </c>
      <c r="E420" s="1067" t="s">
        <v>307</v>
      </c>
      <c r="F420" s="1068" t="s">
        <v>1801</v>
      </c>
      <c r="G420" s="1067" t="s">
        <v>1802</v>
      </c>
      <c r="H420" s="1068" t="s">
        <v>1803</v>
      </c>
      <c r="I420" s="1067" t="s">
        <v>664</v>
      </c>
      <c r="J420" s="1067">
        <v>5</v>
      </c>
      <c r="K420" s="1040" t="s">
        <v>631</v>
      </c>
      <c r="L420" s="972" t="s">
        <v>51</v>
      </c>
    </row>
    <row r="421" spans="1:12" ht="13.5" customHeight="1" x14ac:dyDescent="0.3">
      <c r="A421" s="973"/>
      <c r="B421" s="79" t="s">
        <v>1795</v>
      </c>
      <c r="C421" s="1067"/>
      <c r="D421" s="1067"/>
      <c r="E421" s="1067"/>
      <c r="F421" s="1068"/>
      <c r="G421" s="1067"/>
      <c r="H421" s="1068"/>
      <c r="I421" s="1067"/>
      <c r="J421" s="1067"/>
      <c r="K421" s="1041"/>
      <c r="L421" s="974"/>
    </row>
    <row r="422" spans="1:12" ht="27" customHeight="1" x14ac:dyDescent="0.3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0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0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99" t="s">
        <v>1646</v>
      </c>
      <c r="B431" s="999"/>
      <c r="C431" s="999"/>
      <c r="D431" s="999"/>
      <c r="E431" s="999"/>
      <c r="F431" s="999"/>
      <c r="G431" s="999"/>
      <c r="H431" s="999"/>
      <c r="I431" s="99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0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99" t="s">
        <v>1646</v>
      </c>
      <c r="B435" s="999"/>
      <c r="C435" s="999"/>
      <c r="D435" s="999"/>
      <c r="E435" s="999"/>
      <c r="F435" s="999"/>
      <c r="G435" s="999"/>
      <c r="H435" s="999"/>
      <c r="I435" s="99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3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70" t="s">
        <v>1761</v>
      </c>
      <c r="G438" s="928" t="s">
        <v>329</v>
      </c>
      <c r="H438" s="1052" t="s">
        <v>1762</v>
      </c>
      <c r="I438" s="876" t="s">
        <v>664</v>
      </c>
      <c r="J438" s="1072">
        <v>2</v>
      </c>
      <c r="K438" s="1040" t="s">
        <v>1996</v>
      </c>
      <c r="L438" s="1040" t="s">
        <v>51</v>
      </c>
    </row>
    <row r="439" spans="1:12" ht="13.5" customHeight="1" x14ac:dyDescent="0.3">
      <c r="A439" s="836"/>
      <c r="B439" s="253" t="s">
        <v>2028</v>
      </c>
      <c r="C439" s="929"/>
      <c r="D439" s="929"/>
      <c r="E439" s="929"/>
      <c r="F439" s="1071"/>
      <c r="G439" s="929"/>
      <c r="H439" s="1054"/>
      <c r="I439" s="877"/>
      <c r="J439" s="1073"/>
      <c r="K439" s="1041"/>
      <c r="L439" s="1041"/>
    </row>
    <row r="440" spans="1:12" ht="13.5" customHeight="1" x14ac:dyDescent="0.3">
      <c r="A440" s="83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7">
        <v>4</v>
      </c>
      <c r="K440" s="1040" t="s">
        <v>631</v>
      </c>
      <c r="L440" s="1040" t="s">
        <v>1997</v>
      </c>
    </row>
    <row r="441" spans="1:12" ht="13.5" customHeight="1" x14ac:dyDescent="0.3">
      <c r="A441" s="83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8"/>
      <c r="K441" s="1041"/>
      <c r="L441" s="1041"/>
    </row>
    <row r="442" spans="1:12" ht="20.100000000000001" customHeight="1" x14ac:dyDescent="0.3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01"/>
      <c r="B463" s="1074" t="s">
        <v>1767</v>
      </c>
      <c r="C463" s="1075" t="s">
        <v>311</v>
      </c>
      <c r="D463" s="1075" t="s">
        <v>320</v>
      </c>
      <c r="E463" s="1075" t="s">
        <v>709</v>
      </c>
      <c r="F463" s="1075" t="s">
        <v>1768</v>
      </c>
      <c r="G463" s="1074" t="s">
        <v>1769</v>
      </c>
      <c r="H463" s="258" t="s">
        <v>1770</v>
      </c>
      <c r="I463" s="1075"/>
      <c r="J463" s="1075">
        <v>1</v>
      </c>
      <c r="K463" s="870" t="s">
        <v>631</v>
      </c>
      <c r="L463" s="900" t="s">
        <v>51</v>
      </c>
    </row>
    <row r="464" spans="1:12" ht="13.5" customHeight="1" x14ac:dyDescent="0.3">
      <c r="A464" s="1001"/>
      <c r="B464" s="1074"/>
      <c r="C464" s="1075"/>
      <c r="D464" s="1075"/>
      <c r="E464" s="1075"/>
      <c r="F464" s="1075"/>
      <c r="G464" s="1074"/>
      <c r="H464" s="259" t="s">
        <v>1773</v>
      </c>
      <c r="I464" s="1075"/>
      <c r="J464" s="1075"/>
      <c r="K464" s="871"/>
      <c r="L464" s="901"/>
    </row>
    <row r="465" spans="1:12" ht="13.5" customHeight="1" x14ac:dyDescent="0.3">
      <c r="A465" s="1001"/>
      <c r="B465" s="1076" t="s">
        <v>1813</v>
      </c>
      <c r="C465" s="1038" t="s">
        <v>700</v>
      </c>
      <c r="D465" s="1067" t="s">
        <v>320</v>
      </c>
      <c r="E465" s="1067" t="s">
        <v>337</v>
      </c>
      <c r="F465" s="1038" t="s">
        <v>353</v>
      </c>
      <c r="G465" s="1038" t="s">
        <v>1814</v>
      </c>
      <c r="H465" s="1068" t="s">
        <v>1815</v>
      </c>
      <c r="I465" s="1067" t="s">
        <v>638</v>
      </c>
      <c r="J465" s="1068">
        <v>2</v>
      </c>
      <c r="K465" s="1040" t="s">
        <v>631</v>
      </c>
      <c r="L465" s="1040" t="s">
        <v>51</v>
      </c>
    </row>
    <row r="466" spans="1:12" ht="13.5" customHeight="1" x14ac:dyDescent="0.3">
      <c r="A466" s="1001"/>
      <c r="B466" s="1076"/>
      <c r="C466" s="1038"/>
      <c r="D466" s="1067"/>
      <c r="E466" s="1067"/>
      <c r="F466" s="1038"/>
      <c r="G466" s="1038"/>
      <c r="H466" s="1068"/>
      <c r="I466" s="1067"/>
      <c r="J466" s="1068"/>
      <c r="K466" s="1041"/>
      <c r="L466" s="1041"/>
    </row>
    <row r="467" spans="1:12" ht="27" customHeight="1" x14ac:dyDescent="0.3">
      <c r="A467" s="100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01"/>
      <c r="B468" s="1038" t="s">
        <v>1820</v>
      </c>
      <c r="C468" s="1038" t="s">
        <v>700</v>
      </c>
      <c r="D468" s="1067" t="s">
        <v>320</v>
      </c>
      <c r="E468" s="1067" t="s">
        <v>709</v>
      </c>
      <c r="F468" s="1067" t="s">
        <v>1768</v>
      </c>
      <c r="G468" s="1038" t="s">
        <v>1821</v>
      </c>
      <c r="H468" s="261" t="s">
        <v>1822</v>
      </c>
      <c r="I468" s="1067" t="s">
        <v>638</v>
      </c>
      <c r="J468" s="1067">
        <v>2</v>
      </c>
      <c r="K468" s="1040" t="s">
        <v>631</v>
      </c>
      <c r="L468" s="1040" t="s">
        <v>51</v>
      </c>
    </row>
    <row r="469" spans="1:12" ht="13.5" customHeight="1" x14ac:dyDescent="0.3">
      <c r="A469" s="1001"/>
      <c r="B469" s="1038"/>
      <c r="C469" s="1038"/>
      <c r="D469" s="1067"/>
      <c r="E469" s="1067"/>
      <c r="F469" s="1067"/>
      <c r="G469" s="1038"/>
      <c r="H469" s="262" t="s">
        <v>1823</v>
      </c>
      <c r="I469" s="1067"/>
      <c r="J469" s="1067"/>
      <c r="K469" s="1041"/>
      <c r="L469" s="1041"/>
    </row>
    <row r="470" spans="1:12" ht="27" customHeight="1" x14ac:dyDescent="0.3">
      <c r="A470" s="100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99" t="s">
        <v>53</v>
      </c>
      <c r="B472" s="999"/>
      <c r="C472" s="999"/>
      <c r="D472" s="999"/>
      <c r="E472" s="999"/>
      <c r="F472" s="999"/>
      <c r="G472" s="999"/>
      <c r="H472" s="999"/>
      <c r="I472" s="99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99" t="s">
        <v>228</v>
      </c>
      <c r="B476" s="1074" t="s">
        <v>1767</v>
      </c>
      <c r="C476" s="1075" t="s">
        <v>311</v>
      </c>
      <c r="D476" s="1075" t="s">
        <v>320</v>
      </c>
      <c r="E476" s="1075" t="s">
        <v>709</v>
      </c>
      <c r="F476" s="1075" t="s">
        <v>1768</v>
      </c>
      <c r="G476" s="1074" t="s">
        <v>1769</v>
      </c>
      <c r="H476" s="258" t="s">
        <v>1770</v>
      </c>
      <c r="I476" s="1075"/>
      <c r="J476" s="1075">
        <v>1</v>
      </c>
      <c r="K476" s="870" t="s">
        <v>631</v>
      </c>
      <c r="L476" s="900" t="s">
        <v>51</v>
      </c>
    </row>
    <row r="477" spans="1:12" ht="13.5" customHeight="1" x14ac:dyDescent="0.3">
      <c r="A477" s="999"/>
      <c r="B477" s="1074"/>
      <c r="C477" s="1075"/>
      <c r="D477" s="1075"/>
      <c r="E477" s="1075"/>
      <c r="F477" s="1075"/>
      <c r="G477" s="1074"/>
      <c r="H477" s="259" t="s">
        <v>1773</v>
      </c>
      <c r="I477" s="1075"/>
      <c r="J477" s="1075"/>
      <c r="K477" s="871"/>
      <c r="L477" s="901"/>
    </row>
    <row r="478" spans="1:12" ht="27" customHeight="1" x14ac:dyDescent="0.3">
      <c r="A478" s="9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99" t="s">
        <v>1646</v>
      </c>
      <c r="B479" s="999"/>
      <c r="C479" s="999"/>
      <c r="D479" s="999"/>
      <c r="E479" s="999"/>
      <c r="F479" s="999"/>
      <c r="G479" s="999"/>
      <c r="H479" s="999"/>
      <c r="I479" s="99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30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78" t="s">
        <v>1919</v>
      </c>
      <c r="G494" s="1077" t="s">
        <v>662</v>
      </c>
      <c r="H494" s="1078" t="s">
        <v>1920</v>
      </c>
      <c r="I494" s="1077" t="s">
        <v>349</v>
      </c>
      <c r="J494" s="1077">
        <v>2</v>
      </c>
      <c r="K494" s="1038" t="s">
        <v>50</v>
      </c>
      <c r="L494" s="222">
        <v>23</v>
      </c>
    </row>
    <row r="495" spans="1:12" ht="12.6" customHeight="1" x14ac:dyDescent="0.3">
      <c r="A495" s="1030"/>
      <c r="B495" s="1077"/>
      <c r="C495" s="1077"/>
      <c r="D495" s="1077"/>
      <c r="E495" s="1077"/>
      <c r="F495" s="1078"/>
      <c r="G495" s="1077"/>
      <c r="H495" s="1078"/>
      <c r="I495" s="1077"/>
      <c r="J495" s="1077"/>
      <c r="K495" s="1038"/>
    </row>
    <row r="496" spans="1:12" ht="24.95" customHeight="1" x14ac:dyDescent="0.3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99" t="s">
        <v>53</v>
      </c>
      <c r="B500" s="999"/>
      <c r="C500" s="999"/>
      <c r="D500" s="999"/>
      <c r="E500" s="999"/>
      <c r="F500" s="999"/>
      <c r="G500" s="999"/>
      <c r="H500" s="999"/>
      <c r="I500" s="99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99" t="s">
        <v>2217</v>
      </c>
      <c r="B511" s="999"/>
      <c r="C511" s="999"/>
      <c r="D511" s="999"/>
      <c r="E511" s="999"/>
      <c r="F511" s="999"/>
      <c r="G511" s="999"/>
      <c r="H511" s="999"/>
      <c r="I511" s="99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99" t="s">
        <v>2238</v>
      </c>
      <c r="B528" s="999"/>
      <c r="C528" s="999"/>
      <c r="D528" s="999"/>
      <c r="E528" s="999"/>
      <c r="F528" s="999"/>
      <c r="G528" s="999"/>
      <c r="H528" s="999"/>
      <c r="I528" s="99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99" t="s">
        <v>2233</v>
      </c>
      <c r="B535" s="999"/>
      <c r="C535" s="999"/>
      <c r="D535" s="999"/>
      <c r="E535" s="999"/>
      <c r="F535" s="999"/>
      <c r="G535" s="999"/>
      <c r="H535" s="999"/>
      <c r="I535" s="99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9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9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99" t="s">
        <v>2233</v>
      </c>
      <c r="B550" s="999"/>
      <c r="C550" s="999"/>
      <c r="D550" s="999"/>
      <c r="E550" s="999"/>
      <c r="F550" s="999"/>
      <c r="G550" s="999"/>
      <c r="H550" s="999"/>
      <c r="I550" s="99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99" t="s">
        <v>2233</v>
      </c>
      <c r="B565" s="999"/>
      <c r="C565" s="999"/>
      <c r="D565" s="999"/>
      <c r="E565" s="999"/>
      <c r="F565" s="999"/>
      <c r="G565" s="999"/>
      <c r="H565" s="999"/>
      <c r="I565" s="99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8" t="s">
        <v>306</v>
      </c>
      <c r="D569" s="838" t="s">
        <v>322</v>
      </c>
      <c r="E569" s="838" t="s">
        <v>307</v>
      </c>
      <c r="F569" s="838">
        <v>3306</v>
      </c>
      <c r="G569" s="838" t="s">
        <v>1153</v>
      </c>
      <c r="H569" s="838" t="s">
        <v>1907</v>
      </c>
      <c r="I569" s="838" t="s">
        <v>1111</v>
      </c>
      <c r="J569" s="838" t="s">
        <v>692</v>
      </c>
      <c r="K569" s="1032" t="s">
        <v>2291</v>
      </c>
    </row>
    <row r="570" spans="1:12" x14ac:dyDescent="0.3">
      <c r="B570" s="243" t="s">
        <v>1909</v>
      </c>
      <c r="C570" s="839"/>
      <c r="D570" s="839"/>
      <c r="E570" s="839"/>
      <c r="F570" s="839"/>
      <c r="G570" s="839"/>
      <c r="H570" s="839"/>
      <c r="I570" s="839"/>
      <c r="J570" s="839"/>
      <c r="K570" s="103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99" t="s">
        <v>1458</v>
      </c>
      <c r="B582" s="999"/>
      <c r="C582" s="999"/>
      <c r="D582" s="999"/>
      <c r="E582" s="999"/>
      <c r="F582" s="999"/>
      <c r="G582" s="999"/>
      <c r="H582" s="999"/>
      <c r="I582" s="99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99" t="s">
        <v>2393</v>
      </c>
      <c r="B588" s="999"/>
      <c r="C588" s="999"/>
      <c r="D588" s="999"/>
      <c r="E588" s="999"/>
      <c r="F588" s="999"/>
      <c r="G588" s="999"/>
      <c r="H588" s="999"/>
      <c r="I588" s="99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99" t="s">
        <v>2437</v>
      </c>
      <c r="B606" s="999"/>
      <c r="C606" s="999"/>
      <c r="D606" s="999"/>
      <c r="E606" s="999"/>
      <c r="F606" s="999"/>
      <c r="G606" s="999"/>
      <c r="H606" s="999"/>
      <c r="I606" s="99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99" t="s">
        <v>2406</v>
      </c>
      <c r="B613" s="999"/>
      <c r="C613" s="999"/>
      <c r="D613" s="999"/>
      <c r="E613" s="999"/>
      <c r="F613" s="999"/>
      <c r="G613" s="999"/>
      <c r="H613" s="999"/>
      <c r="I613" s="99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99" t="s">
        <v>2406</v>
      </c>
      <c r="B627" s="999"/>
      <c r="C627" s="999"/>
      <c r="D627" s="999"/>
      <c r="E627" s="999"/>
      <c r="F627" s="999"/>
      <c r="G627" s="999"/>
      <c r="H627" s="999"/>
      <c r="I627" s="99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3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3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31" t="s">
        <v>1646</v>
      </c>
      <c r="B688" s="1031"/>
      <c r="C688" s="1031"/>
      <c r="D688" s="1031"/>
      <c r="E688" s="1031"/>
      <c r="F688" s="1031"/>
      <c r="G688" s="1031"/>
      <c r="H688" s="1031"/>
      <c r="I688" s="103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31" t="s">
        <v>1646</v>
      </c>
      <c r="B699" s="1031"/>
      <c r="C699" s="1031"/>
      <c r="D699" s="1031"/>
      <c r="E699" s="1031"/>
      <c r="F699" s="1031"/>
      <c r="G699" s="1031"/>
      <c r="H699" s="1031"/>
      <c r="I699" s="103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27" t="s">
        <v>1646</v>
      </c>
      <c r="B717" s="1027"/>
      <c r="C717" s="1027"/>
      <c r="D717" s="1027"/>
      <c r="E717" s="1027"/>
      <c r="F717" s="1027"/>
      <c r="G717" s="1027"/>
      <c r="H717" s="1027"/>
      <c r="I717" s="102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2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2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2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2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2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2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2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2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27" t="s">
        <v>1646</v>
      </c>
      <c r="B731" s="1027"/>
      <c r="C731" s="1027"/>
      <c r="D731" s="1027"/>
      <c r="E731" s="1027"/>
      <c r="F731" s="1027"/>
      <c r="G731" s="1027"/>
      <c r="H731" s="1027"/>
      <c r="I731" s="102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8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8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8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8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8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8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8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8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8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8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8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8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8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27" t="s">
        <v>1646</v>
      </c>
      <c r="B749" s="1027"/>
      <c r="C749" s="1027"/>
      <c r="D749" s="1027"/>
      <c r="E749" s="1027"/>
      <c r="F749" s="1027"/>
      <c r="G749" s="1027"/>
      <c r="H749" s="1027"/>
      <c r="I749" s="102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8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8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8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8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8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8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8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8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8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8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9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9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9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9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8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8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8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8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8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8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8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8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8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8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8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8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8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8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8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8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8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8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8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8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8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9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9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9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9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9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9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1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1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8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9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9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9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9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9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9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9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9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9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8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9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9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8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8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8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8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8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8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8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8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15" t="s">
        <v>1646</v>
      </c>
      <c r="B853" s="1015"/>
      <c r="C853" s="1015"/>
      <c r="D853" s="1015"/>
      <c r="E853" s="1015"/>
      <c r="F853" s="1015"/>
      <c r="G853" s="1015"/>
      <c r="H853" s="1015"/>
      <c r="I853" s="101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8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9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9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9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9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9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9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9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9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9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9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9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9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9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9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9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9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9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9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9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15" t="s">
        <v>1646</v>
      </c>
      <c r="B876" s="1015"/>
      <c r="C876" s="1015"/>
      <c r="D876" s="1015"/>
      <c r="E876" s="1015"/>
      <c r="F876" s="1015"/>
      <c r="G876" s="1015"/>
      <c r="H876" s="1015"/>
      <c r="I876" s="101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9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9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9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9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9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9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9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15" t="s">
        <v>1646</v>
      </c>
      <c r="B887" s="1015"/>
      <c r="C887" s="1015"/>
      <c r="D887" s="1015"/>
      <c r="E887" s="1015"/>
      <c r="F887" s="1015"/>
      <c r="G887" s="1015"/>
      <c r="H887" s="1015"/>
      <c r="I887" s="101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9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9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9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9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9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9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9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9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9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9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9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15" t="s">
        <v>1646</v>
      </c>
      <c r="B904" s="1015"/>
      <c r="C904" s="1015"/>
      <c r="D904" s="1015"/>
      <c r="E904" s="1015"/>
      <c r="F904" s="1015"/>
      <c r="G904" s="1015"/>
      <c r="H904" s="1015"/>
      <c r="I904" s="101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9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9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9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9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9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9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9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9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9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9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9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15" t="s">
        <v>1646</v>
      </c>
      <c r="B919" s="1015"/>
      <c r="C919" s="1015"/>
      <c r="D919" s="1015"/>
      <c r="E919" s="1015"/>
      <c r="F919" s="1015"/>
      <c r="G919" s="1015"/>
      <c r="H919" s="1015"/>
      <c r="I919" s="101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8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9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9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9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9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15" t="s">
        <v>1646</v>
      </c>
      <c r="B930" s="1015"/>
      <c r="C930" s="1015"/>
      <c r="D930" s="1015"/>
      <c r="E930" s="1015"/>
      <c r="F930" s="1015"/>
      <c r="G930" s="1015"/>
      <c r="H930" s="1015"/>
      <c r="I930" s="101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9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9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9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9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9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9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9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9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9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9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9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15" t="s">
        <v>1646</v>
      </c>
      <c r="B944" s="1015"/>
      <c r="C944" s="1015"/>
      <c r="D944" s="1015"/>
      <c r="E944" s="1015"/>
      <c r="F944" s="1015"/>
      <c r="G944" s="1015"/>
      <c r="H944" s="1015"/>
      <c r="I944" s="101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01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02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02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02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15" t="s">
        <v>1646</v>
      </c>
      <c r="B952" s="1015"/>
      <c r="C952" s="1015"/>
      <c r="D952" s="1015"/>
      <c r="E952" s="1015"/>
      <c r="F952" s="1015"/>
      <c r="G952" s="1015"/>
      <c r="H952" s="1015"/>
      <c r="I952" s="101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15" t="s">
        <v>1646</v>
      </c>
      <c r="B956" s="1015"/>
      <c r="C956" s="1015"/>
      <c r="D956" s="1015"/>
      <c r="E956" s="1015"/>
      <c r="F956" s="1015"/>
      <c r="G956" s="1015"/>
      <c r="H956" s="1015"/>
      <c r="I956" s="101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1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1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1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1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15" t="s">
        <v>1646</v>
      </c>
      <c r="B964" s="1015"/>
      <c r="C964" s="1015"/>
      <c r="D964" s="1015"/>
      <c r="E964" s="1015"/>
      <c r="F964" s="1015"/>
      <c r="G964" s="1015"/>
      <c r="H964" s="1015"/>
      <c r="I964" s="101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2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2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2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2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2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2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2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2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2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15" t="s">
        <v>1646</v>
      </c>
      <c r="B976" s="1015"/>
      <c r="C976" s="1015"/>
      <c r="D976" s="1015"/>
      <c r="E976" s="1015"/>
      <c r="F976" s="1015"/>
      <c r="G976" s="1015"/>
      <c r="H976" s="1015"/>
      <c r="I976" s="101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15" t="s">
        <v>1646</v>
      </c>
      <c r="B982" s="1015"/>
      <c r="C982" s="1015"/>
      <c r="D982" s="1015"/>
      <c r="E982" s="1015"/>
      <c r="F982" s="1015"/>
      <c r="G982" s="1015"/>
      <c r="H982" s="1015"/>
      <c r="I982" s="101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1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1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15" t="s">
        <v>1646</v>
      </c>
      <c r="B989" s="1015"/>
      <c r="C989" s="1015"/>
      <c r="D989" s="1015"/>
      <c r="E989" s="1015"/>
      <c r="F989" s="1015"/>
      <c r="G989" s="1015"/>
      <c r="H989" s="1015"/>
      <c r="I989" s="101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4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4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15" t="s">
        <v>1646</v>
      </c>
      <c r="B1003" s="1015"/>
      <c r="C1003" s="1015"/>
      <c r="D1003" s="1015"/>
      <c r="E1003" s="1015"/>
      <c r="F1003" s="1015"/>
      <c r="G1003" s="1015"/>
      <c r="H1003" s="1015"/>
      <c r="I1003" s="101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1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1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1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1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1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1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1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1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1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1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1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15" t="s">
        <v>1646</v>
      </c>
      <c r="B1018" s="1015"/>
      <c r="C1018" s="1015"/>
      <c r="D1018" s="1015"/>
      <c r="E1018" s="1015"/>
      <c r="F1018" s="1015"/>
      <c r="G1018" s="1015"/>
      <c r="H1018" s="1015"/>
      <c r="I1018" s="101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15" t="s">
        <v>5386</v>
      </c>
      <c r="I20" s="815"/>
      <c r="J20" s="815"/>
      <c r="K20" s="81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2026-08-28T02:47:15Z</dcterms:modified>
</cp:coreProperties>
</file>