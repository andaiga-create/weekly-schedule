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0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<sst xmlns="http://schemas.openxmlformats.org/spreadsheetml/2006/main" count="20043" uniqueCount="5574">
  <si>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</si>
  <si>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</si>
  <si>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</si>
  <si>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</si>
  <si>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</si>
  <si>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</si>
  <si>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</si>
  <si>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</si>
  <si>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</si>
  <si>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</si>
  <si>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</si>
  <si>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</si>
  <si>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</si>
  <si>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</si>
  <si>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</si>
  <si>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</si>
  <si>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</si>
  <si>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</si>
  <si>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</si>
  <si>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</si>
  <si>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</si>
  <si>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</si>
  <si>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</si>
  <si>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</si>
  <si>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</si>
  <si>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</si>
  <si>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</si>
  <si>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</si>
  <si>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</si>
  <si>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</si>
  <si>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</si>
  <si>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</si>
  <si>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</si>
  <si>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</si>
  <si>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</si>
  <si>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</si>
  <si>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</si>
  <si>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</si>
  <si>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</si>
  <si>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</si>
  <si>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</si>
  <si>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</si>
  <si>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</si>
  <si>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</si>
  <si>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</si>
  <si>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</si>
  <si>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</si>
  <si>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</si>
  <si>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</si>
  <si>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</si>
  <si>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</si>
  <si>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</si>
  <si>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</si>
  <si>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</si>
  <si>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</si>
  <si>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</si>
  <si>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</si>
  <si>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</si>
  <si>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</si>
  <si>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</si>
  <si>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</si>
  <si>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</si>
  <si>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</si>
  <si>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</si>
  <si>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</si>
  <si>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</si>
  <si>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</si>
  <si>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</si>
  <si>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</si>
  <si>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</si>
  <si>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</si>
  <si>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</si>
  <si>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</si>
  <si>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</si>
  <si>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</si>
  <si>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</si>
  <si>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</si>
  <si>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</si>
  <si>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</si>
  <si>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</si>
  <si>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</si>
  <si>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</si>
  <si>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</si>
  <si>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</si>
  <si>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</si>
  <si>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</si>
  <si>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</si>
  <si>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</si>
  <si>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</si>
  <si>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</si>
  <si>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</si>
  <si>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</si>
  <si>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</si>
  <si>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</si>
  <si>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</si>
  <si>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</si>
  <si>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</si>
  <si>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</si>
  <si>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</si>
  <si>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</si>
  <si>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</si>
  <si>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</si>
  <si>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</si>
  <si>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</si>
  <si>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</si>
  <si>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</si>
  <si>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</si>
  <si>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</si>
  <si>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</si>
  <si>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</si>
  <si>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</si>
  <si>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</si>
  <si>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</si>
  <si>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</si>
  <si>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</si>
  <si>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</si>
  <si>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</si>
  <si>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</si>
  <si>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</si>
  <si>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</si>
  <si>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</si>
  <si>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</si>
  <si>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</si>
  <si>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</si>
  <si>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</si>
  <si>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</si>
  <si>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</si>
  <si>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</si>
  <si>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</si>
  <si>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</si>
  <si>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</si>
  <si>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</si>
  <si>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</si>
  <si>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</si>
  <si>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</si>
  <si>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</si>
  <si>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</si>
  <si>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</si>
  <si>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</si>
  <si>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</si>
  <si>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</si>
  <si>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</si>
  <si>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</si>
  <si>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</si>
  <si>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</si>
  <si>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</si>
  <si>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</si>
  <si>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</si>
  <si>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</si>
  <si>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</si>
  <si>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</si>
  <si>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</si>
  <si>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</si>
  <si>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</si>
  <si>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</si>
  <si>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</si>
  <si>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</si>
  <si>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</si>
  <si>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</si>
  <si>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</si>
  <si>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</si>
  <si>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</si>
  <si>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</si>
  <si>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</si>
  <si>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</si>
  <si>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</si>
  <si>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</si>
  <si>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</si>
  <si>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</si>
  <si>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</si>
  <si>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</si>
  <si>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</si>
  <si>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</si>
  <si>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</si>
  <si>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</si>
  <si>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</si>
  <si>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</si>
  <si>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</si>
  <si>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</si>
  <si>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</si>
  <si>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</si>
  <si>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</si>
  <si>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</si>
  <si>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</si>
  <si>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</si>
  <si>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</si>
  <si>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</si>
  <si>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</si>
  <si>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</si>
  <si>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</si>
  <si>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</si>
  <si>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</si>
  <si>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</si>
  <si>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</si>
  <si>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</si>
  <si>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</si>
  <si>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</si>
  <si>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</si>
  <si>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</si>
  <si>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</si>
  <si>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</si>
  <si>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</si>
  <si>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</si>
  <si>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</si>
  <si>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</si>
  <si>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</si>
  <si>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</si>
  <si>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</si>
  <si>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</si>
  <si>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</si>
  <si>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</si>
  <si>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</si>
  <si>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</si>
  <si>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</si>
  <si>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</si>
  <si>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</si>
  <si>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</si>
  <si>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</si>
  <si>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</si>
  <si>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</si>
  <si>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</si>
  <si>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</si>
  <si>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</si>
  <si>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</si>
  <si>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</si>
  <si>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</si>
  <si>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</si>
  <si>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</si>
  <si>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</si>
  <si>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</si>
  <si>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</si>
  <si>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</si>
  <si>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</si>
  <si>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</si>
  <si>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</si>
  <si>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</si>
  <si>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</si>
  <si>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</si>
  <si>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</si>
  <si>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</si>
  <si>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</si>
  <si>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</si>
  <si>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</si>
  <si>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</si>
  <si>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</si>
  <si>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</si>
  <si>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</si>
  <si>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</si>
  <si>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</si>
  <si>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</si>
  <si>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</si>
  <si>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</si>
  <si>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</si>
  <si>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</si>
  <si>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</si>
  <si>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</si>
  <si>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</si>
  <si>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</si>
  <si>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</si>
  <si>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</si>
  <si>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</si>
  <si>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</si>
  <si>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</si>
  <si>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</si>
  <si>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</si>
  <si>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</si>
  <si>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</si>
  <si>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</si>
  <si>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</si>
  <si>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</si>
  <si>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</si>
  <si>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</si>
  <si>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</si>
  <si>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</si>
  <si>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</si>
  <si>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</si>
  <si>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</si>
  <si>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</si>
  <si>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</si>
  <si>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</si>
  <si>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</si>
  <si>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</si>
  <si>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</si>
  <si>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</si>
  <si>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</si>
  <si>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</si>
  <si>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</si>
  <si>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</si>
  <si>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</si>
  <si>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</si>
  <si>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</si>
  <si>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</si>
  <si>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</si>
  <si>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</si>
  <si>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</si>
  <si>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</si>
  <si>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</si>
  <si>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</si>
  <si>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</si>
  <si>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</si>
  <si>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</si>
  <si>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</si>
  <si>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</si>
  <si>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</si>
  <si>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</si>
  <si>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</si>
  <si>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</si>
  <si>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</si>
  <si>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</si>
  <si>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</si>
  <si>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</si>
  <si>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</si>
  <si>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</si>
  <si>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</si>
  <si>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</si>
  <si>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</si>
  <si>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</si>
  <si>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</si>
  <si>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</si>
  <si>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</si>
  <si>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</si>
  <si>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</si>
  <si>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</si>
  <si>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</si>
  <si>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</si>
  <si>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</si>
  <si>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</si>
  <si>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</si>
  <si>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</si>
  <si>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</si>
  <si>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</si>
  <si>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</si>
  <si>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</si>
  <si>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</si>
  <si>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</si>
  <si>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</si>
  <si>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</si>
  <si>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</si>
  <si>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</si>
  <si>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</si>
  <si>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</si>
  <si>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</si>
  <si>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</si>
  <si>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</si>
  <si>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</si>
  <si>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</si>
  <si>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</si>
  <si>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</si>
  <si>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</si>
  <si>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</si>
  <si>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</si>
  <si>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</si>
  <si>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</si>
  <si>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</si>
  <si>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</si>
  <si>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</si>
  <si>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</si>
  <si>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</si>
  <si>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</si>
  <si>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</si>
  <si>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</si>
  <si>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</si>
  <si>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</si>
  <si>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</si>
  <si>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</si>
  <si>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</si>
  <si>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</si>
  <si>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</si>
  <si>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</si>
  <si>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</si>
  <si>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</si>
  <si>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</si>
  <si>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</si>
  <si>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</si>
  <si>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</si>
  <si>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</si>
  <si>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</si>
  <si>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</si>
  <si>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</si>
  <si>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</si>
  <si>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</si>
  <si>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</si>
  <si>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</si>
  <si>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</si>
  <si>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</si>
  <si>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</si>
  <si>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</si>
  <si>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</si>
  <si>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</si>
  <si>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</si>
  <si>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</si>
  <si>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</si>
  <si>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</si>
  <si>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</si>
  <si>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</si>
  <si>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</si>
  <si>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</si>
  <si>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</si>
  <si>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</si>
  <si>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</si>
  <si>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</si>
  <si>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</si>
  <si>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</si>
  <si>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</si>
  <si>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</si>
  <si>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</si>
  <si>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</si>
  <si>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</si>
  <si>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</si>
  <si>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</si>
  <si>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</si>
  <si>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</si>
  <si>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</si>
  <si>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</si>
  <si>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</si>
  <si>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</si>
  <si>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</si>
  <si>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</si>
  <si>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</si>
  <si>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</si>
  <si>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</si>
  <si>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</si>
  <si>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</si>
  <si>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</si>
  <si>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</si>
  <si>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</si>
  <si>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</si>
  <si>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</si>
  <si>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</si>
  <si>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</si>
  <si>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</si>
  <si>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</si>
  <si>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</si>
  <si>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</si>
  <si>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</si>
  <si>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</si>
  <si>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</si>
  <si>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</si>
  <si>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</si>
  <si>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</si>
  <si>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</si>
  <si>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</si>
  <si>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</si>
  <si>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</si>
  <si>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</si>
  <si>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</si>
  <si>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</si>
  <si>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</si>
  <si>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</si>
  <si>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</si>
  <si>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</si>
  <si>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</si>
  <si>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</si>
  <si>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</si>
  <si>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</si>
  <si>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</si>
  <si>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</si>
  <si>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</si>
  <si>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</si>
  <si>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</si>
  <si>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</si>
  <si>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</si>
  <si>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</si>
  <si>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</si>
  <si>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</si>
  <si>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</si>
  <si>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</si>
  <si>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</si>
  <si>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</si>
  <si>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</si>
  <si>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</si>
  <si>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</si>
  <si>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</si>
  <si>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</si>
  <si>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</si>
  <si>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</si>
  <si>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</si>
  <si>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</si>
  <si>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</si>
  <si>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</si>
  <si>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</si>
  <si>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</si>
  <si>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</si>
  <si>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</si>
  <si>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</si>
  <si>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</si>
  <si>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</si>
  <si>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</si>
  <si>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</si>
  <si>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</si>
  <si>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</si>
  <si>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</si>
  <si>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</si>
  <si>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</si>
  <si>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</si>
  <si>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</si>
  <si>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</si>
  <si>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</si>
  <si>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</si>
  <si>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</si>
  <si>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</si>
  <si>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</si>
  <si>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</si>
  <si>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</si>
  <si>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</si>
  <si>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</si>
  <si>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</si>
  <si>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</si>
  <si>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</si>
  <si>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</si>
  <si>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</si>
  <si>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</si>
  <si>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</si>
  <si>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</si>
  <si>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</si>
  <si>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</si>
  <si>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</si>
  <si>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</si>
  <si>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</si>
  <si>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</si>
  <si>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</si>
  <si>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</si>
  <si>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</si>
  <si>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</si>
  <si>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</si>
  <si>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</si>
  <si>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</si>
  <si>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</si>
  <si>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</si>
  <si>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</si>
  <si>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</si>
  <si>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</si>
  <si>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</si>
  <si>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</si>
  <si>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</si>
  <si>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</si>
  <si>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</si>
  <si>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</si>
  <si>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</si>
  <si>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</si>
  <si>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</si>
  <si>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</si>
  <si>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</si>
  <si>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</si>
  <si>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</si>
  <si>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</si>
  <si>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</si>
  <si>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</si>
  <si>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</si>
  <si>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</si>
  <si>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</si>
  <si>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</si>
  <si>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</si>
  <si>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</si>
  <si>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</si>
  <si>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</si>
  <si>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</si>
  <si>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</si>
  <si>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</si>
  <si>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</si>
  <si>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</si>
  <si>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</si>
  <si>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</si>
  <si>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</si>
  <si>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</si>
  <si>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</si>
  <si>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</si>
  <si>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</si>
  <si>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</si>
  <si>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</si>
  <si>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</si>
  <si>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</si>
  <si>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</si>
  <si>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</si>
  <si>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</si>
  <si>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</si>
  <si>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</si>
  <si>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</si>
  <si>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</si>
  <si>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</si>
  <si>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</si>
  <si>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</si>
  <si>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</si>
  <si>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</si>
  <si>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</si>
  <si>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</si>
  <si>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</si>
  <si>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</si>
  <si>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</si>
  <si>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</si>
  <si>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</si>
  <si>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</si>
  <si>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</si>
  <si>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</si>
  <si>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</si>
  <si>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</si>
  <si>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</si>
  <si>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</si>
  <si>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</si>
  <si>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</si>
  <si>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</si>
  <si>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</si>
  <si>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</si>
  <si>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</si>
  <si>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</si>
  <si>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</si>
  <si>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</si>
  <si>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</si>
  <si>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</si>
  <si>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</si>
  <si>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</si>
  <si>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</si>
  <si>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</si>
  <si>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</si>
  <si>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</si>
  <si>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</si>
  <si>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</si>
  <si>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</si>
  <si>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</si>
  <si>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</si>
  <si>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</si>
  <si>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</si>
  <si>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</si>
  <si>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</si>
  <si>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</si>
  <si>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</si>
  <si>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</si>
  <si>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</si>
  <si>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</si>
  <si>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</si>
  <si>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</si>
  <si>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</si>
  <si>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</si>
  <si>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</si>
  <si>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</si>
  <si>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</si>
  <si>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</si>
  <si>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</si>
  <si>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</si>
  <si>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</si>
  <si>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</si>
  <si>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</si>
  <si>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</si>
  <si>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</si>
  <si>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</si>
  <si>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</si>
  <si>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</si>
  <si>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</si>
  <si>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</si>
  <si>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</si>
  <si>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</si>
  <si>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</si>
  <si>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</si>
  <si>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</si>
  <si>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</si>
  <si>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</si>
  <si>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</si>
  <si>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</si>
  <si>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</si>
  <si>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</si>
  <si>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</si>
  <si>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</si>
  <si>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</si>
  <si>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</si>
  <si>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</si>
  <si>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</si>
  <si>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</si>
  <si>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</si>
  <si>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</si>
  <si>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</si>
  <si>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</si>
  <si>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</si>
  <si>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</si>
  <si>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</si>
  <si>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</si>
  <si>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</si>
  <si>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</si>
  <si>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</si>
  <si>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</si>
  <si>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</si>
  <si>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</si>
  <si>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</si>
  <si>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</si>
  <si>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</si>
  <si>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</si>
  <si>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</si>
  <si>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</si>
  <si>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</si>
  <si>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</si>
  <si>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</si>
  <si>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</si>
  <si>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</si>
  <si>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</si>
  <si>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</si>
  <si>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</si>
  <si>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</si>
  <si>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</si>
  <si>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</si>
  <si>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</si>
  <si>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</si>
  <si>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</si>
  <si>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</si>
  <si>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</si>
  <si>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</si>
  <si>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</si>
  <si>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</si>
  <si>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</si>
  <si>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</si>
  <si>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</si>
  <si>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</si>
  <si>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</si>
  <si>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</si>
  <si>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</si>
  <si>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</si>
  <si>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</si>
  <si>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</si>
  <si>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</si>
  <si>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</si>
  <si>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</si>
  <si>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</si>
  <si>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</si>
  <si>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</si>
  <si>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</si>
  <si>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</si>
  <si>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</si>
  <si>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</si>
  <si>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</si>
  <si>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</si>
  <si>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</si>
  <si>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</si>
  <si>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</si>
  <si>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</si>
  <si>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</si>
  <si>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</si>
  <si>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</si>
  <si>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</si>
  <si>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</si>
  <si>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</si>
  <si>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</si>
  <si>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</si>
  <si>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</si>
  <si>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</si>
  <si>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</si>
  <si>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</si>
  <si>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</si>
  <si>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</si>
  <si>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</si>
  <si>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</si>
  <si>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</si>
  <si>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</si>
  <si>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</si>
  <si>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</si>
  <si>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</si>
  <si>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</si>
  <si>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</si>
  <si>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</si>
  <si>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</si>
  <si>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</si>
  <si>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</si>
  <si>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</si>
  <si>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</si>
  <si>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</si>
  <si>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</si>
  <si>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</si>
  <si>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</si>
  <si>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</si>
  <si>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</si>
  <si>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</si>
  <si>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</si>
  <si>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</si>
  <si>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</si>
  <si>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</si>
  <si>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</si>
  <si>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</si>
  <si>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</si>
  <si>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</si>
  <si>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</si>
  <si>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</si>
  <si>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</si>
  <si>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</si>
  <si>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</si>
  <si>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</si>
  <si>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</si>
  <si>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</si>
  <si>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</si>
  <si>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</si>
  <si>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</si>
  <si>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</si>
  <si>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</si>
  <si>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</si>
  <si>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</si>
  <si>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</si>
  <si>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</si>
  <si>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</si>
  <si>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</si>
  <si>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</si>
  <si>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</si>
  <si>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</si>
  <si>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</si>
  <si>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</si>
  <si>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</si>
  <si>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</si>
  <si>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</si>
  <si>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</si>
  <si>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</si>
  <si>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</si>
  <si>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</si>
  <si>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</si>
  <si>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</si>
  <si>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</si>
  <si>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</si>
  <si>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</si>
  <si>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</si>
  <si>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</si>
  <si>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</si>
  <si>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</si>
  <si>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</si>
  <si>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</si>
  <si>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</si>
  <si>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</si>
  <si>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</si>
  <si>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</si>
  <si>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</si>
  <si>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</si>
  <si>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</si>
  <si>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</si>
  <si>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</si>
  <si>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</si>
  <si>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</si>
  <si>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</si>
  <si>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</si>
  <si>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</si>
  <si>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</si>
  <si>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</si>
  <si>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</si>
  <si>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</si>
  <si>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</si>
  <si>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</si>
  <si>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</si>
  <si>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</si>
  <si>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</si>
  <si>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</si>
  <si>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</si>
  <si>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</si>
  <si>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</si>
  <si>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</si>
  <si>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</si>
  <si>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</si>
  <si>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</si>
  <si>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</si>
  <si>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</si>
  <si>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</si>
  <si>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</si>
  <si>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</si>
  <si>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</si>
  <si>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</si>
  <si>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</si>
  <si>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</si>
  <si>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</si>
  <si>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</si>
  <si>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</si>
  <si>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</si>
  <si>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</si>
  <si>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</si>
  <si>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</si>
  <si>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</si>
  <si>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</si>
  <si>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</si>
  <si>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</si>
  <si>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</si>
  <si>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</si>
  <si>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</si>
  <si>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</si>
  <si>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</si>
  <si>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</si>
  <si>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</si>
  <si>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</si>
  <si>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</si>
  <si>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</si>
  <si>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</si>
  <si>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</si>
  <si>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</si>
  <si>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</si>
  <si>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</si>
  <si>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</si>
  <si>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</si>
  <si>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</si>
  <si>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</si>
  <si>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</si>
  <si>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</si>
  <si>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</si>
  <si>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</si>
  <si>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</si>
  <si>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</si>
  <si>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</si>
  <si>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</si>
  <si>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</si>
  <si>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</si>
  <si>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</si>
  <si>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</si>
  <si>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</si>
  <si>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</si>
  <si>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</si>
  <si>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</si>
  <si>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</si>
  <si>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</si>
  <si>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</si>
  <si>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</si>
  <si>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</si>
  <si>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</si>
  <si>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</si>
  <si>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</si>
  <si>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</si>
  <si>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</si>
  <si>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</si>
  <si>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</si>
  <si>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</si>
  <si>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</si>
  <si>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</si>
  <si>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</si>
  <si>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</si>
  <si>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</si>
  <si>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</si>
  <si>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</si>
  <si>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</si>
  <si>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</si>
  <si>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</si>
  <si>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</si>
  <si>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</si>
  <si>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</si>
  <si>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</si>
  <si>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</si>
  <si>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</si>
  <si>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</si>
  <si>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</si>
  <si>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</si>
  <si>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</si>
  <si>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</si>
  <si>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</si>
  <si>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</si>
  <si>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</si>
  <si>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</si>
  <si>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</si>
  <si>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</si>
  <si>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</si>
  <si>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</si>
  <si>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</si>
  <si>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</si>
  <si>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</si>
  <si>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</si>
  <si>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</si>
  <si>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</si>
  <si>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</si>
  <si>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</si>
  <si>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</si>
  <si>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</si>
  <si>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</si>
  <si>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</si>
  <si>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</si>
  <si>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</si>
  <si>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</si>
  <si>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</si>
  <si>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</si>
  <si>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</si>
  <si>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</si>
  <si>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</si>
  <si>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</si>
  <si>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</si>
  <si>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</si>
  <si>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</si>
  <si>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</si>
  <si>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</si>
  <si>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</si>
  <si>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</si>
  <si>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</si>
  <si>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</si>
  <si>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</si>
  <si>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</si>
  <si>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</si>
  <si>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</si>
  <si>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</si>
  <si>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</si>
  <si>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</si>
  <si>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</si>
  <si>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</si>
  <si>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</si>
  <si>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</si>
  <si>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</si>
  <si>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</si>
  <si>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</si>
  <si>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</si>
  <si>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</si>
  <si>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</si>
  <si>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</si>
  <si>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</si>
  <si>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</si>
  <si>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</si>
  <si>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</si>
  <si>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</si>
  <si>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</si>
  <si>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</si>
  <si>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</si>
  <si>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</si>
  <si>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</si>
  <si>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</si>
  <si>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</si>
  <si>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</si>
  <si>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</si>
  <si>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</si>
  <si>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</si>
  <si>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</si>
  <si>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</si>
  <si>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</si>
  <si>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</si>
  <si>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</si>
  <si>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</si>
  <si>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</si>
  <si>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</si>
  <si>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</si>
  <si>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</si>
  <si>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</si>
  <si>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</si>
  <si>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</si>
  <si>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</si>
  <si>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</si>
  <si>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</si>
  <si>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</si>
  <si>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</si>
  <si>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</si>
  <si>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</si>
  <si>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</si>
  <si>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</si>
  <si>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</si>
  <si>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</si>
  <si>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</si>
  <si>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</si>
  <si>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</si>
  <si>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</si>
  <si>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</si>
  <si>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</si>
  <si>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</si>
  <si>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</si>
  <si>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</si>
  <si>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</si>
  <si>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</si>
  <si>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</si>
  <si>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</si>
  <si>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</si>
  <si>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</si>
  <si>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</si>
  <si>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</si>
  <si>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</si>
  <si>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</si>
  <si>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</si>
  <si>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</si>
  <si>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</si>
  <si>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</si>
  <si>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</si>
  <si>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</si>
  <si>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</si>
  <si>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</si>
  <si>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</si>
  <si>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</si>
  <si>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</si>
  <si>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</si>
  <si>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</si>
  <si>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</si>
  <si>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</si>
  <si>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</si>
  <si>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</si>
  <si>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</si>
  <si>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</si>
  <si>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</si>
  <si>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</si>
  <si>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</si>
  <si>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</si>
  <si>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</si>
  <si>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</si>
  <si>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</si>
  <si>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</si>
  <si>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</si>
  <si>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</si>
  <si>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</si>
  <si>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</si>
  <si>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</si>
  <si>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</si>
  <si>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</si>
  <si>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</si>
  <si>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</si>
  <si>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</si>
  <si>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</si>
  <si>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</si>
  <si>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</si>
  <si>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</si>
  <si>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</si>
  <si>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</si>
  <si>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</si>
  <si>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</si>
  <si>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</si>
  <si>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</si>
  <si>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</si>
  <si>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</si>
  <si>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</si>
  <si>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</si>
  <si>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</si>
  <si>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</si>
  <si>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</si>
  <si>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</si>
  <si>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</si>
  <si>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</si>
  <si>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</si>
  <si>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</si>
  <si>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</si>
  <si>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</si>
  <si>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</si>
  <si>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</si>
  <si>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</si>
  <si>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</si>
  <si>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</si>
  <si>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</si>
  <si>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</si>
  <si>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</si>
  <si>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</si>
  <si>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</si>
  <si>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</si>
  <si>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</si>
  <si>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</si>
  <si>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</si>
  <si>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</si>
  <si>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</si>
  <si>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</si>
  <si>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</si>
  <si>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</si>
  <si>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</si>
  <si>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</si>
  <si>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</si>
  <si>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</si>
  <si>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</si>
  <si>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</si>
  <si>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</si>
  <si>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</si>
  <si>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</si>
  <si>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</si>
  <si>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</si>
  <si>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</si>
  <si>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</si>
  <si>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</si>
  <si>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</si>
  <si>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</si>
  <si>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</si>
  <si>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</si>
  <si>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</si>
  <si>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</si>
  <si>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</si>
  <si>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</si>
  <si>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</si>
  <si>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</si>
  <si>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</si>
  <si>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</si>
  <si>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</si>
  <si>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</si>
  <si>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</si>
  <si>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</si>
  <si>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</si>
  <si>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</si>
  <si>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</si>
  <si>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</si>
  <si>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</si>
  <si>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</si>
  <si>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</si>
  <si>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</si>
  <si>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</si>
  <si>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</si>
  <si>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</si>
  <si>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</si>
  <si>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</si>
  <si>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</si>
  <si>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</si>
  <si>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</si>
  <si>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</si>
  <si>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</si>
  <si>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</si>
  <si>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</si>
  <si>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</si>
  <si>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</si>
  <si>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</si>
  <si>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</si>
  <si>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</si>
  <si>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</si>
  <si>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</si>
  <si>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</si>
  <si>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</si>
  <si>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</si>
  <si>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</si>
  <si>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</si>
  <si>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</si>
  <si>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</si>
  <si>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</si>
  <si>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</si>
  <si>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</si>
  <si>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</si>
  <si>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</si>
  <si>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</si>
  <si>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</si>
  <si>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</si>
  <si>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</si>
  <si>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</si>
  <si>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</si>
  <si>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</si>
  <si>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</si>
  <si>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</si>
  <si>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</si>
  <si>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</si>
  <si>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</si>
  <si>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</si>
  <si>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</si>
  <si>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</si>
  <si>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</si>
  <si>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</si>
  <si>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</si>
  <si>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</si>
  <si>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</si>
  <si>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</si>
  <si>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</si>
  <si>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</si>
  <si>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</si>
  <si>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</si>
  <si>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</si>
  <si>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</si>
  <si>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</si>
  <si>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</si>
  <si>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</si>
  <si>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</si>
  <si>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</si>
  <si>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</si>
  <si>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</si>
  <si>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</si>
  <si>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</si>
  <si>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</si>
  <si>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</si>
  <si>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</si>
  <si>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</si>
  <si>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</si>
  <si>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</si>
  <si>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</si>
  <si>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</si>
  <si>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</si>
  <si>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</si>
  <si>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</si>
  <si>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</si>
  <si>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</si>
  <si>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</si>
  <si>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</si>
  <si>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</si>
  <si>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</si>
  <si>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</si>
  <si>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</si>
  <si>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</si>
  <si>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</si>
  <si>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</si>
  <si>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</si>
  <si>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</si>
  <si>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</si>
  <si>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</si>
  <si>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</si>
  <si>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</si>
  <si>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</si>
  <si>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</si>
  <si>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</si>
  <si>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</si>
  <si>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</si>
  <si>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</si>
  <si>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</si>
  <si>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</si>
  <si>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</si>
  <si>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</si>
  <si>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</si>
  <si>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</si>
  <si>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</si>
  <si>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</si>
  <si>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</si>
  <si>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</si>
  <si>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</si>
  <si>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</si>
  <si>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</si>
  <si>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</si>
  <si>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</si>
  <si>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</si>
  <si>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</si>
  <si>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</si>
  <si>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</si>
  <si>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</si>
  <si>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</si>
  <si>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</si>
  <si>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</si>
  <si>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</si>
  <si>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</si>
  <si>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</si>
  <si>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</si>
  <si>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</si>
  <si>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</si>
  <si>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</si>
  <si>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</si>
  <si>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</si>
  <si>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</si>
  <si>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</si>
  <si>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</si>
  <si>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</si>
  <si>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</si>
  <si>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</si>
  <si>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</si>
  <si>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</si>
  <si>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</si>
  <si>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</si>
  <si>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</si>
  <si>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</si>
  <si>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</si>
  <si>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</si>
  <si>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</si>
  <si>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</si>
  <si>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</si>
  <si>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</si>
  <si>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</si>
  <si>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</si>
  <si>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</si>
  <si>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</si>
  <si>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</si>
  <si>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</si>
  <si>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</si>
  <si>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</si>
  <si>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</si>
  <si>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</si>
  <si>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</si>
  <si>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</si>
  <si>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</si>
  <si>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</si>
  <si>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</si>
  <si>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</si>
  <si>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</si>
  <si>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</si>
  <si>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</si>
  <si>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</si>
  <si>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</si>
  <si>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</si>
  <si>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</si>
  <si>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</si>
  <si>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</si>
  <si>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</si>
  <si>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</si>
  <si>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</si>
  <si>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</si>
  <si>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</si>
  <si>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</si>
  <si>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</si>
  <si>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</si>
  <si>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</si>
  <si>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</si>
  <si>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</si>
  <si>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</si>
  <si>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</si>
  <si>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</si>
  <si>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</si>
  <si>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</si>
  <si>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</si>
  <si>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</si>
  <si>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</si>
  <si>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</si>
  <si>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</si>
  <si>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</si>
  <si>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</si>
  <si>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</si>
  <si>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</si>
  <si>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</si>
  <si>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</si>
  <si>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</si>
  <si>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</si>
  <si>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</si>
  <si>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</si>
  <si>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</si>
  <si>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</si>
  <si>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</si>
  <si>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</si>
  <si>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</si>
  <si>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</si>
  <si>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</si>
  <si>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</si>
  <si>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</si>
  <si>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</si>
  <si>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</si>
  <si>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</si>
  <si>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</si>
  <si>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</si>
  <si>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</si>
  <si>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</si>
  <si>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</si>
  <si>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</si>
  <si>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</si>
  <si>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</si>
  <si>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</si>
  <si>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</si>
  <si>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</si>
  <si>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</si>
  <si>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</si>
  <si>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</si>
  <si>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</si>
  <si>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</si>
  <si>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</si>
  <si>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</si>
  <si>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</si>
  <si>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</si>
  <si>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</si>
  <si>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</si>
  <si>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</si>
  <si>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</si>
  <si>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</si>
  <si>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</si>
  <si>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</si>
  <si>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</si>
  <si>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</si>
  <si>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</si>
  <si>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</si>
  <si>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</si>
  <si>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</si>
  <si>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</si>
  <si>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</si>
  <si>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</si>
  <si>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</si>
  <si>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</si>
  <si>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</si>
  <si>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</si>
  <si>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</si>
  <si>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</si>
  <si>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</si>
  <si>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</si>
  <si>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</si>
  <si>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</si>
  <si>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</si>
  <si>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</si>
  <si>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</si>
  <si>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</si>
  <si>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</si>
  <si>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</si>
  <si>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</si>
  <si>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</si>
  <si>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</si>
  <si>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</si>
  <si>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</si>
  <si>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</si>
  <si>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</si>
  <si>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</si>
  <si>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</si>
  <si>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</si>
  <si>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</si>
  <si>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</si>
  <si>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</si>
  <si>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</si>
  <si>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</si>
  <si>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</si>
  <si>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</si>
  <si>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</si>
  <si>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</si>
  <si>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</si>
  <si>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</si>
  <si>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</si>
  <si>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</si>
  <si>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</si>
  <si>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</si>
  <si>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</si>
  <si>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</si>
  <si>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</si>
  <si>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</si>
  <si>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</si>
  <si>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</si>
  <si>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</si>
  <si>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</si>
  <si>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</si>
  <si>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</si>
  <si>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</si>
  <si>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</si>
  <si>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</si>
  <si>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</si>
  <si>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</si>
  <si>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</si>
  <si>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</si>
  <si>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</si>
  <si>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</si>
  <si>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</si>
  <si>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</si>
  <si>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</si>
  <si>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</si>
  <si>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</si>
  <si>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</si>
  <si>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</si>
  <si>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</si>
  <si>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</si>
  <si>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</si>
  <si>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</si>
  <si>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</si>
  <si>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</si>
  <si>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</si>
  <si>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</si>
  <si>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</si>
  <si>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</si>
  <si>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</si>
  <si>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</si>
  <si>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</si>
  <si>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</si>
  <si>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</si>
  <si>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</si>
  <si>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</si>
  <si>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</si>
  <si>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</si>
  <si>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</si>
  <si>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</si>
  <si>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</si>
  <si>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</si>
  <si>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</si>
  <si>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</si>
  <si>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</si>
  <si>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</si>
  <si>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</si>
  <si>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</si>
  <si>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</si>
  <si>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</si>
  <si>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</si>
  <si>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</si>
  <si>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</si>
  <si>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</si>
  <si>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</si>
  <si>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</si>
  <si>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</si>
  <si>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</si>
  <si>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</si>
  <si>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</si>
  <si>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</si>
  <si>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</si>
  <si>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</si>
  <si>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</si>
  <si>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</si>
  <si>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</si>
  <si>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</si>
  <si>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</si>
  <si>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</si>
  <si>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</si>
  <si>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</si>
  <si>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</si>
  <si>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</si>
  <si>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</si>
  <si>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</si>
  <si>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</si>
  <si>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</si>
  <si>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</si>
  <si>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</si>
  <si>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</si>
  <si>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</si>
  <si>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</si>
  <si>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</si>
  <si>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</si>
  <si>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</si>
  <si>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</si>
  <si>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</si>
  <si>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</si>
  <si>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</si>
  <si>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</si>
  <si>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</si>
  <si>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</si>
  <si>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</si>
  <si>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</si>
  <si>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</si>
  <si>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</si>
  <si>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</si>
  <si>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</si>
  <si>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</si>
  <si>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</si>
  <si>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</si>
  <si>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</si>
  <si>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</si>
  <si>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</si>
  <si>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</si>
  <si>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</si>
  <si>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</si>
  <si>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</si>
  <si>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</si>
  <si>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</si>
  <si>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</si>
  <si>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</si>
  <si>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</si>
  <si>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</si>
  <si>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</si>
  <si>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</si>
  <si>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</si>
  <si>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</si>
  <si>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</si>
  <si>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</si>
  <si>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</si>
  <si>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</si>
  <si>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</si>
  <si>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</si>
  <si>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</si>
  <si>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</si>
  <si>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</si>
  <si>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</si>
  <si>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</si>
  <si>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</si>
  <si>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</si>
  <si>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</si>
  <si>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</si>
  <si>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</si>
  <si>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</si>
  <si>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</si>
  <si>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</si>
  <si>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</si>
  <si>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</si>
  <si>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</si>
  <si>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</si>
  <si>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</si>
  <si>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</si>
  <si>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</si>
  <si>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</si>
  <si>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</si>
  <si>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</si>
  <si>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</si>
  <si>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</si>
  <si>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</si>
  <si>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</si>
  <si>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</si>
  <si>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</si>
  <si>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</si>
  <si>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</si>
  <si>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</si>
  <si>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</si>
  <si>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</si>
  <si>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</si>
  <si>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</si>
  <si>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</si>
  <si>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</si>
  <si>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</si>
  <si>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</si>
  <si>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</si>
  <si>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</si>
  <si>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</si>
  <si>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</si>
  <si>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</si>
  <si>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</si>
  <si>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</si>
  <si>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</si>
  <si>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</si>
  <si>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</si>
  <si>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</si>
  <si>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</si>
  <si>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</si>
  <si>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</si>
  <si>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</si>
  <si>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</si>
  <si>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</si>
  <si>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</si>
  <si>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</si>
  <si>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</si>
  <si>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</si>
  <si>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</si>
  <si>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</si>
  <si>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</si>
  <si>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</si>
  <si>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</si>
  <si>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</si>
  <si>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</si>
  <si>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</si>
  <si>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</si>
  <si>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</si>
  <si>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</si>
  <si>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</si>
  <si>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</si>
  <si>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</si>
  <si>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</si>
  <si>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</si>
  <si>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</si>
  <si>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</si>
  <si>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</si>
  <si>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</si>
  <si>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</si>
  <si>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</si>
  <si>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</si>
  <si>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</si>
  <si>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</si>
  <si>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</si>
  <si>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</si>
  <si>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</si>
  <si>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</si>
  <si>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</si>
  <si>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</si>
  <si>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</si>
  <si>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</si>
  <si>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</si>
  <si>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</si>
  <si>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</si>
  <si>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</si>
  <si>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</si>
  <si>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</si>
  <si>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</si>
  <si>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</si>
  <si>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</si>
  <si>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</si>
  <si>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</si>
  <si>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</si>
  <si>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</si>
  <si>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</si>
  <si>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</si>
  <si>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</si>
  <si>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</si>
  <si>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</si>
  <si>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</si>
  <si>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</si>
  <si>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</si>
  <si>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</si>
  <si>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</si>
  <si>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</si>
  <si>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</si>
  <si>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</si>
  <si>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</si>
  <si>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</si>
  <si>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</si>
  <si>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</si>
  <si>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</si>
  <si>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</si>
  <si>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</si>
  <si>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</si>
  <si>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</si>
  <si>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</si>
  <si>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</si>
  <si>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</si>
  <si>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</si>
  <si>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</si>
  <si>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</si>
  <si>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</si>
  <si>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</si>
  <si>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</si>
  <si>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</si>
  <si>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</si>
  <si>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</si>
  <si>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</si>
  <si>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</si>
  <si>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</si>
  <si>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</si>
  <si>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</si>
  <si>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</si>
  <si>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</si>
  <si>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</si>
  <si>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</si>
  <si>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</si>
  <si>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</si>
  <si>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</si>
  <si>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</si>
  <si>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</si>
  <si>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</si>
  <si>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</si>
  <si>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</si>
  <si>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</si>
  <si>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</si>
  <si>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</si>
  <si>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</si>
  <si>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</si>
  <si>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</si>
  <si>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</si>
  <si>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</si>
  <si>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</si>
  <si>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</si>
  <si>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</si>
  <si>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</si>
  <si>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</si>
  <si>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</si>
  <si>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</si>
  <si>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</si>
  <si>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</si>
  <si>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</si>
  <si>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</si>
  <si>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</si>
  <si>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</si>
  <si>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</si>
  <si>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</si>
  <si>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</si>
  <si>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</si>
  <si>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</si>
  <si>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</si>
  <si>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</si>
  <si>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</si>
  <si>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</si>
  <si>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</si>
  <si>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</si>
  <si>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</si>
  <si>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</si>
  <si>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</si>
  <si>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</si>
  <si>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</si>
  <si>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</si>
  <si>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</si>
  <si>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</si>
  <si>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</si>
  <si>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</si>
  <si>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</si>
  <si>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</si>
  <si>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</si>
  <si>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</si>
  <si>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</si>
  <si>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</si>
  <si>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</si>
  <si>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</si>
  <si>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</si>
  <si>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</si>
  <si>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</si>
  <si>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</si>
  <si>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</si>
  <si>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</si>
  <si>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</si>
  <si>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</si>
  <si>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</si>
  <si>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</si>
  <si>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</si>
  <si>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</si>
  <si>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</si>
  <si>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</si>
  <si>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</si>
  <si>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</si>
  <si>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</si>
  <si>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</si>
  <si>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</si>
  <si>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</si>
  <si>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</si>
  <si>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</si>
  <si>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</si>
  <si>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</si>
  <si>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</si>
  <si>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</si>
  <si>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</si>
  <si>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</si>
  <si>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</si>
  <si>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</si>
  <si>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</si>
  <si>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</si>
  <si>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</si>
  <si>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</si>
  <si>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</si>
  <si>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</si>
  <si>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</si>
  <si>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</si>
  <si>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</si>
  <si>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</si>
  <si>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</si>
  <si>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</si>
  <si>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</si>
  <si>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</si>
  <si>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</si>
  <si>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</si>
  <si>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</si>
  <si>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</si>
  <si>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</si>
  <si>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</si>
  <si>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</si>
  <si>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</si>
  <si>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</si>
  <si>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</si>
  <si>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</si>
  <si>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</si>
  <si>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</si>
  <si>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</si>
  <si>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</si>
  <si>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</si>
  <si>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</si>
  <si>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</si>
  <si>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</si>
  <si>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</si>
  <si>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</si>
  <si>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</si>
  <si>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</si>
  <si>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</si>
  <si>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</si>
  <si>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</si>
  <si>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</si>
  <si>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</si>
  <si>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</si>
  <si>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</si>
  <si>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</si>
  <si>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</si>
  <si>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</si>
  <si>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</si>
  <si>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</si>
  <si>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</si>
  <si>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</si>
  <si>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</si>
  <si>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</si>
  <si>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</si>
  <si>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</si>
  <si>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</si>
  <si>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</si>
  <si>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</si>
  <si>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</si>
  <si>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</si>
  <si>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</si>
  <si>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</si>
  <si>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</si>
  <si>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</si>
  <si>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</si>
  <si>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</si>
  <si>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</si>
  <si>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</si>
  <si>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</si>
  <si>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</si>
  <si>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</si>
  <si>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</si>
  <si>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</si>
  <si>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</si>
  <si>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</si>
  <si>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</si>
  <si>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</si>
  <si>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</si>
  <si>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</si>
  <si>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</si>
  <si>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</si>
  <si>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</si>
  <si>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</si>
  <si>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</si>
  <si>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</si>
  <si>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</si>
  <si>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</si>
  <si>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</si>
  <si>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</si>
  <si>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</si>
  <si>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</si>
  <si>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</si>
  <si>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</si>
  <si>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</si>
  <si>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</si>
  <si>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</si>
  <si>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</si>
  <si>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</si>
  <si>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</si>
  <si>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</si>
  <si>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</si>
  <si>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</si>
  <si>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</si>
  <si>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</si>
  <si>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</si>
  <si>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</si>
  <si>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</si>
  <si>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</si>
  <si>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</si>
  <si>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</si>
  <si>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</si>
  <si>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</si>
  <si>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</si>
  <si>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</si>
  <si>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</si>
  <si>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</si>
  <si>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</si>
  <si>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</si>
  <si>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</si>
  <si>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</si>
  <si>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</si>
  <si>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</si>
  <si>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</si>
  <si>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</si>
  <si>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</si>
  <si>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</si>
  <si>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</si>
  <si>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</si>
  <si>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</si>
  <si>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</si>
  <si>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</si>
  <si>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</si>
  <si>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</si>
  <si>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</si>
  <si>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</si>
  <si>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</si>
  <si>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</si>
  <si>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</si>
  <si>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</si>
  <si>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</si>
  <si>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</si>
  <si>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</si>
  <si>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</si>
  <si>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</si>
  <si>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</si>
  <si>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</si>
  <si>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</si>
  <si>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</si>
  <si>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</si>
  <si>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</si>
  <si>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</si>
  <si>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</si>
  <si>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</si>
  <si>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</si>
  <si>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</si>
  <si>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</si>
  <si>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</si>
  <si>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</si>
  <si>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</si>
  <si>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</si>
  <si>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</si>
  <si>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</si>
  <si>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</si>
  <si>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</si>
  <si>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</si>
  <si>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</si>
  <si>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</si>
  <si>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</si>
  <si>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</si>
  <si>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</si>
  <si>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</si>
  <si>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</si>
  <si>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</si>
  <si>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</si>
  <si>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</si>
  <si>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</si>
  <si>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</si>
  <si>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</si>
  <si>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</si>
  <si>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</si>
  <si>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</si>
  <si>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</si>
  <si>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</si>
  <si>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</si>
  <si>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</si>
  <si>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</si>
  <si>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</si>
  <si>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</si>
  <si>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</si>
  <si>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</si>
  <si>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</si>
  <si>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</si>
  <si>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</si>
  <si>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</si>
  <si>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</si>
  <si>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</si>
  <si>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</si>
  <si>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</si>
  <si>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</si>
  <si>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</si>
  <si>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</si>
  <si>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</si>
  <si>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</si>
  <si>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</si>
  <si>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</si>
  <si>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</si>
  <si>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</si>
  <si>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</si>
  <si>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</si>
  <si>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</si>
  <si>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</si>
  <si>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</si>
  <si>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</si>
  <si>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</si>
  <si>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</si>
  <si>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</si>
  <si>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</si>
  <si>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</si>
  <si>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</si>
  <si>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</si>
  <si>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</si>
  <si>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</si>
  <si>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</si>
  <si>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</si>
  <si>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</si>
  <si>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</si>
  <si>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</si>
  <si>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</si>
  <si>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</si>
  <si>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</si>
  <si>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</si>
  <si>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</si>
  <si>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</si>
  <si>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</si>
  <si>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</si>
  <si>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</si>
  <si>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</si>
  <si>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</si>
  <si>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</si>
  <si>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</si>
  <si>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</si>
  <si>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</si>
  <si>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</si>
  <si>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</si>
  <si>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</si>
  <si>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</si>
  <si>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</si>
  <si>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</si>
  <si>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</si>
  <si>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</si>
  <si>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</si>
  <si>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</si>
  <si>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</si>
  <si>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</si>
  <si>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</si>
  <si>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</si>
  <si>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</si>
  <si>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</si>
  <si>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</si>
  <si>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</si>
  <si>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</si>
  <si>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</si>
  <si>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</si>
  <si>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</si>
  <si>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</si>
  <si>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</si>
  <si>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</si>
  <si>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</si>
  <si>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</si>
  <si>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</si>
  <si>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</si>
  <si>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</si>
  <si>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</si>
  <si>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</si>
  <si>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</si>
  <si>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</si>
  <si>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</si>
  <si>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</si>
  <si>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</si>
  <si>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</si>
  <si>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</si>
  <si>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</si>
  <si>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</si>
  <si>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</si>
  <si>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</si>
  <si>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</si>
  <si>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</si>
  <si>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</si>
  <si>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</si>
  <si>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</si>
  <si>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</si>
  <si>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</si>
  <si>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</si>
  <si>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</si>
  <si>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</si>
  <si>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</si>
  <si>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</si>
  <si>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</si>
  <si>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</si>
  <si>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</si>
  <si>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</si>
  <si>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</si>
  <si>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</si>
  <si>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</si>
  <si>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</si>
  <si>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</si>
  <si>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</si>
  <si>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</si>
  <si>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</si>
  <si>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</si>
  <si>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</si>
  <si>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</si>
  <si>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</si>
  <si>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</si>
  <si>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</si>
  <si>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</si>
  <si>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</si>
  <si>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</si>
  <si>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</si>
  <si>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</si>
  <si>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</si>
  <si>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</si>
  <si>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</si>
  <si>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</si>
  <si>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</si>
  <si>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</si>
  <si>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</si>
  <si>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</si>
  <si>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</si>
  <si>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</si>
  <si>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</si>
  <si>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</si>
  <si>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</si>
  <si>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</si>
  <si>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</si>
  <si>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</si>
  <si>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</si>
  <si>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</si>
  <si>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</si>
  <si>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</si>
  <si>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</si>
  <si>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</si>
  <si>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</si>
  <si>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</si>
  <si>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</si>
  <si>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</si>
  <si>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</si>
  <si>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</si>
  <si>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</si>
  <si>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</si>
  <si>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</si>
  <si>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</si>
  <si>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</si>
  <si>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</si>
  <si>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</si>
  <si>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</si>
  <si>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</si>
  <si>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</si>
  <si>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</si>
  <si>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</si>
  <si>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</si>
  <si>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</si>
  <si>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</si>
  <si>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</si>
  <si>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</si>
  <si>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</si>
  <si>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</si>
  <si>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</si>
  <si>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</si>
  <si>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</si>
  <si>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</si>
  <si>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</si>
  <si>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</si>
  <si>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</si>
  <si>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</si>
  <si>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</si>
  <si>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</si>
  <si>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</si>
  <si>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</si>
  <si>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</si>
  <si>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</si>
  <si>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</si>
  <si>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</si>
  <si>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</si>
  <si>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</si>
  <si>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</si>
  <si>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</si>
  <si>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</si>
  <si>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</si>
  <si>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</si>
  <si>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</si>
  <si>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</si>
  <si>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</si>
  <si>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</si>
  <si>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</si>
  <si>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</si>
  <si>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</si>
  <si>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</si>
  <si>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</si>
  <si>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</si>
  <si>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</si>
  <si>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</si>
  <si>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</si>
  <si>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</si>
  <si>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</si>
  <si>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</si>
  <si>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</si>
  <si>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</si>
  <si>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</si>
  <si>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</si>
  <si>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</si>
  <si>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</si>
  <si>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</si>
  <si>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</si>
  <si>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</si>
  <si>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</si>
  <si>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</si>
  <si>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</si>
  <si>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</si>
  <si>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</si>
  <si>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</si>
  <si>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</si>
  <si>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</si>
  <si>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</si>
  <si>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</si>
  <si>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</si>
  <si>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</si>
  <si>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</si>
  <si>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</si>
  <si>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</si>
  <si>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</si>
  <si>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</si>
  <si>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</si>
  <si>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</si>
  <si>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</si>
  <si>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</si>
  <si>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</si>
  <si>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</si>
  <si>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</si>
  <si>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</si>
  <si>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</si>
  <si>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</si>
  <si>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</si>
  <si>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</si>
  <si>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</si>
  <si>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</si>
  <si>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</si>
  <si>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</si>
  <si>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</si>
  <si>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</si>
  <si>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</si>
  <si>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</si>
  <si>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</si>
  <si>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</si>
  <si>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</si>
  <si>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</si>
  <si>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</si>
  <si>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</si>
  <si>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</si>
  <si>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</si>
  <si>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</si>
  <si>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</si>
  <si>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</si>
  <si>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</si>
  <si>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</si>
  <si>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</si>
  <si>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</si>
  <si>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</si>
  <si>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</si>
  <si>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</si>
  <si>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</si>
  <si>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</si>
  <si>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</si>
  <si>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</si>
  <si>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</si>
  <si>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</si>
  <si>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</si>
  <si>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</si>
  <si>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</si>
  <si>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</si>
  <si>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</si>
  <si>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</si>
  <si>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</si>
  <si>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</si>
  <si>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</si>
  <si>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</si>
  <si>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</si>
  <si>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</si>
  <si>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</si>
  <si>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</si>
  <si>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</si>
  <si>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</si>
  <si>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</si>
  <si>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</si>
  <si>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</si>
  <si>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</si>
  <si>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</si>
  <si>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</si>
  <si>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</si>
  <si>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</si>
  <si>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</si>
  <si>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</si>
  <si>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</si>
  <si>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</si>
  <si>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</si>
  <si>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</si>
  <si>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</si>
  <si>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</si>
  <si>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</si>
  <si>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</si>
  <si>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</si>
  <si>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</si>
  <si>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</si>
  <si>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</si>
  <si>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</si>
  <si>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</si>
  <si>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</si>
  <si>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</si>
  <si>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</si>
  <si>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</si>
  <si>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</si>
  <si>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</si>
  <si>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</si>
  <si>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</si>
  <si>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</si>
  <si>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</si>
  <si>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</si>
  <si>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</si>
  <si>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</si>
  <si>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</si>
  <si>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</si>
  <si>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</si>
  <si>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</si>
  <si>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</si>
  <si>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</si>
  <si>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</si>
  <si>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</si>
  <si>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</si>
  <si>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</si>
  <si>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</si>
  <si>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</si>
  <si>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</si>
  <si>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</si>
  <si>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</si>
  <si>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</si>
  <si>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</si>
  <si>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</si>
  <si>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</si>
  <si>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</si>
  <si>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</si>
  <si>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</si>
  <si>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</si>
  <si>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</si>
  <si>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</si>
  <si>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</si>
  <si>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</si>
  <si>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</si>
  <si>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</si>
  <si>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</si>
  <si>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</si>
  <si>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</si>
  <si>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</si>
  <si>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</si>
  <si>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</si>
  <si>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</si>
  <si>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</si>
  <si>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</si>
  <si>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</si>
  <si>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</si>
  <si>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</si>
  <si>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</si>
  <si>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</si>
  <si>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</si>
  <si>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</si>
  <si>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</si>
  <si>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</si>
  <si>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</si>
  <si>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</si>
  <si>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</si>
  <si>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</si>
  <si>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</si>
  <si>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</si>
  <si>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</si>
  <si>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</si>
  <si>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</si>
  <si>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</si>
  <si>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</si>
  <si>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</si>
  <si>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</si>
  <si>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</si>
  <si>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</si>
  <si>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</si>
  <si>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</si>
  <si>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</si>
  <si>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</si>
  <si>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</si>
  <si>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</si>
  <si>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</si>
  <si>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</si>
  <si>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</si>
  <si>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</si>
  <si>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</si>
  <si>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</si>
  <si>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</si>
  <si>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</si>
  <si>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</si>
  <si>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</si>
  <si>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</si>
  <si>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</si>
  <si>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</si>
  <si>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</si>
  <si>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</si>
  <si>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</si>
  <si>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</si>
  <si>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</si>
  <si>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</si>
  <si>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</si>
  <si>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</si>
  <si>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</si>
  <si>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</si>
  <si>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</si>
  <si>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</si>
  <si>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</si>
  <si>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</si>
  <si>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</si>
  <si>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</si>
  <si>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</si>
  <si>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</si>
  <si>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</si>
  <si>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</si>
  <si>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</si>
  <si>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</si>
  <si>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</si>
  <si>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</si>
  <si>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</si>
  <si>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</si>
  <si>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</si>
  <si>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</si>
  <si>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</si>
  <si>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</si>
  <si>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</si>
  <si>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</si>
  <si>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</si>
  <si>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</si>
  <si>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</si>
  <si>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</si>
  <si>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</si>
  <si>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</si>
  <si>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</si>
  <si>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</si>
  <si>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</si>
  <si>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</si>
  <si>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</si>
  <si>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</si>
  <si>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</si>
  <si>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</si>
  <si>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</si>
  <si>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</si>
  <si>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</si>
  <si>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</si>
  <si>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</si>
  <si>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</si>
  <si>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</si>
  <si>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</si>
  <si>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</si>
  <si>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</si>
  <si>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</si>
  <si>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</si>
  <si>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</si>
  <si>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</si>
  <si>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</si>
  <si>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</si>
  <si>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</si>
  <si>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</si>
  <si>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</si>
  <si>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</si>
  <si>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</si>
  <si>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</si>
  <si>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</si>
  <si>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</si>
  <si>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</si>
  <si>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</si>
  <si>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</si>
  <si>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</si>
  <si>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</si>
  <si>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</si>
  <si>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</si>
  <si>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</si>
  <si>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</si>
  <si>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</si>
  <si>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</si>
  <si>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</si>
  <si>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</si>
  <si>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</si>
  <si>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</si>
  <si>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</si>
  <si>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</si>
  <si>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</si>
  <si>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</si>
  <si>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</si>
  <si>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</si>
  <si>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</si>
  <si>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</si>
  <si>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</si>
  <si>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</si>
  <si>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</si>
  <si>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</si>
  <si>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</si>
  <si>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</si>
  <si>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</si>
  <si>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</si>
  <si>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</si>
  <si>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</si>
  <si>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</si>
  <si>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</si>
  <si>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</si>
  <si>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</si>
  <si>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</si>
  <si>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</si>
  <si>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</si>
  <si>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</si>
  <si>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</si>
  <si>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</si>
  <si>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</si>
  <si>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</si>
  <si>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</si>
  <si>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</si>
  <si>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</si>
  <si>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</si>
  <si>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</si>
  <si>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</si>
  <si>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</si>
  <si>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</si>
  <si>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</si>
  <si>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</si>
  <si>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</si>
  <si>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</si>
  <si>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</si>
  <si>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</si>
  <si>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</si>
  <si>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</si>
  <si>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</si>
  <si>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</si>
  <si>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</si>
  <si>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</si>
  <si>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</si>
  <si>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</si>
  <si>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</si>
  <si>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</si>
  <si>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</si>
  <si>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</si>
  <si>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</si>
  <si>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</si>
  <si>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</si>
  <si>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</si>
  <si>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</si>
  <si>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</si>
  <si>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</si>
  <si>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</si>
  <si>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</si>
  <si>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</si>
  <si>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</si>
  <si>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</si>
  <si>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</si>
  <si>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</si>
  <si>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</si>
  <si>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</si>
  <si>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</si>
  <si>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</si>
  <si>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</si>
  <si>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</si>
  <si>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</si>
  <si>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</si>
  <si>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</si>
  <si>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</si>
  <si>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</si>
  <si>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</si>
  <si>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</si>
  <si>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</si>
  <si>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</si>
  <si>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</si>
  <si>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</si>
  <si>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</si>
  <si>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</si>
  <si>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</si>
  <si>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</si>
  <si>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</si>
  <si>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</si>
  <si>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</si>
  <si>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</si>
  <si>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</si>
  <si>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</si>
  <si>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</si>
  <si>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</si>
  <si>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</si>
  <si>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</si>
  <si>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</si>
  <si>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</si>
  <si>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</si>
  <si>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</si>
  <si>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</si>
  <si>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</si>
  <si>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</si>
  <si>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</si>
  <si>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</si>
  <si>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</si>
  <si>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</si>
  <si>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</si>
  <si>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</si>
  <si>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</si>
  <si>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</si>
  <si>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</si>
  <si>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</si>
  <si>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</si>
  <si>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</si>
  <si>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</si>
  <si>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</si>
  <si>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</si>
  <si>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</si>
  <si>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</si>
  <si>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</si>
  <si>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</si>
  <si>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</si>
  <si>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</si>
  <si>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</si>
  <si>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</si>
  <si>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</si>
  <si>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</si>
  <si>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</si>
  <si>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</si>
  <si>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</si>
  <si>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</si>
  <si>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</si>
  <si>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</si>
  <si>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</si>
  <si>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</si>
  <si>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</si>
  <si>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</si>
  <si>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</si>
  <si>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</si>
  <si>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</si>
  <si>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</si>
  <si>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</si>
  <si>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</si>
  <si>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</si>
  <si>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</si>
  <si>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</si>
  <si>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</si>
  <si>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</si>
  <si>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</si>
  <si>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</si>
  <si>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</si>
  <si>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</si>
  <si>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</si>
  <si>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</si>
  <si>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</si>
  <si>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</si>
  <si>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</si>
  <si>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</si>
  <si>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</si>
  <si>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</si>
  <si>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</si>
  <si>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</si>
  <si>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</si>
  <si>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</si>
  <si>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</si>
  <si>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</si>
  <si>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</si>
  <si>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</si>
  <si>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</si>
  <si>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</si>
  <si>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</si>
  <si>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</si>
  <si>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</si>
  <si>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</si>
  <si>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</si>
  <si>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</si>
  <si>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</si>
  <si>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</si>
  <si>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</si>
  <si>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</si>
  <si>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</si>
  <si>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</si>
  <si>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</si>
  <si>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</si>
  <si>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</si>
  <si>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</si>
  <si>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</si>
  <si>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</si>
  <si>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</si>
  <si>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</si>
  <si>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</si>
  <si>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</si>
  <si>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</si>
  <si>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</si>
  <si>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</si>
  <si>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</si>
  <si>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</si>
  <si>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</si>
  <si>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</si>
  <si>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</si>
  <si>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</si>
  <si>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</si>
  <si>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</si>
  <si>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</si>
  <si>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</si>
  <si>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</si>
  <si>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</si>
  <si>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</si>
  <si>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</si>
  <si>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</si>
  <si>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</si>
  <si>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</si>
  <si>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</si>
  <si>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</si>
  <si>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</si>
  <si>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</si>
  <si>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</si>
  <si>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</si>
  <si>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</si>
  <si>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</si>
  <si>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</si>
  <si>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</si>
  <si>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</si>
  <si>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</si>
  <si>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</si>
  <si>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</si>
  <si>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</si>
  <si>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</si>
  <si>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</si>
  <si>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</si>
  <si>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</si>
  <si>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</si>
  <si>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</si>
  <si>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</si>
  <si>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</si>
  <si>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</si>
  <si>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</si>
  <si>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</si>
  <si>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</si>
  <si>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</si>
  <si>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</si>
  <si>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</si>
  <si>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</si>
  <si>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</si>
  <si>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</si>
  <si>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</si>
  <si>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</si>
  <si>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</si>
  <si>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</si>
  <si>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</si>
  <si>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</si>
  <si>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</si>
  <si>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</si>
  <si>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</si>
  <si>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</si>
  <si>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</si>
  <si>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</si>
  <si>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</si>
  <si>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</si>
  <si>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</si>
  <si>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</si>
  <si>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</si>
  <si>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</si>
  <si>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</si>
  <si>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</si>
  <si>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</si>
  <si>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</si>
  <si>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</si>
  <si>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</si>
  <si>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</si>
  <si>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</si>
  <si>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</si>
  <si>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</si>
  <si>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</si>
  <si>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</si>
  <si>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</si>
  <si>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</si>
  <si>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</si>
  <si>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</si>
  <si>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</si>
  <si>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</si>
  <si>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</si>
  <si>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</si>
  <si>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</si>
  <si>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</si>
  <si>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</si>
  <si>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</si>
  <si>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</si>
  <si>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</si>
  <si>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</si>
  <si>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</si>
  <si>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</si>
  <si>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</si>
  <si>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</si>
  <si>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</si>
  <si>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</si>
  <si>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</si>
  <si>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</si>
  <si>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</si>
  <si>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</si>
  <si>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</si>
  <si>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</si>
  <si>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</si>
  <si>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</si>
  <si>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</si>
  <si>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</si>
  <si>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</si>
  <si>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</si>
  <si>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</si>
  <si>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</si>
  <si>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</si>
  <si>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</si>
  <si>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</si>
  <si>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</si>
  <si>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</si>
  <si>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</si>
  <si>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</si>
  <si>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</si>
  <si>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</si>
  <si>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</si>
  <si>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</si>
  <si>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</si>
  <si>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</si>
  <si>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</si>
  <si>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</si>
  <si>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</si>
  <si>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</si>
  <si>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</si>
  <si>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</si>
  <si>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</si>
  <si>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</si>
  <si>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</si>
  <si>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</si>
  <si>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</si>
  <si>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</si>
  <si>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</si>
  <si>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</si>
  <si>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</si>
  <si>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</si>
  <si>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</si>
  <si>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</si>
  <si>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</si>
  <si>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</si>
  <si>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</si>
  <si>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</si>
  <si>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</si>
  <si>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</si>
  <si>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</si>
  <si>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</si>
  <si>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</si>
  <si>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</si>
  <si>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</si>
  <si>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</si>
  <si>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</si>
  <si>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</si>
  <si>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</si>
  <si>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</si>
  <si>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</si>
  <si>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</si>
  <si>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</si>
  <si>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</si>
  <si>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</si>
  <si>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</si>
  <si>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</si>
  <si>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</si>
  <si>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</si>
  <si>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</si>
  <si>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</si>
  <si>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</si>
  <si>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</si>
  <si>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</si>
  <si>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</si>
  <si>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</si>
  <si>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</si>
  <si>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</si>
  <si>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</si>
  <si>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</si>
  <si>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</si>
  <si>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</si>
  <si>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</si>
  <si>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</si>
  <si>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</si>
  <si>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</si>
  <si>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</si>
  <si>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</si>
  <si>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</si>
  <si>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</si>
  <si>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</si>
  <si>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</si>
  <si>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</si>
  <si>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</si>
  <si>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</si>
  <si>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</si>
  <si>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</si>
  <si>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</si>
  <si>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</si>
  <si>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</si>
  <si>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</si>
  <si>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</si>
  <si>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</si>
  <si>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</si>
  <si>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</si>
  <si>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</si>
  <si>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</si>
  <si>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</si>
  <si>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</si>
  <si>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</si>
  <si>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</si>
  <si>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</si>
  <si>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</si>
  <si>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</si>
  <si>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</si>
  <si>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</si>
  <si>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</si>
  <si>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</si>
  <si>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</si>
  <si>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</si>
  <si>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</si>
  <si>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</si>
  <si>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</si>
  <si>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</si>
  <si>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</si>
  <si>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</si>
  <si>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</si>
  <si>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</si>
  <si>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</si>
  <si>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</si>
  <si>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</si>
  <si>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</si>
  <si>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</si>
  <si>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</si>
  <si>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</si>
  <si>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</si>
  <si>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</si>
  <si>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</si>
  <si>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</si>
  <si>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</si>
  <si>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</si>
  <si>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</si>
  <si>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</si>
  <si>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</si>
  <si>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</si>
  <si>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</si>
  <si>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</si>
  <si>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</si>
  <si>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</si>
  <si>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</si>
  <si>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</si>
  <si>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</si>
  <si>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</si>
  <si>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</si>
  <si>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</si>
  <si>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</si>
  <si>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</si>
  <si>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</si>
  <si>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</si>
  <si>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</si>
  <si>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</si>
  <si>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</si>
  <si>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</si>
  <si>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</si>
  <si>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</si>
  <si>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</si>
  <si>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</si>
  <si>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</si>
  <si>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</si>
  <si>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</si>
  <si>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</si>
  <si>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</si>
  <si>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</si>
  <si>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</si>
  <si>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</si>
  <si>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</si>
  <si>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</si>
  <si>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</si>
  <si>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</si>
  <si>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</si>
  <si>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</si>
  <si>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</si>
  <si>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</si>
  <si>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</si>
  <si>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</si>
  <si>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</si>
  <si>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</si>
  <si>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</si>
  <si>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</si>
  <si>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</si>
  <si>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</si>
  <si>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</si>
  <si>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</si>
  <si>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</si>
  <si>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</si>
  <si>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</si>
  <si>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</si>
  <si>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</si>
  <si>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</si>
  <si>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</si>
  <si>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</si>
  <si>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</si>
  <si>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</si>
  <si>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</si>
  <si>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</si>
  <si>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</si>
  <si>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</si>
  <si>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</si>
  <si>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</si>
  <si>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</si>
  <si>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</si>
  <si>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</si>
  <si>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</si>
  <si>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</si>
  <si>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</si>
  <si>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</si>
  <si>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</si>
  <si>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</si>
  <si>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</si>
  <si>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</si>
  <si>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</si>
  <si>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</si>
  <si>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</si>
  <si>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</si>
  <si>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</si>
  <si>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</si>
  <si>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</si>
  <si>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</si>
  <si>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</si>
  <si>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</si>
  <si>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</si>
  <si>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</si>
  <si>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</si>
  <si>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</si>
  <si>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</si>
  <si>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</si>
  <si>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</si>
  <si>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</si>
  <si>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</si>
  <si>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</si>
  <si>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</si>
  <si>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</si>
  <si>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</si>
  <si>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</si>
  <si>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</si>
  <si>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</si>
  <si>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</si>
  <si>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</si>
  <si>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</si>
  <si>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</si>
  <si>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</si>
  <si>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</si>
  <si>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</si>
  <si>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</si>
  <si>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</si>
  <si>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</si>
  <si>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</si>
  <si>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</si>
  <si>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</si>
  <si>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</si>
  <si>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</si>
  <si>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</si>
  <si>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</si>
  <si>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</si>
  <si>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</si>
  <si>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</si>
  <si>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</si>
  <si>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</si>
  <si>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</si>
  <si>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</si>
  <si>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</si>
  <si>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</si>
  <si>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</si>
  <si>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</si>
  <si>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</si>
  <si>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</si>
  <si>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</si>
  <si>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</si>
  <si>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</si>
  <si>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</si>
  <si>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</si>
  <si>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</si>
  <si>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</si>
  <si>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</si>
  <si>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</si>
  <si>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</si>
  <si>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</si>
  <si>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</si>
  <si>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</si>
  <si>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</si>
  <si>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</si>
  <si>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</si>
  <si>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</si>
  <si>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</si>
  <si>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</si>
  <si>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</si>
  <si>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</si>
  <si>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</si>
  <si>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</si>
  <si>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</si>
  <si>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</si>
  <si>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</si>
  <si>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</si>
  <si>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</si>
  <si>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</si>
  <si>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</si>
  <si>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</si>
  <si>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</si>
  <si>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</si>
  <si>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</si>
  <si>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</si>
  <si>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</si>
  <si>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</si>
  <si>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</si>
  <si>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</si>
  <si>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</si>
  <si>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</si>
  <si>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</si>
  <si>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</si>
  <si>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</si>
  <si>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</si>
  <si>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</si>
  <si>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</si>
  <si>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</si>
  <si>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</si>
  <si>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</si>
  <si>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</si>
  <si>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</si>
  <si>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</si>
  <si>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</si>
  <si>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</si>
  <si>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</si>
  <si>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</si>
  <si>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</si>
  <si>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</si>
  <si>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</si>
  <si>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</si>
  <si>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</si>
  <si>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</si>
  <si>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</si>
  <si>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</si>
  <si>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</si>
  <si>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</si>
  <si>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</si>
  <si>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</si>
  <si>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</si>
  <si>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</si>
  <si>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</si>
  <si>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</si>
  <si>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</si>
  <si>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</si>
  <si>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</si>
  <si>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</si>
  <si>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</si>
  <si>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</si>
  <si>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</si>
  <si>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</si>
  <si>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</si>
  <si>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</si>
  <si>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</si>
  <si>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</si>
  <si>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</si>
  <si>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</si>
  <si>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</si>
  <si>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</si>
  <si>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</si>
  <si>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</si>
  <si>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</si>
  <si>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</si>
  <si>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</si>
  <si>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</si>
  <si>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</si>
  <si>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</si>
  <si>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</si>
  <si>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</si>
  <si>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</si>
  <si>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</si>
  <si>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</si>
  <si>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</si>
  <si>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</si>
  <si>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</si>
  <si>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</si>
  <si>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</si>
  <si>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</si>
  <si>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</si>
  <si>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</si>
  <si>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</si>
  <si>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</si>
  <si>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</si>
  <si>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</si>
  <si>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</si>
  <si>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</si>
  <si>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</si>
  <si>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</si>
  <si>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</si>
  <si>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</si>
  <si>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</si>
  <si>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</si>
  <si>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</si>
  <si>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</si>
  <si>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</si>
  <si>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</si>
  <si>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</si>
  <si>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</si>
  <si>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</si>
  <si>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</si>
  <si>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</si>
  <si>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</si>
  <si>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</si>
  <si>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</si>
  <si>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</si>
  <si>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</si>
  <si>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</si>
  <si>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</si>
  <si>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</si>
  <si>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</si>
  <si>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</si>
  <si>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</si>
  <si>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</si>
  <si>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</si>
  <si>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</si>
  <si>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</si>
  <si>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</si>
  <si>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</si>
  <si>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</si>
  <si>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</si>
  <si>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</si>
  <si>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</si>
  <si>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</si>
  <si>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</si>
  <si>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</si>
  <si>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</si>
  <si>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</si>
  <si>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</si>
  <si>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</si>
  <si>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</si>
  <si>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</si>
  <si>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</si>
  <si>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</si>
  <si>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</si>
  <si>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</si>
  <si>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</si>
  <si>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</si>
  <si>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</si>
  <si>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</si>
  <si>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</si>
  <si>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</si>
  <si>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</si>
  <si>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</si>
  <si>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</si>
  <si>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</si>
  <si>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</si>
  <si>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</si>
  <si>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</si>
  <si>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</si>
  <si>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</si>
  <si>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</si>
  <si>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</si>
  <si>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</si>
  <si>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</si>
  <si>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</si>
  <si>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</si>
  <si>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</si>
  <si>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</si>
  <si>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</si>
  <si>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</si>
  <si>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</si>
  <si>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</si>
  <si>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</si>
  <si>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</si>
  <si>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</si>
  <si>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</si>
  <si>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</si>
  <si>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</si>
  <si>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</si>
  <si>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</si>
  <si>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</si>
  <si>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</si>
  <si>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</si>
  <si>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</si>
  <si>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</si>
  <si>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</si>
  <si>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</si>
  <si>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</si>
  <si>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</si>
  <si>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</si>
  <si>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</si>
  <si>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</si>
  <si>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</si>
  <si>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</si>
  <si>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</si>
  <si>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</si>
  <si>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</si>
  <si>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</si>
  <si>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</si>
  <si>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</si>
  <si>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</si>
  <si>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</si>
  <si>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</si>
  <si>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</si>
  <si>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</si>
  <si>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</si>
  <si>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</si>
  <si>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</si>
  <si>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</si>
  <si>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</si>
  <si>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</si>
  <si>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</si>
  <si>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</si>
  <si>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</si>
  <si>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</si>
  <si>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</si>
  <si>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</si>
  <si>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</si>
  <si>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</si>
  <si>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</si>
  <si>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</si>
  <si>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</si>
  <si>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</si>
  <si>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</si>
  <si>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</si>
  <si>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</si>
  <si>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</si>
  <si>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</si>
  <si>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</si>
  <si>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</si>
  <si>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</si>
  <si>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</si>
  <si>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</si>
  <si>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</si>
  <si>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</si>
  <si>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</si>
  <si>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</si>
  <si>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</si>
  <si>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</si>
  <si>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</si>
  <si>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</si>
  <si>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</si>
  <si>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</si>
  <si>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</si>
  <si>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</si>
  <si>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</si>
  <si>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</si>
  <si>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</si>
  <si>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</si>
  <si>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</si>
  <si>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</si>
  <si>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</si>
  <si>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</si>
  <si>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</si>
  <si>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</si>
  <si>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</si>
  <si>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</si>
  <si>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</si>
  <si>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</si>
  <si>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</si>
  <si>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</si>
  <si>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</si>
  <si>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</si>
  <si>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</si>
  <si>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</si>
  <si>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</si>
  <si>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</si>
  <si>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</si>
  <si>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</si>
  <si>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</si>
  <si>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</si>
  <si>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</si>
  <si>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</si>
  <si>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</si>
  <si>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</si>
  <si>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</si>
  <si>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</si>
  <si>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</si>
  <si>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</si>
  <si>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</si>
  <si>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</si>
  <si>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</si>
  <si>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</si>
  <si>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</si>
  <si>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</si>
  <si>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</si>
  <si>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</si>
  <si>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</si>
  <si>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</si>
  <si>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</si>
  <si>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</si>
  <si>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</si>
  <si>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</si>
  <si>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</si>
  <si>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</si>
  <si>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</si>
  <si>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</si>
  <si>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</si>
  <si>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</si>
  <si>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</si>
  <si>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</si>
  <si>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</si>
  <si>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</si>
  <si>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</si>
  <si>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</si>
  <si>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</si>
  <si>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</si>
  <si>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</si>
  <si>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</si>
  <si>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</si>
  <si>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</si>
  <si>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</si>
  <si>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</si>
  <si>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</si>
  <si>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</si>
  <si>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</si>
  <si>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</si>
  <si>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</si>
  <si>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</si>
  <si>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</si>
  <si>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</si>
  <si>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</si>
  <si>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</si>
  <si>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</si>
  <si>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</si>
  <si>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</si>
  <si>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</si>
  <si>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</si>
  <si>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</si>
  <si>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</si>
  <si>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</si>
  <si>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</si>
  <si>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</si>
  <si>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</si>
  <si>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</si>
  <si>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</si>
  <si>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</si>
  <si>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</si>
  <si>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</si>
  <si>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</si>
  <si>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</si>
  <si>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</si>
  <si>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</si>
  <si>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</si>
  <si>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</si>
  <si>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</si>
  <si>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</si>
  <si>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</si>
  <si>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</si>
  <si>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</si>
  <si>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</si>
  <si>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</si>
  <si>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</si>
  <si>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</si>
  <si>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</si>
  <si>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</si>
  <si>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</si>
  <si>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</si>
  <si>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</si>
  <si>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</si>
  <si>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</si>
  <si>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</si>
  <si>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</si>
  <si>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</si>
  <si>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</si>
  <si>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</si>
  <si>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</si>
  <si>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</si>
  <si>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</si>
  <si>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</si>
  <si>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</si>
  <si>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</si>
  <si>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</si>
  <si>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</si>
  <si>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</si>
  <si>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</si>
  <si>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</si>
  <si>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</si>
  <si>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</si>
  <si>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</si>
  <si>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</si>
  <si>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</si>
  <si>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</si>
  <si>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</si>
  <si>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</si>
  <si>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</si>
  <si>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</si>
  <si>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</si>
  <si>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</si>
  <si>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</si>
  <si>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</si>
  <si>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</si>
  <si>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</si>
  <si>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</si>
  <si>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</si>
  <si>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</si>
  <si>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</si>
  <si>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</si>
  <si>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</si>
  <si>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</si>
  <si>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</si>
  <si>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</si>
  <si>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</si>
  <si>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</si>
  <si>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</si>
  <si>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</si>
  <si>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</si>
  <si>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</si>
  <si>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</si>
  <si>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</si>
  <si>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</si>
  <si>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</si>
  <si>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</si>
  <si>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</si>
  <si>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</si>
  <si>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</si>
  <si>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</si>
  <si>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</si>
  <si>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</si>
  <si>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</si>
  <si>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</si>
  <si>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</si>
  <si>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</si>
  <si>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</si>
  <si>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</si>
  <si>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</si>
  <si>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</si>
  <si>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</si>
  <si>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</si>
  <si>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</si>
  <si>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</si>
  <si>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</si>
  <si>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</si>
  <si>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</si>
  <si>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</si>
  <si>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</si>
  <si>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</si>
  <si>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</si>
  <si>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</si>
  <si>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</si>
  <si>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</si>
  <si>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</si>
  <si>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</si>
  <si>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</si>
  <si>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</si>
  <si>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</si>
  <si>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</si>
  <si>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</si>
  <si>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</si>
  <si>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</si>
  <si>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</si>
  <si>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</si>
  <si>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</si>
  <si>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</si>
  <si>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</si>
  <si>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</si>
  <si>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</si>
  <si>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</si>
  <si>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</si>
  <si>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</si>
  <si>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</si>
  <si>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</si>
  <si>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</si>
  <si>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</si>
  <si>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</si>
  <si>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</si>
  <si>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</si>
  <si>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</si>
  <si>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</si>
  <si>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</si>
  <si>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</si>
  <si>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</si>
  <si>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</si>
  <si>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</si>
  <si>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</si>
  <si>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</si>
  <si>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</si>
  <si>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</si>
  <si>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</si>
  <si>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</si>
  <si>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</si>
  <si>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</si>
  <si>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</si>
  <si>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</si>
  <si>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</si>
  <si>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</si>
  <si>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</si>
  <si>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</si>
  <si>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</si>
  <si>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</si>
  <si>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</si>
  <si>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</si>
  <si>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</si>
  <si>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</si>
  <si>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</si>
  <si>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</si>
  <si>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</si>
  <si>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</si>
  <si>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</si>
  <si>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</si>
  <si>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</si>
  <si>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</si>
  <si>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</si>
  <si>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</si>
  <si>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</si>
  <si>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</si>
  <si>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</si>
  <si>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</si>
  <si>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</si>
  <si>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</si>
  <si>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</si>
  <si>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</si>
  <si>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</si>
  <si>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</si>
  <si>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</si>
  <si>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</si>
  <si>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</si>
  <si>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</si>
  <si>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</si>
  <si>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</si>
  <si>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</si>
  <si>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</si>
  <si>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</si>
  <si>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</si>
  <si>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</si>
  <si>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</si>
  <si>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</si>
  <si>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</si>
  <si>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</si>
  <si>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</si>
  <si>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</si>
  <si>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</si>
  <si>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</si>
  <si>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</si>
  <si>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</si>
  <si>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</si>
  <si>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</si>
  <si>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</si>
  <si>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</si>
  <si>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</si>
  <si>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</si>
  <si>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</si>
  <si>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</si>
  <si>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</si>
  <si>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</si>
  <si>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</si>
  <si>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</si>
  <si>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</si>
  <si>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</si>
  <si>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</si>
  <si>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</si>
  <si>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</si>
  <si>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</si>
  <si>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</si>
  <si>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</si>
  <si>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</si>
  <si>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</si>
  <si>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</si>
  <si>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</si>
  <si>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</si>
  <si>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</si>
  <si>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</si>
  <si>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</si>
  <si>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</si>
  <si>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</si>
  <si>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</si>
  <si>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</si>
  <si>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</si>
  <si>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</si>
  <si>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</si>
  <si>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</si>
  <si>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</si>
  <si>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</si>
  <si>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</si>
  <si>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</si>
  <si>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</si>
  <si>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</si>
  <si>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</si>
  <si>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</si>
  <si>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</si>
  <si>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</si>
  <si>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</si>
  <si>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</si>
  <si>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</si>
  <si>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</si>
  <si>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</si>
  <si>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</si>
  <si>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</si>
  <si>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</si>
  <si>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</si>
  <si>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</si>
  <si>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</si>
  <si>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</si>
  <si>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</si>
  <si>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</si>
  <si>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</si>
  <si>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</si>
  <si>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</si>
  <si>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</si>
  <si>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</si>
  <si>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</si>
  <si>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</si>
  <si>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</si>
  <si>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</si>
  <si>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</si>
  <si>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</si>
  <si>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</si>
  <si>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</si>
  <si>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</si>
  <si>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</si>
  <si>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</si>
  <si>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</si>
  <si>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</si>
  <si>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</si>
  <si>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</si>
  <si>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</si>
  <si>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</si>
  <si>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</si>
  <si>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</si>
  <si>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</si>
  <si>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</si>
  <si>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</si>
  <si>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</si>
  <si>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</si>
  <si>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</si>
  <si>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</si>
  <si>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</si>
  <si>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</si>
  <si>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</si>
  <si>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</si>
  <si>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</si>
  <si>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</si>
  <si>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</si>
  <si>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</si>
  <si>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</si>
  <si>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</si>
  <si>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</si>
  <si>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</si>
  <si>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</si>
  <si>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</si>
  <si>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</si>
  <si>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</si>
  <si>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</si>
  <si>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</si>
  <si>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</si>
  <si>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</si>
  <si>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</si>
  <si>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</si>
  <si>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</si>
  <si>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</si>
  <si>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</si>
  <si>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</si>
  <si>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</si>
  <si>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</si>
  <si>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</si>
  <si>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</si>
  <si>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</si>
  <si>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</si>
  <si>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</si>
  <si>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</si>
  <si>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</si>
  <si>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</si>
  <si>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</si>
  <si>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</si>
  <si>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</si>
  <si>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</si>
  <si>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</si>
  <si>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</si>
  <si>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</si>
  <si>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</si>
  <si>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</si>
  <si>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</si>
  <si>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</si>
  <si>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</si>
  <si>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</si>
  <si>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</si>
  <si>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</si>
  <si>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</si>
  <si>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</si>
  <si>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</si>
  <si>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</si>
  <si>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</si>
  <si>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</si>
  <si>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</si>
  <si>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</si>
  <si>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</si>
  <si>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</si>
  <si>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</si>
  <si>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</si>
  <si>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</si>
  <si>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</si>
  <si>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</si>
  <si>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</si>
  <si>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</si>
  <si>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</si>
  <si>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</si>
  <si>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</si>
  <si>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</si>
  <si>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</si>
  <si>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</si>
  <si>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</si>
  <si>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</si>
  <si>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</si>
  <si>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</si>
  <si>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</si>
  <si>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</si>
  <si>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</si>
  <si>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</si>
  <si>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</si>
  <si>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</si>
  <si>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</si>
  <si>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</si>
  <si>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</si>
  <si>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</si>
  <si>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</si>
  <si>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</si>
  <si>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</si>
  <si>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</si>
  <si>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</si>
  <si>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</si>
  <si>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</si>
  <si>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</si>
  <si>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</si>
  <si>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</si>
  <si>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</si>
  <si>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</si>
  <si>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</si>
  <si>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</si>
  <si>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</si>
  <si>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</si>
  <si>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</si>
  <si>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</si>
  <si>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</si>
  <si>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</si>
  <si>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</si>
  <si>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</si>
  <si>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</si>
  <si>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</si>
  <si>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</si>
  <si>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</si>
  <si>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</si>
  <si>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</si>
  <si>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</si>
  <si>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</si>
  <si>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</si>
  <si>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</si>
  <si>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</si>
  <si>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</si>
  <si>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</si>
  <si>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</si>
  <si>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</si>
  <si>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</si>
  <si>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</si>
  <si>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</si>
  <si>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</si>
  <si>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</si>
  <si>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</si>
  <si>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</si>
  <si>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</si>
  <si>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</si>
  <si>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</si>
  <si>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</si>
  <si>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</si>
  <si>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</si>
  <si>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</si>
  <si>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</si>
  <si>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</si>
  <si>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</si>
  <si>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</si>
  <si>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</si>
  <si>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</si>
  <si>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</si>
  <si>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</si>
  <si>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</si>
  <si>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</si>
  <si>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</si>
  <si>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</si>
  <si>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</si>
  <si>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</si>
  <si>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</si>
  <si>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</si>
  <si>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</si>
  <si>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</si>
  <si>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</si>
  <si>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</si>
  <si>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</si>
  <si>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</si>
  <si>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</si>
  <si>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</si>
  <si>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</si>
  <si>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</si>
  <si>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</si>
  <si>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</si>
  <si>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</si>
  <si>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</si>
  <si>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</si>
  <si>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</si>
  <si>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</si>
  <si>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</si>
  <si>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</si>
  <si>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</si>
  <si>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</si>
  <si>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</si>
  <si>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</si>
  <si>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</si>
  <si>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</si>
  <si>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</si>
  <si>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</si>
  <si>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</si>
  <si>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</si>
  <si>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</si>
  <si>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</si>
  <si>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</si>
  <si>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</si>
  <si>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</si>
  <si>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</si>
  <si>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</si>
  <si>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</si>
  <si>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</si>
  <si>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</si>
  <si>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</si>
  <si>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</si>
  <si>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</si>
  <si>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</si>
  <si>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</si>
  <si>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</si>
  <si>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</si>
  <si>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</si>
  <si>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</si>
  <si>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</si>
  <si>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</si>
  <si>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</si>
  <si>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</si>
  <si>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</si>
  <si>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</si>
  <si>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</si>
  <si>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</si>
  <si>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</si>
  <si>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</si>
  <si>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</si>
  <si>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</si>
  <si>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</si>
  <si>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</si>
  <si>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</si>
  <si>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</si>
  <si>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</si>
  <si>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</si>
  <si>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</si>
  <si>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</si>
  <si>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</si>
  <si>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</si>
  <si>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</si>
  <si>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</si>
  <si>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</si>
  <si>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</si>
  <si>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</si>
  <si>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</si>
  <si>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</si>
  <si>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</si>
  <si>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</si>
  <si>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</si>
  <si>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</si>
  <si>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</si>
  <si>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</si>
  <si>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</si>
  <si>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</si>
  <si>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</si>
  <si>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</si>
  <si>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</si>
  <si>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</si>
  <si>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</si>
  <si>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</si>
  <si>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</si>
  <si>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</si>
  <si>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</si>
  <si>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</si>
  <si>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</si>
  <si>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</si>
  <si>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</si>
  <si>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</si>
  <si>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</si>
  <si>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</si>
  <si>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</si>
  <si>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</si>
  <si>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</si>
  <si>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</si>
  <si>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</si>
  <si>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</si>
  <si>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</si>
  <si>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</si>
  <si>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</si>
  <si>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</si>
  <si>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</si>
  <si>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</si>
  <si>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</si>
  <si>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</si>
  <si>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</si>
  <si>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</si>
  <si>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</si>
  <si>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</si>
  <si>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</si>
  <si>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</si>
  <si>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</si>
  <si>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</si>
  <si>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</si>
  <si>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</si>
  <si>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</si>
  <si>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</si>
  <si>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</si>
  <si>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</si>
  <si>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</si>
  <si>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</si>
  <si>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</si>
  <si>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</si>
  <si>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</si>
  <si>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</si>
  <si>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</si>
  <si>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</si>
  <si>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</si>
  <si>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</si>
  <si>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</si>
  <si>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</si>
  <si>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</si>
  <si>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</si>
  <si>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</si>
  <si>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</si>
  <si>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</si>
  <si>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</si>
  <si>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</si>
  <si>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</si>
  <si>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</si>
  <si>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</si>
  <si>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</si>
  <si>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</si>
  <si>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</si>
  <si>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</si>
  <si>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</si>
  <si>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</si>
  <si>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</si>
  <si>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</si>
  <si>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</si>
  <si>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</si>
  <si>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</si>
  <si>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</si>
  <si>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</si>
  <si>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</si>
  <si>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</si>
  <si>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</si>
  <si>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</si>
  <si>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</si>
  <si>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</si>
  <si>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</si>
  <si>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</si>
  <si>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</si>
  <si>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</si>
  <si>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</si>
  <si>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</si>
  <si>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</si>
  <si>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</si>
  <si>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</si>
  <si>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</si>
  <si>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</si>
  <si>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</si>
  <si>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</si>
  <si>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</si>
  <si>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</si>
  <si>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</si>
  <si>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</si>
  <si>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</si>
  <si>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</si>
  <si>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</si>
  <si>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</si>
  <si>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</si>
  <si>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</si>
  <si>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</si>
  <si>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</si>
  <si>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</si>
  <si>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</si>
  <si>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</si>
  <si>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</si>
  <si>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</si>
  <si>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</si>
  <si>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</si>
  <si>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</si>
  <si>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</si>
  <si>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</si>
  <si>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</si>
  <si>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</si>
  <si>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</si>
  <si>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</si>
  <si>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</si>
  <si>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</si>
  <si>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</si>
  <si>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</si>
  <si>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</si>
  <si>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</si>
  <si>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</si>
  <si>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</si>
  <si>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</si>
  <si>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</si>
  <si>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</si>
  <si>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</si>
  <si>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</si>
  <si>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</si>
  <si>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</si>
  <si>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</si>
  <si>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</si>
  <si>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</si>
  <si>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</si>
  <si>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</si>
  <si>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</si>
  <si>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</si>
  <si>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</si>
  <si>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</si>
  <si>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</si>
  <si>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</si>
  <si>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</si>
  <si>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</si>
  <si>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</si>
  <si>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</si>
  <si>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</si>
  <si>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</si>
  <si>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</si>
  <si>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</si>
  <si>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</si>
  <si>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</si>
  <si>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</si>
  <si>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</si>
  <si>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</si>
  <si>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</si>
  <si>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</si>
  <si>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</si>
  <si>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</si>
  <si>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</si>
  <si>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</si>
  <si>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</si>
  <si>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</si>
  <si>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</si>
  <si>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</si>
  <si>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</si>
  <si>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</si>
  <si>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</si>
  <si>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</si>
  <si>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</si>
  <si>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</si>
  <si>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</si>
  <si>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</si>
  <si>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</si>
  <si>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</si>
  <si>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</si>
  <si>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</si>
  <si>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</si>
  <si>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</si>
  <si>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</si>
  <si>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</si>
  <si>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</si>
  <si>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</si>
  <si>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</si>
  <si>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</si>
  <si>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</si>
  <si>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</si>
  <si>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</si>
  <si>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</si>
  <si>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</si>
  <si>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</si>
  <si>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</si>
  <si>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</si>
  <si>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</si>
  <si>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</si>
  <si>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</si>
  <si>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</si>
  <si>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</si>
  <si>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</si>
  <si>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</si>
  <si>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</si>
  <si>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</si>
  <si>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</si>
  <si>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</si>
  <si>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</si>
  <si>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</si>
  <si>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</si>
  <si>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</si>
  <si>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</si>
  <si>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</si>
  <si>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</si>
  <si>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</si>
  <si>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</si>
  <si>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</si>
  <si>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</si>
  <si>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</si>
  <si>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</si>
  <si>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</si>
  <si>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</si>
  <si>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</si>
  <si>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</si>
  <si>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</si>
  <si>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</si>
  <si>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</si>
  <si>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</si>
  <si>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</si>
  <si>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</si>
  <si>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</si>
  <si>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</si>
  <si>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</si>
  <si>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</si>
  <si>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</si>
  <si>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</si>
  <si>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</si>
  <si>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</si>
  <si>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</si>
  <si>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</si>
  <si>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</si>
  <si>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</si>
  <si>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</si>
  <si>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</si>
  <si>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</si>
  <si>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</si>
  <si>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</si>
  <si>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</si>
  <si>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</si>
  <si>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</si>
  <si>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</si>
  <si>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</si>
  <si>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</si>
  <si>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</si>
  <si>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</si>
  <si>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</si>
  <si>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</si>
  <si>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</si>
  <si>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</si>
  <si>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</si>
  <si>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</si>
  <si>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</si>
  <si>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</si>
  <si>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</si>
  <si>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</si>
  <si>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</si>
  <si>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</si>
  <si>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</si>
  <si>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</si>
  <si>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</si>
  <si>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</si>
  <si>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</si>
  <si>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</si>
  <si>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</si>
  <si>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</si>
  <si>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</si>
  <si>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</si>
  <si>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</si>
  <si>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</si>
  <si>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</si>
  <si>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</si>
  <si>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</si>
  <si>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</si>
  <si>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</si>
  <si>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</si>
  <si>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</si>
  <si>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</si>
  <si>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</si>
  <si>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</si>
  <si>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</si>
  <si>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</si>
  <si>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</si>
  <si>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</si>
  <si>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</si>
  <si>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</si>
  <si>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</si>
  <si>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</si>
  <si>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</si>
  <si>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</si>
  <si>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</si>
  <si>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</si>
  <si>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</si>
  <si>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</si>
  <si>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</si>
  <si>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</si>
  <si>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</si>
  <si>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</si>
  <si>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</si>
  <si>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</si>
  <si>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</si>
  <si>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</si>
  <si>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</si>
  <si>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</si>
  <si>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</si>
  <si>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</si>
  <si>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</si>
  <si>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</si>
  <si>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</si>
  <si>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</si>
  <si>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</si>
  <si>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</si>
  <si>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</si>
  <si>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</si>
  <si>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</si>
  <si>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</si>
  <si>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</si>
  <si>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</si>
  <si>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</si>
  <si>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</si>
  <si>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</si>
  <si>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</si>
  <si>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</si>
  <si>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</si>
  <si>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</si>
  <si>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</si>
  <si>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</si>
  <si>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</si>
  <si>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</si>
  <si>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</si>
  <si>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</si>
  <si>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</si>
  <si>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</si>
  <si>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</si>
  <si>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</si>
  <si>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</si>
  <si>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</si>
  <si>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</si>
  <si>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</si>
  <si>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</si>
  <si>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</si>
  <si>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</si>
  <si>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</si>
  <si>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</si>
  <si>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</si>
  <si>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</si>
  <si>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</si>
  <si>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</si>
  <si>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</si>
  <si>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</si>
  <si>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</si>
  <si>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</si>
  <si>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</si>
  <si>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</si>
  <si>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</si>
  <si>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</si>
  <si>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</si>
  <si>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</si>
  <si>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</si>
  <si>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</si>
  <si>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</si>
  <si>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</si>
  <si>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</si>
  <si>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</si>
  <si>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</si>
  <si>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</si>
  <si>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</si>
  <si>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</si>
  <si>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</si>
  <si>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</si>
  <si>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</si>
  <si>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</si>
  <si>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</si>
  <si>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</si>
  <si>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</si>
  <si>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</si>
  <si>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</si>
  <si>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</si>
  <si>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</si>
  <si>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</si>
  <si>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</si>
  <si>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</si>
  <si>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</si>
  <si>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</si>
  <si>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</si>
  <si>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</si>
  <si>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</si>
  <si>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</si>
  <si>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</si>
  <si>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</si>
  <si>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</si>
  <si>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</si>
  <si>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</si>
  <si>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</si>
  <si>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</si>
  <si>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</si>
  <si>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</si>
  <si>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</si>
  <si>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</si>
  <si>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</si>
  <si>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</si>
  <si>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</si>
  <si>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</si>
  <si>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</si>
  <si>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</si>
  <si>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</si>
  <si>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</si>
  <si>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</si>
  <si>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</si>
  <si>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</si>
  <si>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</si>
  <si>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</si>
  <si>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</si>
  <si>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</si>
  <si>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</si>
  <si>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</si>
  <si>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</si>
  <si>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</si>
  <si>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</si>
  <si>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</si>
  <si>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</si>
  <si>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</si>
  <si>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</si>
  <si>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</si>
  <si>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</si>
  <si>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</si>
  <si>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</si>
  <si>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</si>
  <si>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</si>
  <si>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</si>
  <si>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</si>
  <si>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</si>
  <si>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</si>
  <si>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</si>
  <si>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</si>
  <si>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</si>
  <si>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</si>
  <si>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</si>
  <si>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</si>
  <si>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</si>
  <si>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</si>
  <si>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</si>
  <si>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</si>
  <si>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</si>
  <si>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</si>
  <si>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</si>
  <si>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</si>
  <si>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</si>
  <si>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</si>
  <si>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</si>
  <si>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</si>
  <si>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</si>
  <si>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</si>
  <si>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</si>
  <si>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</si>
  <si>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</si>
  <si>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</si>
  <si>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</si>
  <si>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</si>
  <si>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</si>
  <si>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</si>
  <si>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</si>
  <si>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</si>
  <si>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</si>
  <si>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</si>
  <si>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</si>
  <si>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</si>
  <si>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</si>
  <si>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</si>
  <si>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</si>
  <si>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</si>
  <si>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</si>
  <si>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</si>
  <si>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</si>
  <si>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</si>
  <si>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</si>
  <si>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</si>
  <si>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</si>
  <si>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</si>
  <si>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</si>
  <si>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</si>
  <si>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</si>
  <si>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</si>
  <si>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</si>
  <si>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</si>
  <si>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</si>
  <si>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</si>
  <si>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</si>
  <si>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</si>
  <si>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</si>
  <si>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</si>
  <si>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</si>
  <si>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</si>
  <si>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</si>
  <si>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</si>
  <si>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</si>
  <si>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</si>
  <si>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</si>
  <si>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</si>
  <si>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</si>
  <si>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</si>
  <si>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</si>
  <si>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</si>
  <si>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</si>
  <si>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</si>
  <si>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</si>
  <si>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</si>
  <si>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</si>
  <si>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</si>
  <si>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</si>
  <si>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</si>
  <si>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</si>
  <si>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</si>
  <si>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</si>
  <si>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</si>
  <si>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</si>
  <si>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</si>
  <si>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</si>
  <si>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</si>
  <si>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</si>
  <si>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</si>
  <si>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</si>
  <si>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</si>
  <si>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</si>
  <si>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</si>
  <si>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</si>
  <si>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</si>
  <si>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</si>
  <si>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</si>
  <si>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</si>
  <si>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</si>
  <si>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</si>
  <si>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</si>
  <si>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</si>
  <si>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</si>
  <si>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</si>
  <si>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</si>
  <si>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</si>
  <si>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</si>
  <si>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</si>
  <si>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</si>
  <si>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</si>
  <si>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</si>
  <si>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</si>
  <si>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</si>
  <si>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</si>
  <si>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</si>
  <si>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</si>
  <si>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</si>
  <si>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</si>
  <si>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</si>
  <si>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</si>
  <si>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</si>
  <si>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</si>
  <si>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</si>
  <si>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</si>
  <si>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</si>
  <si>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</si>
  <si>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</si>
  <si>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</si>
  <si>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</si>
  <si>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</si>
  <si>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</si>
  <si>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</si>
  <si>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</si>
  <si>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</si>
  <si>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</si>
  <si>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</si>
  <si>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</si>
  <si>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</si>
  <si>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</si>
  <si>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</si>
  <si>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</si>
  <si>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</si>
  <si>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</si>
  <si>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</si>
  <si>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</si>
  <si>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</si>
  <si>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</si>
  <si>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</si>
  <si>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</si>
  <si>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</si>
  <si>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</si>
  <si>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</si>
  <si>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</si>
  <si>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</si>
  <si>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</si>
  <si>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</si>
  <si>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</si>
  <si>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</si>
  <si>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</si>
  <si>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</si>
  <si>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</si>
  <si>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</si>
  <si>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</si>
  <si>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</si>
  <si>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</si>
  <si>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</si>
  <si>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</si>
  <si>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</si>
  <si>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</si>
  <si>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</si>
  <si>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</si>
  <si>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</si>
  <si>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</si>
  <si>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</si>
  <si>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</si>
  <si>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</si>
  <si>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</si>
  <si>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</si>
  <si>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</si>
  <si>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</si>
  <si>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</si>
  <si>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</si>
  <si>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</si>
  <si>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</si>
  <si>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</si>
  <si>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</si>
  <si>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</si>
  <si>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</si>
  <si>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</si>
  <si>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</si>
  <si>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</si>
  <si>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</si>
  <si>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</si>
  <si>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</si>
  <si>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</si>
  <si>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</si>
  <si>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</si>
  <si>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</si>
  <si>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</si>
  <si>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</si>
  <si>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</si>
  <si>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</si>
  <si>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</si>
  <si>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</si>
  <si>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</si>
  <si>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</si>
  <si>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</si>
  <si>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</si>
  <si>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</si>
  <si>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</si>
  <si>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</si>
  <si>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</si>
  <si>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</si>
  <si>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</si>
  <si>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</si>
  <si>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</si>
  <si>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</si>
  <si>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</si>
  <si>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</si>
  <si>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</si>
  <si>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</si>
  <si>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</si>
  <si>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</si>
  <si>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</si>
  <si>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</si>
  <si>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</si>
  <si>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</si>
  <si>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</si>
  <si>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</si>
  <si>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</si>
  <si>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</si>
  <si>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</si>
  <si>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</si>
  <si>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</si>
  <si>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</si>
  <si>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</si>
  <si>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</si>
  <si>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</si>
  <si>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</si>
  <si>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</si>
  <si>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</si>
  <si>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</si>
  <si>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</si>
  <si>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</si>
  <si>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</si>
  <si>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</si>
  <si>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</si>
  <si>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</si>
  <si>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</si>
  <si>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</si>
  <si>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</si>
  <si>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</si>
  <si>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</si>
  <si>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</si>
  <si>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</si>
  <si>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</si>
  <si>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</si>
  <si>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</si>
  <si>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</si>
  <si>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</si>
  <si>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</si>
  <si>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</si>
  <si>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</si>
  <si>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</si>
  <si>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</si>
  <si>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</si>
  <si>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</si>
  <si>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</si>
  <si>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</si>
  <si>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</si>
  <si>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</si>
  <si>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</si>
  <si>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</si>
  <si>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</si>
  <si>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</si>
  <si>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</si>
  <si>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</si>
  <si>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</si>
  <si>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</si>
  <si>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</si>
  <si>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</si>
  <si>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</si>
  <si>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</si>
  <si>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</si>
  <si>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</si>
  <si>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</si>
  <si>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</si>
  <si>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</si>
  <si>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</si>
  <si>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</si>
  <si>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</si>
  <si>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</si>
  <si>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</si>
  <si>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</si>
  <si>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</si>
  <si>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</si>
  <si>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</si>
  <si>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</si>
  <si>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</si>
  <si>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</si>
  <si>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</si>
  <si>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</si>
  <si>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</si>
  <si>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</si>
  <si>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</si>
  <si>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</si>
  <si>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</si>
  <si>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</si>
  <si>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</si>
  <si>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</si>
  <si>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</si>
  <si>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</si>
  <si>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</si>
  <si>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</si>
  <si>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</si>
  <si>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</si>
  <si>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</si>
  <si>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</si>
  <si>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</si>
  <si>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</si>
  <si>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</si>
  <si>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</si>
  <si>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</si>
  <si>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</si>
  <si>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</si>
  <si>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</si>
  <si>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</si>
  <si>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</si>
  <si>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</si>
  <si>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</si>
  <si>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</si>
  <si>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</si>
  <si>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</si>
  <si>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</si>
  <si>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</si>
  <si>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</si>
  <si>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</si>
  <si>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</si>
  <si>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</si>
  <si>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</si>
  <si>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</si>
  <si>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</si>
  <si>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</si>
  <si>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</si>
  <si>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</si>
  <si>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</si>
  <si>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</si>
  <si>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</si>
  <si>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</si>
  <si>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</si>
  <si>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</si>
  <si>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</si>
  <si>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</si>
  <si>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</si>
  <si>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</si>
  <si>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</si>
  <si>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</si>
  <si>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</si>
  <si>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</si>
  <si>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</si>
  <si>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</si>
  <si>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</si>
  <si>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</si>
  <si>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</si>
  <si>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</si>
  <si>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</si>
  <si>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</si>
  <si>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</si>
  <si>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</si>
  <si>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</si>
  <si>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</si>
  <si>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</si>
  <si>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</si>
  <si>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</si>
  <si>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</si>
  <si>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</si>
  <si>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</si>
  <si>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</si>
  <si>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</si>
  <si>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</si>
  <si>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</si>
  <si>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</si>
  <si>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</si>
  <si>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</si>
  <si>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</si>
  <si>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</si>
  <si>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</si>
  <si>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</si>
  <si>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</si>
  <si>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</si>
  <si>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</si>
  <si>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</si>
  <si>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</si>
  <si>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</si>
  <si>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</si>
  <si>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</si>
  <si>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</si>
  <si>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</si>
  <si>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</si>
  <si>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</si>
  <si>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</si>
  <si>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</si>
  <si>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</si>
  <si>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</si>
  <si>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</si>
  <si>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</si>
  <si>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</si>
  <si>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</si>
  <si>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</si>
  <si>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</si>
  <si>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</si>
  <si>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</si>
  <si>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</si>
  <si>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</si>
  <si>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</si>
  <si>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</si>
  <si>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</si>
  <si>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</si>
  <si>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</si>
  <si>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</si>
  <si>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</si>
  <si>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</si>
  <si>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</si>
  <si>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</si>
  <si>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</si>
  <si>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</si>
  <si>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</si>
  <si>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</si>
  <si>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</si>
  <si>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</si>
  <si>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</si>
  <si>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</si>
  <si>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</si>
  <si>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</si>
  <si>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</si>
  <si>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</si>
  <si>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</si>
  <si>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</si>
  <si>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</si>
  <si>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</si>
  <si>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</si>
  <si>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</si>
  <si>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</si>
  <si>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</si>
  <si>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</si>
  <si>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</si>
  <si>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</si>
  <si>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</si>
  <si>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</si>
  <si>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</si>
  <si>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</si>
  <si>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</si>
  <si>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</si>
  <si>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</si>
  <si>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</si>
  <si>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</si>
  <si>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</si>
  <si>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</si>
  <si>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</si>
  <si>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</si>
  <si>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</si>
  <si>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</si>
  <si>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</si>
  <si>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</si>
  <si>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</si>
  <si>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</si>
  <si>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</si>
  <si>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</si>
  <si>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</si>
  <si>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</si>
  <si>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</si>
  <si>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</si>
  <si>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</si>
  <si>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</si>
  <si>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</si>
  <si>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</si>
  <si>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</si>
  <si>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</si>
  <si>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</si>
  <si>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</si>
  <si>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</si>
  <si>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</si>
  <si>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</si>
  <si>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</si>
  <si>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</si>
  <si>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</si>
  <si>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</si>
  <si>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</si>
  <si>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</si>
  <si>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</si>
  <si>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</si>
  <si>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</si>
  <si>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</si>
  <si>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</si>
  <si>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</si>
  <si>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</si>
  <si>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</si>
  <si>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</si>
  <si>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</si>
  <si>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</si>
  <si>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</si>
  <si>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</si>
  <si>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</si>
  <si>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</si>
  <si>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</si>
  <si>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</si>
  <si>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</si>
  <si>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</si>
  <si>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</si>
  <si>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</si>
  <si>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</si>
  <si>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</si>
  <si>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</si>
  <si>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</si>
  <si>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</si>
  <si>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</si>
  <si>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</si>
  <si>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</si>
  <si>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</si>
  <si>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</si>
  <si>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</si>
  <si>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</si>
  <si>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</si>
  <si>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</si>
  <si>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</si>
  <si>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</si>
  <si>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</si>
  <si>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</si>
  <si>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</si>
  <si>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</si>
  <si>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</si>
  <si>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</si>
  <si>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</si>
  <si>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</si>
  <si>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</si>
  <si>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</si>
  <si>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</si>
  <si>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</si>
  <si>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</si>
  <si>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</si>
  <si>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</si>
  <si>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</si>
  <si>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</si>
  <si>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</si>
  <si>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</si>
  <si>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</si>
  <si>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</si>
  <si>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</si>
  <si>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</si>
  <si>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</si>
  <si>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</si>
  <si>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</si>
  <si>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</si>
  <si>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</si>
  <si>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</si>
  <si>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</si>
  <si>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</si>
  <si>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</si>
  <si>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</si>
  <si>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</si>
  <si>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</si>
  <si>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</si>
  <si>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</si>
  <si>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</si>
  <si>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</si>
  <si>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</si>
  <si>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</si>
  <si>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</si>
  <si>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</si>
  <si>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</si>
  <si>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</si>
  <si>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</si>
  <si>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</si>
  <si>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</si>
  <si>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</si>
  <si>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</si>
  <si>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</si>
  <si>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</si>
  <si>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</si>
  <si>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</si>
  <si>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</si>
  <si>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</si>
  <si>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</si>
  <si>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</si>
  <si>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</si>
  <si>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</si>
  <si>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</si>
  <si>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</si>
  <si>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</si>
  <si>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</si>
  <si>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</si>
  <si>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</si>
  <si>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</si>
  <si>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</si>
  <si>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</si>
  <si>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</si>
  <si>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</si>
  <si>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</si>
  <si>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</si>
  <si>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</si>
  <si>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</si>
  <si>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</si>
  <si>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</si>
  <si>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</si>
  <si>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</si>
  <si>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</si>
  <si>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</si>
  <si>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</si>
  <si>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</si>
  <si>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</si>
  <si>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</si>
  <si>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</si>
  <si>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</si>
  <si>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</si>
  <si>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</si>
  <si>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</si>
  <si>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</si>
  <si>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</si>
  <si>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</si>
  <si>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</si>
  <si>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</si>
  <si>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</si>
  <si>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</si>
  <si>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</si>
  <si>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</si>
  <si>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</si>
  <si>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</si>
  <si>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</si>
  <si>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</si>
  <si>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</si>
  <si>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</si>
  <si>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</si>
  <si>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</si>
  <si>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</si>
  <si>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</si>
  <si>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</si>
  <si>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</si>
  <si>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</si>
  <si>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</si>
  <si>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</si>
  <si>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</si>
  <si>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</si>
  <si>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</si>
  <si>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</si>
  <si>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</si>
  <si>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</si>
  <si>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</si>
  <si>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</si>
  <si>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</si>
  <si>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</si>
  <si>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</si>
  <si>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</si>
  <si>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</si>
  <si>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</si>
  <si>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</si>
  <si>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</si>
  <si>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</si>
  <si>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</si>
  <si>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</si>
  <si>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</si>
  <si>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</si>
  <si>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</si>
  <si>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</si>
  <si>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</si>
  <si>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</si>
  <si>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</si>
  <si>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</si>
  <si>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</si>
  <si>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</si>
  <si>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</si>
  <si>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</si>
  <si>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</si>
  <si>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</si>
  <si>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</si>
  <si>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</si>
  <si>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</si>
  <si>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</si>
  <si>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</si>
  <si>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</si>
  <si>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</si>
  <si>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</si>
  <si>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</si>
  <si>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</si>
  <si>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</si>
  <si>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</si>
  <si>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</si>
  <si>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</si>
  <si>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</si>
  <si>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</si>
  <si>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</si>
  <si>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</si>
  <si>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</si>
  <si>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</si>
  <si>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</si>
  <si>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</si>
  <si>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</si>
  <si>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</si>
  <si>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</si>
  <si>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</si>
  <si>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</si>
  <si>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</si>
  <si>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</si>
  <si>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</si>
  <si>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</si>
  <si>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</si>
  <si>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</si>
  <si>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</si>
  <si>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</si>
  <si>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</si>
  <si>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</si>
  <si>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</si>
  <si>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</si>
  <si>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</si>
  <si>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</si>
  <si>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</si>
  <si>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</si>
  <si>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</si>
  <si>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</si>
  <si>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</si>
  <si>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</si>
  <si>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</si>
  <si>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</si>
  <si>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</si>
  <si>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</si>
  <si>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</si>
  <si>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</si>
  <si>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</si>
  <si>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</si>
  <si>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</si>
  <si>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</si>
  <si>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</si>
  <si>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</si>
  <si>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</si>
  <si>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</si>
  <si>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</si>
  <si>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</si>
  <si>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</si>
  <si>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</si>
  <si>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</si>
  <si>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</si>
  <si>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</si>
  <si>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</si>
  <si>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</si>
  <si>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</si>
  <si>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</si>
  <si>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</si>
  <si>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</si>
  <si>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</si>
  <si>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</si>
  <si>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</si>
  <si>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</si>
  <si>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</si>
  <si>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</si>
  <si>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</si>
  <si>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</si>
  <si>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</si>
  <si>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</si>
  <si>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</si>
  <si>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</si>
  <si>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</si>
  <si>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</si>
  <si>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</si>
  <si>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</si>
  <si>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</si>
  <si>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</si>
  <si>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</si>
  <si>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</si>
  <si>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</si>
  <si>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</si>
  <si>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</si>
  <si>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</si>
  <si>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</si>
  <si>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</si>
  <si>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</si>
  <si>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</si>
  <si>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</si>
  <si>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</si>
  <si>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</si>
  <si>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</si>
  <si>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</si>
  <si>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</si>
  <si>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</si>
  <si>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</si>
  <si>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</si>
  <si>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</si>
  <si>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</si>
  <si>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</si>
  <si>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</si>
  <si>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</si>
  <si>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</si>
  <si>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</si>
  <si>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</si>
  <si>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</si>
  <si>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</si>
  <si>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</si>
  <si>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</si>
  <si>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</si>
  <si>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</si>
  <si>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</si>
  <si>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</si>
  <si>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</si>
  <si>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</si>
  <si>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</si>
  <si>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</si>
  <si>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</si>
  <si>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</si>
  <si>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</si>
  <si>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</si>
  <si>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</si>
  <si>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</si>
  <si>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</si>
  <si>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</si>
  <si>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</si>
  <si>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</si>
  <si>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</si>
  <si>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</si>
  <si>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</si>
  <si>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</si>
  <si>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</si>
  <si>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</si>
  <si>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</si>
  <si>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</si>
  <si>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</si>
  <si>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</si>
  <si>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</si>
  <si>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</si>
  <si>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</si>
  <si>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</si>
  <si>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</si>
  <si>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</si>
  <si>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</si>
  <si>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</si>
  <si>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</si>
  <si>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</si>
  <si>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</si>
  <si>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</si>
  <si>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</si>
  <si>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</si>
  <si>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</si>
  <si>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</si>
  <si>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</si>
  <si>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</si>
  <si>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</si>
  <si>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</si>
  <si>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</si>
  <si>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</si>
  <si>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</si>
  <si>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</si>
  <si>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</si>
  <si>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</si>
  <si>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</si>
  <si>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</si>
  <si>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</si>
  <si>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</si>
  <si>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</si>
  <si>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</si>
  <si>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</si>
  <si>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</si>
  <si>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</si>
  <si>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</si>
  <si>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</si>
  <si>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</si>
  <si>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</si>
  <si>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</si>
  <si>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</si>
  <si>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</si>
  <si>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</si>
  <si>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</si>
  <si>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</si>
  <si>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</si>
  <si>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</si>
  <si>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</si>
  <si>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</si>
  <si>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</si>
  <si>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</si>
  <si>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</si>
  <si>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</si>
  <si>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</si>
  <si>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</si>
  <si>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</si>
  <si>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</si>
  <si>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</si>
  <si>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</si>
  <si>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</si>
  <si>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</si>
  <si>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</si>
  <si>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</si>
  <si>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</si>
  <si>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</si>
  <si>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</si>
  <si>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</si>
  <si>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</si>
  <si>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</si>
  <si>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</si>
  <si>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</si>
  <si>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</si>
  <si>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</si>
  <si>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</si>
  <si>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</si>
  <si>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</si>
  <si>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</si>
  <si>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</si>
  <si>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</si>
  <si>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</si>
  <si>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</si>
  <si>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</si>
  <si>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</si>
  <si>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</si>
  <si>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</si>
  <si>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</si>
  <si>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</si>
  <si>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</si>
  <si>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</si>
  <si>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</si>
  <si>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</si>
  <si>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</si>
  <si>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</si>
  <si>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</si>
  <si>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</si>
  <si>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</si>
  <si>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</si>
  <si>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</si>
  <si>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</si>
  <si>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</si>
  <si>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</si>
  <si>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</si>
  <si>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</si>
  <si>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</si>
  <si>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</si>
  <si>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</si>
  <si>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</si>
  <si>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</si>
  <si>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</si>
  <si>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</si>
  <si>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</si>
  <si>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</si>
  <si>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</si>
  <si>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</si>
  <si>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</si>
  <si>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</si>
  <si>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</si>
  <si>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</si>
  <si>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</si>
  <si>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</si>
  <si>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</si>
  <si>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</si>
  <si>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</si>
  <si>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</si>
  <si>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</si>
  <si>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</si>
  <si>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</si>
  <si>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</si>
  <si>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</si>
  <si>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</si>
  <si>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</si>
  <si>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</si>
  <si>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</si>
  <si>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</si>
  <si>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</si>
  <si>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</si>
  <si>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</si>
  <si>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</si>
  <si>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박주성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</si>
  <si>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</si>
  <si>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</si>
  <si>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</si>
  <si>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</si>
  <si>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</si>
  <si>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</si>
  <si>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</si>
  <si>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</si>
  <si>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</si>
  <si>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</si>
  <si>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</si>
  <si>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</si>
  <si>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</si>
  <si>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</si>
  <si>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</si>
  <si>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</si>
  <si>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</si>
  <si>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</si>
  <si>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</si>
  <si>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</si>
  <si>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</si>
  <si>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</si>
  <si>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</si>
  <si>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</si>
  <si>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</si>
  <si>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</si>
  <si>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</si>
  <si>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</si>
  <si>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</si>
  <si>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</si>
  <si>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</si>
  <si>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</si>
  <si>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</si>
  <si>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</si>
  <si>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</si>
  <si>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</si>
  <si>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</si>
  <si>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</si>
  <si>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</si>
  <si>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</si>
  <si>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</si>
  <si>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</si>
  <si>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</si>
  <si>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</si>
  <si>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</si>
  <si>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</si>
  <si>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</si>
  <si>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</si>
  <si>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</si>
  <si>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</si>
  <si>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</si>
  <si>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</si>
  <si>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</si>
  <si>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</si>
  <si>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</si>
  <si>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</si>
  <si>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</si>
  <si>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</si>
  <si>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</si>
  <si>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</si>
  <si>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</si>
  <si>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</si>
  <si>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</si>
  <si>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</si>
  <si>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</si>
  <si>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</si>
  <si>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</si>
  <si>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</si>
  <si>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</si>
  <si>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</si>
  <si>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</si>
  <si>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</si>
  <si>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</si>
  <si>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</si>
  <si>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</si>
  <si>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</si>
  <si>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</si>
  <si>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</si>
  <si>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</si>
  <si>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</si>
  <si>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</si>
  <si>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</si>
  <si>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</si>
  <si>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</si>
  <si>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</si>
  <si>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</si>
  <si>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</si>
  <si>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</si>
  <si>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</si>
  <si>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</si>
  <si>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</si>
  <si>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15주</t>
    <phoneticPr fontId="2" type="noConversion"/>
  </si>
  <si>
    <t>우신(1)</t>
    <phoneticPr fontId="2" type="noConversion"/>
  </si>
  <si>
    <t>무상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</si>
  <si>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</si>
  <si>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</si>
  <si>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</si>
  <si>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</si>
  <si>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</si>
  <si>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</si>
  <si>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</si>
  <si>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</si>
  <si>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</si>
  <si>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</si>
  <si>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</si>
  <si>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</si>
  <si>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</si>
  <si>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</si>
  <si>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</si>
  <si>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</si>
  <si>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</si>
  <si>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</si>
  <si>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</si>
  <si>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</si>
  <si>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</si>
  <si>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</si>
  <si>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</si>
  <si>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</si>
  <si>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</si>
  <si>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</si>
  <si>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</si>
  <si>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</si>
  <si>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</si>
  <si>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</si>
  <si>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</si>
  <si>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</si>
  <si>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</si>
  <si>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</si>
  <si>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</si>
  <si>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</si>
  <si>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</si>
  <si>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</si>
  <si>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</si>
  <si>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</si>
  <si>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</si>
  <si>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우신(1)</t>
    <phoneticPr fontId="2" type="noConversion"/>
  </si>
  <si>
    <t>박성용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</si>
  <si>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</si>
  <si>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</si>
  <si>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</si>
  <si>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</si>
  <si>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</si>
  <si>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김태호</t>
    <phoneticPr fontId="2" type="noConversion"/>
  </si>
  <si>
    <t>0160</t>
    <phoneticPr fontId="2" type="noConversion"/>
  </si>
  <si>
    <t>우신(2)</t>
    <phoneticPr fontId="2" type="noConversion"/>
  </si>
  <si>
    <t>커버 회수 요청(구매)</t>
    <phoneticPr fontId="2" type="noConversion"/>
  </si>
  <si>
    <t>11주 긴급지원</t>
    <phoneticPr fontId="2" type="noConversion"/>
  </si>
  <si>
    <t>RB</t>
    <phoneticPr fontId="2" type="noConversion"/>
  </si>
  <si>
    <t>SWN0297</t>
    <phoneticPr fontId="2" type="noConversion"/>
  </si>
  <si>
    <r>
      <rPr>
        <sz val="10"/>
        <color rgb="FF000000"/>
        <rFont val="돋움"/>
        <family val="3"/>
        <charset val="129"/>
      </rPr>
      <t>자체테스트</t>
    </r>
    <r>
      <rPr>
        <sz val="10"/>
        <color rgb="FF000000"/>
        <rFont val="Arial"/>
        <family val="2"/>
      </rPr>
      <t>, FAT</t>
    </r>
    <phoneticPr fontId="2" type="noConversion"/>
  </si>
  <si>
    <t>3/13, 3/16</t>
    <phoneticPr fontId="2" type="noConversion"/>
  </si>
  <si>
    <t>DST(2)</t>
    <phoneticPr fontId="2" type="noConversion"/>
  </si>
  <si>
    <t>박성용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</si>
  <si>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</si>
  <si>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</si>
  <si>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</si>
  <si>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</si>
  <si>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</si>
  <si>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</si>
  <si>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</si>
  <si>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</si>
  <si>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 외 1명
*자재 입고 지연 시 일정 변경 예정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</si>
  <si>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</si>
  <si>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</si>
  <si>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</si>
  <si>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</si>
  <si>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김유신, 자재 입고 일자 확인 중</t>
    <phoneticPr fontId="2" type="noConversion"/>
  </si>
  <si>
    <t>자재 입고 완료</t>
    <phoneticPr fontId="2" type="noConversion"/>
  </si>
  <si>
    <t>자재 확인 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</si>
</sst>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1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12" fillId="0" borderId="8" xfId="0" applyFont="1" applyBorder="1" applyAlignment="1">
      <alignment horizontal="center" vertical="center" wrapText="1"/>
    </xf>
    <xf numFmtId="0" fontId="92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116" fillId="0" borderId="3" xfId="0" applyFont="1" applyBorder="1" applyAlignment="1">
      <alignment horizontal="center" vertical="center" wrapText="1"/>
    </xf>
    <xf numFmtId="0" fontId="110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12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12" fillId="0" borderId="1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/>
    </xf>
    <xf numFmtId="0" fontId="58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8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0"/>
  <sheetViews>
    <sheetView showGridLines="0" tabSelected="1" topLeftCell="A238" zoomScaleNormal="100" workbookViewId="0">
      <selection activeCell="F246" sqref="F24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63" t="s">
        <v>3265</v>
      </c>
      <c r="B1" s="663"/>
      <c r="C1" s="663"/>
      <c r="D1" s="663"/>
      <c r="E1" s="663"/>
      <c r="F1" s="663"/>
      <c r="G1" s="663"/>
      <c r="H1" s="663"/>
      <c r="I1" s="663"/>
      <c r="J1" s="663"/>
      <c r="K1" s="663"/>
      <c r="L1" s="663"/>
      <c r="M1" s="663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61"/>
      <c r="Q22" s="662"/>
      <c r="R22" s="662"/>
      <c r="S22" s="662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61"/>
      <c r="Q27" s="662"/>
      <c r="R27" s="662"/>
      <c r="S27" s="662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61"/>
      <c r="Q36" s="662"/>
      <c r="R36" s="662"/>
      <c r="S36" s="662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61"/>
      <c r="Q37" s="662"/>
      <c r="R37" s="662"/>
      <c r="S37" s="662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61"/>
      <c r="Q40" s="662"/>
      <c r="R40" s="662"/>
      <c r="S40" s="662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61"/>
      <c r="Q41" s="662"/>
      <c r="R41" s="662"/>
      <c r="S41" s="662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61" t="s">
        <v>4394</v>
      </c>
      <c r="Q43" s="662"/>
      <c r="R43" s="662"/>
      <c r="S43" s="662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61"/>
      <c r="Q61" s="662"/>
      <c r="R61" s="662"/>
      <c r="S61" s="662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61"/>
      <c r="Q64" s="662"/>
      <c r="R64" s="662"/>
      <c r="S64" s="662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61"/>
      <c r="Q67" s="662"/>
      <c r="R67" s="662"/>
      <c r="S67" s="662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61"/>
      <c r="Q74" s="662"/>
      <c r="R74" s="662"/>
      <c r="S74" s="662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61"/>
      <c r="Q83" s="662"/>
      <c r="R83" s="662"/>
      <c r="S83" s="662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61"/>
      <c r="Q85" s="662"/>
      <c r="R85" s="662"/>
      <c r="S85" s="662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61" t="s">
        <v>4394</v>
      </c>
      <c r="Q93" s="662"/>
      <c r="R93" s="662"/>
      <c r="S93" s="662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59"/>
      <c r="Q169" s="660"/>
      <c r="R169" s="660"/>
      <c r="S169" s="660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57" t="s">
        <v>4697</v>
      </c>
      <c r="Q182" s="658"/>
      <c r="R182" s="658"/>
      <c r="S182" s="658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5255</v>
      </c>
      <c r="D206" s="3" t="s">
        <v>5256</v>
      </c>
      <c r="E206" s="480" t="s">
        <v>5257</v>
      </c>
      <c r="F206" s="480" t="s">
        <v>5258</v>
      </c>
      <c r="G206" s="485" t="s">
        <v>5259</v>
      </c>
      <c r="H206" s="479" t="s">
        <v>5260</v>
      </c>
      <c r="I206" s="480" t="s">
        <v>5254</v>
      </c>
      <c r="J206" s="479" t="s">
        <v>5261</v>
      </c>
      <c r="K206" s="136" t="s">
        <v>5262</v>
      </c>
      <c r="L206" s="485" t="s">
        <v>5263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5255</v>
      </c>
      <c r="D207" s="3" t="s">
        <v>5256</v>
      </c>
      <c r="E207" s="480" t="s">
        <v>5257</v>
      </c>
      <c r="F207" s="480" t="s">
        <v>5295</v>
      </c>
      <c r="G207" s="16" t="s">
        <v>23</v>
      </c>
      <c r="H207" s="523" t="s">
        <v>5296</v>
      </c>
      <c r="I207" s="480" t="s">
        <v>5254</v>
      </c>
      <c r="J207" s="479" t="s">
        <v>5261</v>
      </c>
      <c r="K207" s="136" t="s">
        <v>5262</v>
      </c>
      <c r="L207" s="485" t="s">
        <v>5263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5253</v>
      </c>
      <c r="G209" s="485"/>
      <c r="H209" s="479" t="s">
        <v>5293</v>
      </c>
      <c r="I209" s="480" t="s">
        <v>5294</v>
      </c>
      <c r="J209" s="480"/>
      <c r="K209" s="136"/>
      <c r="L209" s="485" t="s">
        <v>5304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5282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5464</v>
      </c>
    </row>
    <row r="213" spans="1:16" s="17" customFormat="1" ht="33" customHeight="1">
      <c r="A213" s="446" t="s">
        <v>4499</v>
      </c>
      <c r="B213" s="412">
        <v>46111</v>
      </c>
      <c r="C213" s="4" t="s">
        <v>5283</v>
      </c>
      <c r="D213" s="4" t="s">
        <v>14</v>
      </c>
      <c r="E213" s="522" t="s">
        <v>1791</v>
      </c>
      <c r="F213" s="522" t="s">
        <v>2139</v>
      </c>
      <c r="G213" s="16" t="s">
        <v>5284</v>
      </c>
      <c r="H213" s="479" t="s">
        <v>5285</v>
      </c>
      <c r="I213" s="479" t="s">
        <v>5306</v>
      </c>
      <c r="J213" s="479" t="s">
        <v>5286</v>
      </c>
      <c r="K213" s="136" t="s">
        <v>5287</v>
      </c>
      <c r="L213" s="485" t="s">
        <v>33</v>
      </c>
      <c r="M213" s="481">
        <v>6</v>
      </c>
      <c r="N213" s="31"/>
      <c r="O213" s="483"/>
      <c r="P213" s="644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5315</v>
      </c>
      <c r="I214" s="479" t="s">
        <v>5306</v>
      </c>
      <c r="J214" s="479" t="s">
        <v>5298</v>
      </c>
      <c r="K214" s="125" t="s">
        <v>15</v>
      </c>
      <c r="L214" s="16" t="s">
        <v>5309</v>
      </c>
      <c r="M214" s="8">
        <v>2</v>
      </c>
      <c r="N214" s="31"/>
      <c r="O214" s="912"/>
      <c r="P214" s="645"/>
    </row>
    <row r="215" spans="1:16" s="17" customFormat="1" ht="33" customHeight="1">
      <c r="A215" s="447"/>
      <c r="B215" s="412">
        <v>46112</v>
      </c>
      <c r="C215" s="4" t="s">
        <v>5283</v>
      </c>
      <c r="D215" s="4" t="s">
        <v>14</v>
      </c>
      <c r="E215" s="522" t="s">
        <v>1791</v>
      </c>
      <c r="F215" s="522" t="s">
        <v>2139</v>
      </c>
      <c r="G215" s="16" t="s">
        <v>5284</v>
      </c>
      <c r="H215" s="479" t="s">
        <v>5285</v>
      </c>
      <c r="I215" s="479" t="s">
        <v>5306</v>
      </c>
      <c r="J215" s="479" t="s">
        <v>5286</v>
      </c>
      <c r="K215" s="136" t="s">
        <v>5287</v>
      </c>
      <c r="L215" s="485" t="s">
        <v>5308</v>
      </c>
      <c r="M215" s="481">
        <v>6</v>
      </c>
      <c r="N215" s="444"/>
      <c r="O215" s="451"/>
      <c r="P215" s="646" t="s">
        <v>5316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5252</v>
      </c>
      <c r="F216" s="524" t="s">
        <v>3336</v>
      </c>
      <c r="G216" s="485" t="s">
        <v>23</v>
      </c>
      <c r="H216" s="479" t="s">
        <v>5447</v>
      </c>
      <c r="I216" s="480"/>
      <c r="J216" s="479" t="s">
        <v>5414</v>
      </c>
      <c r="K216" s="136" t="s">
        <v>15</v>
      </c>
      <c r="L216" s="485">
        <v>9080</v>
      </c>
      <c r="M216" s="481">
        <v>3</v>
      </c>
      <c r="N216" s="31"/>
      <c r="O216" s="451"/>
      <c r="P216" s="646" t="s">
        <v>5316</v>
      </c>
    </row>
    <row r="217" spans="1:16" s="17" customFormat="1" ht="33" customHeight="1">
      <c r="A217" s="447"/>
      <c r="B217" s="377">
        <v>46113</v>
      </c>
      <c r="C217" s="4" t="s">
        <v>5283</v>
      </c>
      <c r="D217" s="4" t="s">
        <v>14</v>
      </c>
      <c r="E217" s="522" t="s">
        <v>1791</v>
      </c>
      <c r="F217" s="522" t="s">
        <v>2139</v>
      </c>
      <c r="G217" s="16" t="s">
        <v>5284</v>
      </c>
      <c r="H217" s="479" t="s">
        <v>5318</v>
      </c>
      <c r="I217" s="479" t="s">
        <v>5307</v>
      </c>
      <c r="J217" s="479" t="s">
        <v>5310</v>
      </c>
      <c r="K217" s="136" t="s">
        <v>5287</v>
      </c>
      <c r="L217" s="485" t="s">
        <v>33</v>
      </c>
      <c r="M217" s="481">
        <v>4</v>
      </c>
      <c r="N217" s="31"/>
      <c r="O217" s="913" t="s">
        <v>5467</v>
      </c>
      <c r="P217" s="328"/>
    </row>
    <row r="218" spans="1:16" s="17" customFormat="1" ht="33" customHeight="1">
      <c r="A218" s="447"/>
      <c r="B218" s="377">
        <v>46113</v>
      </c>
      <c r="C218" s="4" t="s">
        <v>5290</v>
      </c>
      <c r="D218" s="4" t="s">
        <v>5256</v>
      </c>
      <c r="E218" s="522" t="s">
        <v>1791</v>
      </c>
      <c r="F218" s="523" t="s">
        <v>5292</v>
      </c>
      <c r="G218" s="16" t="s">
        <v>5291</v>
      </c>
      <c r="H218" s="479" t="s">
        <v>5312</v>
      </c>
      <c r="I218" s="480"/>
      <c r="J218" s="479" t="s">
        <v>5311</v>
      </c>
      <c r="K218" s="136" t="s">
        <v>5287</v>
      </c>
      <c r="L218" s="485" t="s">
        <v>5288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5318</v>
      </c>
      <c r="I219" s="479" t="s">
        <v>90</v>
      </c>
      <c r="J219" s="479" t="s">
        <v>5310</v>
      </c>
      <c r="K219" s="136" t="s">
        <v>105</v>
      </c>
      <c r="L219" s="485" t="s">
        <v>33</v>
      </c>
      <c r="M219" s="481">
        <v>4</v>
      </c>
      <c r="N219" s="444"/>
      <c r="O219" s="461" t="s">
        <v>5466</v>
      </c>
      <c r="P219" s="646" t="s">
        <v>5339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5447</v>
      </c>
      <c r="I220" s="551"/>
      <c r="J220" s="479" t="s">
        <v>5414</v>
      </c>
      <c r="K220" s="136" t="s">
        <v>15</v>
      </c>
      <c r="L220" s="485">
        <v>9080</v>
      </c>
      <c r="M220" s="481">
        <v>3</v>
      </c>
      <c r="N220" s="522"/>
      <c r="O220" s="451"/>
      <c r="P220" s="646"/>
    </row>
    <row r="221" spans="1:16" s="17" customFormat="1" ht="33" customHeight="1">
      <c r="A221" s="447"/>
      <c r="B221" s="412">
        <v>46115</v>
      </c>
      <c r="C221" s="3" t="s">
        <v>5317</v>
      </c>
      <c r="D221" s="3" t="s">
        <v>5319</v>
      </c>
      <c r="E221" s="480" t="s">
        <v>5320</v>
      </c>
      <c r="F221" s="480" t="s">
        <v>5321</v>
      </c>
      <c r="G221" s="485" t="s">
        <v>5322</v>
      </c>
      <c r="H221" s="479" t="s">
        <v>5323</v>
      </c>
      <c r="I221" s="479" t="s">
        <v>5305</v>
      </c>
      <c r="J221" s="479" t="s">
        <v>5336</v>
      </c>
      <c r="K221" s="555" t="s">
        <v>15</v>
      </c>
      <c r="L221" s="481">
        <v>9080</v>
      </c>
      <c r="M221" s="481">
        <v>3</v>
      </c>
      <c r="N221" s="31" t="s">
        <v>5314</v>
      </c>
      <c r="O221" s="451"/>
      <c r="P221" s="646" t="s">
        <v>5316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5313</v>
      </c>
      <c r="I222" s="480"/>
      <c r="J222" s="551" t="s">
        <v>5444</v>
      </c>
      <c r="K222" s="136" t="s">
        <v>105</v>
      </c>
      <c r="L222" s="485" t="s">
        <v>5443</v>
      </c>
      <c r="M222" s="8">
        <v>3</v>
      </c>
      <c r="N222" s="198"/>
      <c r="O222" s="461" t="s">
        <v>5468</v>
      </c>
      <c r="P222" s="647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5313</v>
      </c>
      <c r="I223" s="480"/>
      <c r="J223" s="551" t="s">
        <v>5444</v>
      </c>
      <c r="K223" s="136" t="s">
        <v>105</v>
      </c>
      <c r="L223" s="485" t="s">
        <v>4559</v>
      </c>
      <c r="M223" s="640">
        <v>3</v>
      </c>
      <c r="N223" s="31"/>
      <c r="O223" s="461" t="s">
        <v>5466</v>
      </c>
      <c r="P223" s="646" t="s">
        <v>5465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5464</v>
      </c>
    </row>
    <row r="225" spans="1:16" s="17" customFormat="1" ht="33" customHeight="1">
      <c r="A225" s="446" t="s">
        <v>4500</v>
      </c>
      <c r="B225" s="377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5392</v>
      </c>
      <c r="H225" s="479" t="s">
        <v>216</v>
      </c>
      <c r="I225" s="562" t="s">
        <v>5413</v>
      </c>
      <c r="J225" s="562" t="s">
        <v>5453</v>
      </c>
      <c r="K225" s="125" t="s">
        <v>15</v>
      </c>
      <c r="L225" s="16">
        <v>9080</v>
      </c>
      <c r="M225" s="8">
        <v>3</v>
      </c>
      <c r="N225" s="630" t="s">
        <v>4674</v>
      </c>
      <c r="O225" s="451"/>
      <c r="P225" s="646" t="s">
        <v>5316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14</v>
      </c>
      <c r="E226" s="480" t="s">
        <v>107</v>
      </c>
      <c r="F226" s="480" t="s">
        <v>2570</v>
      </c>
      <c r="G226" s="485" t="s">
        <v>67</v>
      </c>
      <c r="H226" s="479" t="s">
        <v>216</v>
      </c>
      <c r="I226" s="641" t="s">
        <v>3549</v>
      </c>
      <c r="J226" s="641" t="s">
        <v>3407</v>
      </c>
      <c r="K226" s="125" t="s">
        <v>15</v>
      </c>
      <c r="L226" s="16">
        <v>9080</v>
      </c>
      <c r="M226" s="642">
        <v>3</v>
      </c>
      <c r="N226" s="641"/>
      <c r="O226" s="451"/>
      <c r="P226" s="646"/>
    </row>
    <row r="227" spans="1:16" s="17" customFormat="1" ht="33" customHeight="1">
      <c r="A227" s="447"/>
      <c r="B227" s="377">
        <v>46119</v>
      </c>
      <c r="C227" s="3" t="s">
        <v>21</v>
      </c>
      <c r="D227" s="3" t="s">
        <v>31</v>
      </c>
      <c r="E227" s="480" t="s">
        <v>5302</v>
      </c>
      <c r="F227" s="480">
        <v>7064</v>
      </c>
      <c r="G227" s="485" t="s">
        <v>83</v>
      </c>
      <c r="H227" s="479" t="s">
        <v>5303</v>
      </c>
      <c r="I227" s="479"/>
      <c r="J227" s="479" t="s">
        <v>487</v>
      </c>
      <c r="K227" s="136" t="s">
        <v>15</v>
      </c>
      <c r="L227" s="485" t="s">
        <v>4559</v>
      </c>
      <c r="M227" s="481">
        <v>2</v>
      </c>
      <c r="N227" s="480"/>
      <c r="O227" s="451" t="s">
        <v>5475</v>
      </c>
      <c r="P227" s="646" t="s">
        <v>5316</v>
      </c>
    </row>
    <row r="228" spans="1:16" s="17" customFormat="1" ht="33" customHeight="1">
      <c r="A228" s="447"/>
      <c r="B228" s="412">
        <v>46119</v>
      </c>
      <c r="C228" s="550" t="s">
        <v>21</v>
      </c>
      <c r="D228" s="550" t="s">
        <v>14</v>
      </c>
      <c r="E228" s="551" t="s">
        <v>107</v>
      </c>
      <c r="F228" s="551" t="s">
        <v>2963</v>
      </c>
      <c r="G228" s="553" t="s">
        <v>143</v>
      </c>
      <c r="H228" s="554" t="s">
        <v>5460</v>
      </c>
      <c r="I228" s="551" t="s">
        <v>5459</v>
      </c>
      <c r="J228" s="551" t="s">
        <v>641</v>
      </c>
      <c r="K228" s="555" t="s">
        <v>15</v>
      </c>
      <c r="L228" s="553">
        <v>9080</v>
      </c>
      <c r="M228" s="8">
        <v>3</v>
      </c>
      <c r="N228" s="444"/>
      <c r="O228" s="451" t="s">
        <v>5476</v>
      </c>
      <c r="P228" s="646"/>
    </row>
    <row r="229" spans="1:16" s="17" customFormat="1" ht="33" customHeight="1">
      <c r="A229" s="447"/>
      <c r="B229" s="412">
        <v>46120</v>
      </c>
      <c r="C229" s="3" t="s">
        <v>21</v>
      </c>
      <c r="D229" s="3" t="s">
        <v>31</v>
      </c>
      <c r="E229" s="480" t="s">
        <v>5302</v>
      </c>
      <c r="F229" s="480">
        <v>7064</v>
      </c>
      <c r="G229" s="485" t="s">
        <v>83</v>
      </c>
      <c r="H229" s="479" t="s">
        <v>5303</v>
      </c>
      <c r="I229" s="479"/>
      <c r="J229" s="479" t="s">
        <v>5485</v>
      </c>
      <c r="K229" s="136" t="s">
        <v>15</v>
      </c>
      <c r="L229" s="485" t="s">
        <v>4383</v>
      </c>
      <c r="M229" s="481">
        <v>3</v>
      </c>
      <c r="N229" s="31"/>
      <c r="O229" s="451"/>
      <c r="P229" s="646" t="s">
        <v>5316</v>
      </c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14</v>
      </c>
      <c r="E230" s="551" t="s">
        <v>107</v>
      </c>
      <c r="F230" s="551" t="s">
        <v>2963</v>
      </c>
      <c r="G230" s="553" t="s">
        <v>143</v>
      </c>
      <c r="H230" s="554" t="s">
        <v>5452</v>
      </c>
      <c r="I230" s="551"/>
      <c r="J230" s="551" t="s">
        <v>641</v>
      </c>
      <c r="K230" s="555" t="s">
        <v>15</v>
      </c>
      <c r="L230" s="553" t="s">
        <v>5289</v>
      </c>
      <c r="M230" s="8">
        <v>2</v>
      </c>
      <c r="N230" s="31"/>
      <c r="O230" s="455"/>
      <c r="P230" s="644"/>
    </row>
    <row r="231" spans="1:16" s="17" customFormat="1" ht="33" customHeight="1">
      <c r="A231" s="447"/>
      <c r="B231" s="377">
        <v>46120</v>
      </c>
      <c r="C231" s="550" t="s">
        <v>21</v>
      </c>
      <c r="D231" s="550" t="s">
        <v>17</v>
      </c>
      <c r="E231" s="554" t="s">
        <v>78</v>
      </c>
      <c r="F231" s="551">
        <v>7060</v>
      </c>
      <c r="G231" s="553" t="s">
        <v>36</v>
      </c>
      <c r="H231" s="633" t="s">
        <v>5412</v>
      </c>
      <c r="I231" s="551" t="s">
        <v>90</v>
      </c>
      <c r="J231" s="551"/>
      <c r="K231" s="555" t="s">
        <v>105</v>
      </c>
      <c r="L231" s="553">
        <v>9080</v>
      </c>
      <c r="M231" s="556">
        <v>1</v>
      </c>
      <c r="N231" s="634"/>
      <c r="O231" s="914" t="s">
        <v>5469</v>
      </c>
      <c r="P231" s="644"/>
    </row>
    <row r="232" spans="1:16" s="17" customFormat="1" ht="33" customHeight="1">
      <c r="A232" s="447"/>
      <c r="B232" s="377">
        <v>46121</v>
      </c>
      <c r="C232" s="550" t="s">
        <v>21</v>
      </c>
      <c r="D232" s="550" t="s">
        <v>17</v>
      </c>
      <c r="E232" s="554" t="s">
        <v>78</v>
      </c>
      <c r="F232" s="551">
        <v>7060</v>
      </c>
      <c r="G232" s="553" t="s">
        <v>36</v>
      </c>
      <c r="H232" s="554" t="s">
        <v>5531</v>
      </c>
      <c r="I232" s="551" t="s">
        <v>5532</v>
      </c>
      <c r="J232" s="554" t="s">
        <v>5533</v>
      </c>
      <c r="K232" s="555" t="s">
        <v>5534</v>
      </c>
      <c r="L232" s="553">
        <v>9080</v>
      </c>
      <c r="M232" s="556">
        <v>2</v>
      </c>
      <c r="N232" s="653"/>
      <c r="O232" s="914"/>
      <c r="P232" s="644"/>
    </row>
    <row r="233" spans="1:16" s="17" customFormat="1" ht="33" customHeight="1">
      <c r="A233" s="447"/>
      <c r="B233" s="377">
        <v>46121</v>
      </c>
      <c r="C233" s="3" t="s">
        <v>21</v>
      </c>
      <c r="D233" s="3" t="s">
        <v>17</v>
      </c>
      <c r="E233" s="484" t="s">
        <v>5473</v>
      </c>
      <c r="F233" s="484" t="s">
        <v>4519</v>
      </c>
      <c r="G233" s="485" t="s">
        <v>35</v>
      </c>
      <c r="H233" s="479" t="s">
        <v>5338</v>
      </c>
      <c r="I233" s="479" t="s">
        <v>5472</v>
      </c>
      <c r="J233" s="479"/>
      <c r="K233" s="136" t="s">
        <v>15</v>
      </c>
      <c r="L233" s="16" t="s">
        <v>5535</v>
      </c>
      <c r="M233" s="8">
        <v>3</v>
      </c>
      <c r="N233" s="444"/>
      <c r="O233" s="451" t="s">
        <v>5474</v>
      </c>
      <c r="P233" s="646" t="s">
        <v>5316</v>
      </c>
    </row>
    <row r="234" spans="1:16" s="17" customFormat="1" ht="33" customHeight="1">
      <c r="A234" s="447"/>
      <c r="B234" s="377">
        <v>46121</v>
      </c>
      <c r="C234" s="4" t="s">
        <v>4897</v>
      </c>
      <c r="D234" s="4" t="s">
        <v>4898</v>
      </c>
      <c r="E234" s="480" t="s">
        <v>1791</v>
      </c>
      <c r="F234" s="31" t="s">
        <v>4912</v>
      </c>
      <c r="G234" s="16" t="s">
        <v>4913</v>
      </c>
      <c r="H234" s="554" t="s">
        <v>5460</v>
      </c>
      <c r="I234" s="31" t="s">
        <v>5458</v>
      </c>
      <c r="J234" s="31" t="s">
        <v>4911</v>
      </c>
      <c r="K234" s="125" t="s">
        <v>4915</v>
      </c>
      <c r="L234" s="16" t="s">
        <v>5288</v>
      </c>
      <c r="M234" s="8">
        <v>3</v>
      </c>
      <c r="N234" s="31"/>
      <c r="O234" s="455" t="s">
        <v>5477</v>
      </c>
      <c r="P234" s="328"/>
    </row>
    <row r="235" spans="1:16" s="17" customFormat="1" ht="33" customHeight="1">
      <c r="A235" s="447"/>
      <c r="B235" s="377">
        <v>46121</v>
      </c>
      <c r="C235" s="3" t="s">
        <v>21</v>
      </c>
      <c r="D235" s="3" t="s">
        <v>30</v>
      </c>
      <c r="E235" s="480" t="s">
        <v>1791</v>
      </c>
      <c r="F235" s="479" t="s">
        <v>5461</v>
      </c>
      <c r="G235" s="485" t="s">
        <v>143</v>
      </c>
      <c r="H235" s="479" t="s">
        <v>5530</v>
      </c>
      <c r="I235" s="634" t="s">
        <v>5458</v>
      </c>
      <c r="J235" s="630"/>
      <c r="K235" s="136" t="s">
        <v>15</v>
      </c>
      <c r="L235" s="485" t="s">
        <v>4559</v>
      </c>
      <c r="M235" s="481">
        <v>1</v>
      </c>
      <c r="N235" s="630"/>
      <c r="O235" s="455"/>
      <c r="P235" s="328"/>
    </row>
    <row r="236" spans="1:16" s="17" customFormat="1" ht="33" customHeight="1">
      <c r="A236" s="447"/>
      <c r="B236" s="377">
        <v>46121</v>
      </c>
      <c r="C236" s="3" t="s">
        <v>21</v>
      </c>
      <c r="D236" s="3" t="s">
        <v>14</v>
      </c>
      <c r="E236" s="480" t="s">
        <v>1791</v>
      </c>
      <c r="F236" s="479" t="s">
        <v>5462</v>
      </c>
      <c r="G236" s="485" t="s">
        <v>143</v>
      </c>
      <c r="H236" s="479" t="s">
        <v>5463</v>
      </c>
      <c r="I236" s="653"/>
      <c r="J236" s="653" t="s">
        <v>641</v>
      </c>
      <c r="K236" s="136" t="s">
        <v>15</v>
      </c>
      <c r="L236" s="485" t="s">
        <v>4559</v>
      </c>
      <c r="M236" s="481">
        <v>2</v>
      </c>
      <c r="N236" s="653"/>
      <c r="O236" s="455"/>
      <c r="P236" s="328"/>
    </row>
    <row r="237" spans="1:16" s="17" customFormat="1" ht="33" customHeight="1">
      <c r="A237" s="447"/>
      <c r="B237" s="412">
        <v>46121</v>
      </c>
      <c r="C237" s="3" t="s">
        <v>21</v>
      </c>
      <c r="D237" s="3" t="s">
        <v>31</v>
      </c>
      <c r="E237" s="480" t="s">
        <v>5302</v>
      </c>
      <c r="F237" s="480">
        <v>7064</v>
      </c>
      <c r="G237" s="485" t="s">
        <v>83</v>
      </c>
      <c r="H237" s="479" t="s">
        <v>5303</v>
      </c>
      <c r="I237" s="479"/>
      <c r="J237" s="479" t="s">
        <v>487</v>
      </c>
      <c r="K237" s="136" t="s">
        <v>15</v>
      </c>
      <c r="L237" s="485" t="s">
        <v>5478</v>
      </c>
      <c r="M237" s="481">
        <v>2</v>
      </c>
      <c r="N237" s="548"/>
      <c r="O237" s="455"/>
      <c r="P237" s="328"/>
    </row>
    <row r="238" spans="1:16" s="17" customFormat="1" ht="33" customHeight="1">
      <c r="A238" s="447"/>
      <c r="B238" s="412">
        <v>46121</v>
      </c>
      <c r="C238" s="3" t="s">
        <v>21</v>
      </c>
      <c r="D238" s="3" t="s">
        <v>31</v>
      </c>
      <c r="E238" s="480" t="s">
        <v>5302</v>
      </c>
      <c r="F238" s="480" t="s">
        <v>2333</v>
      </c>
      <c r="G238" s="485" t="s">
        <v>23</v>
      </c>
      <c r="H238" s="479" t="s">
        <v>5495</v>
      </c>
      <c r="I238" s="480"/>
      <c r="J238" s="479" t="s">
        <v>487</v>
      </c>
      <c r="K238" s="136" t="s">
        <v>15</v>
      </c>
      <c r="L238" s="485" t="s">
        <v>5478</v>
      </c>
      <c r="M238" s="481">
        <v>2</v>
      </c>
      <c r="N238" s="653"/>
      <c r="O238" s="455"/>
      <c r="P238" s="328"/>
    </row>
    <row r="239" spans="1:16" s="17" customFormat="1" ht="33" customHeight="1">
      <c r="A239" s="447"/>
      <c r="B239" s="412">
        <v>46122</v>
      </c>
      <c r="C239" s="3" t="s">
        <v>21</v>
      </c>
      <c r="D239" s="3" t="s">
        <v>31</v>
      </c>
      <c r="E239" s="480" t="s">
        <v>5302</v>
      </c>
      <c r="F239" s="480">
        <v>7064</v>
      </c>
      <c r="G239" s="485" t="s">
        <v>83</v>
      </c>
      <c r="H239" s="479" t="s">
        <v>5303</v>
      </c>
      <c r="I239" s="479"/>
      <c r="J239" s="479" t="s">
        <v>5546</v>
      </c>
      <c r="K239" s="136" t="s">
        <v>15</v>
      </c>
      <c r="L239" s="485" t="s">
        <v>5478</v>
      </c>
      <c r="M239" s="481">
        <v>3</v>
      </c>
      <c r="N239" s="31"/>
      <c r="O239" s="451"/>
      <c r="P239" s="646" t="s">
        <v>5316</v>
      </c>
    </row>
    <row r="240" spans="1:16" s="17" customFormat="1" ht="33" customHeight="1">
      <c r="A240" s="447"/>
      <c r="B240" s="377">
        <v>46122</v>
      </c>
      <c r="C240" s="4" t="s">
        <v>4897</v>
      </c>
      <c r="D240" s="4" t="s">
        <v>4898</v>
      </c>
      <c r="E240" s="480" t="s">
        <v>1791</v>
      </c>
      <c r="F240" s="489" t="s">
        <v>4912</v>
      </c>
      <c r="G240" s="16" t="s">
        <v>4913</v>
      </c>
      <c r="H240" s="490" t="s">
        <v>4914</v>
      </c>
      <c r="I240" s="489"/>
      <c r="J240" s="489" t="s">
        <v>4911</v>
      </c>
      <c r="K240" s="125" t="s">
        <v>4915</v>
      </c>
      <c r="L240" s="16" t="s">
        <v>5288</v>
      </c>
      <c r="M240" s="8">
        <v>2</v>
      </c>
      <c r="N240" s="31"/>
      <c r="O240" s="451"/>
      <c r="P240" s="644" t="s">
        <v>5470</v>
      </c>
    </row>
    <row r="241" spans="1:16" s="17" customFormat="1" ht="33" customHeight="1">
      <c r="A241" s="447"/>
      <c r="B241" s="377">
        <v>46122</v>
      </c>
      <c r="C241" s="4" t="s">
        <v>4897</v>
      </c>
      <c r="D241" s="4" t="s">
        <v>4898</v>
      </c>
      <c r="E241" s="480" t="s">
        <v>1791</v>
      </c>
      <c r="F241" s="653" t="s">
        <v>5486</v>
      </c>
      <c r="G241" s="485" t="s">
        <v>23</v>
      </c>
      <c r="H241" s="635" t="s">
        <v>5487</v>
      </c>
      <c r="I241" s="634"/>
      <c r="J241" s="635" t="s">
        <v>120</v>
      </c>
      <c r="K241" s="125" t="s">
        <v>5488</v>
      </c>
      <c r="L241" s="16">
        <v>9080</v>
      </c>
      <c r="M241" s="640">
        <v>1</v>
      </c>
      <c r="N241" s="634"/>
      <c r="O241" s="451" t="s">
        <v>5564</v>
      </c>
      <c r="P241" s="644"/>
    </row>
    <row r="242" spans="1:16" s="17" customFormat="1" ht="33" customHeight="1">
      <c r="A242" s="448"/>
      <c r="B242" s="412">
        <v>46123</v>
      </c>
      <c r="C242" s="4"/>
      <c r="D242" s="4"/>
      <c r="E242" s="31"/>
      <c r="F242" s="31"/>
      <c r="G242" s="16"/>
      <c r="H242" s="198"/>
      <c r="I242" s="198"/>
      <c r="J242" s="198"/>
      <c r="K242" s="125"/>
      <c r="L242" s="16"/>
      <c r="M242" s="8"/>
      <c r="N242" s="31"/>
      <c r="O242" s="455"/>
      <c r="P242" s="646" t="s">
        <v>5465</v>
      </c>
    </row>
    <row r="243" spans="1:16" s="17" customFormat="1" ht="33" customHeight="1">
      <c r="A243" s="449" t="s">
        <v>0</v>
      </c>
      <c r="B243" s="331" t="s">
        <v>1</v>
      </c>
      <c r="C243" s="330" t="s">
        <v>2</v>
      </c>
      <c r="D243" s="330" t="s">
        <v>3</v>
      </c>
      <c r="E243" s="330" t="s">
        <v>4</v>
      </c>
      <c r="F243" s="330" t="s">
        <v>5</v>
      </c>
      <c r="G243" s="330" t="s">
        <v>6</v>
      </c>
      <c r="H243" s="332" t="s">
        <v>7</v>
      </c>
      <c r="I243" s="330" t="s">
        <v>8</v>
      </c>
      <c r="J243" s="330" t="s">
        <v>9</v>
      </c>
      <c r="K243" s="333" t="s">
        <v>10</v>
      </c>
      <c r="L243" s="334" t="s">
        <v>11</v>
      </c>
      <c r="M243" s="330" t="s">
        <v>12</v>
      </c>
      <c r="N243" s="335" t="s">
        <v>13</v>
      </c>
      <c r="O243" s="450" t="s">
        <v>63</v>
      </c>
      <c r="P243" s="450" t="s">
        <v>5464</v>
      </c>
    </row>
    <row r="244" spans="1:16" s="17" customFormat="1" ht="33" customHeight="1">
      <c r="A244" s="446" t="s">
        <v>4501</v>
      </c>
      <c r="B244" s="412">
        <v>46125</v>
      </c>
      <c r="C244" s="4" t="s">
        <v>5393</v>
      </c>
      <c r="D244" s="4" t="s">
        <v>5396</v>
      </c>
      <c r="E244" s="31" t="s">
        <v>5394</v>
      </c>
      <c r="F244" s="198" t="s">
        <v>5395</v>
      </c>
      <c r="G244" s="16" t="s">
        <v>5397</v>
      </c>
      <c r="H244" s="198" t="s">
        <v>5398</v>
      </c>
      <c r="I244" s="31" t="s">
        <v>5404</v>
      </c>
      <c r="J244" s="31" t="s">
        <v>5540</v>
      </c>
      <c r="K244" s="125" t="s">
        <v>5405</v>
      </c>
      <c r="L244" s="16" t="s">
        <v>5407</v>
      </c>
      <c r="M244" s="8">
        <v>2</v>
      </c>
      <c r="N244" s="31"/>
      <c r="O244" s="451" t="s">
        <v>5567</v>
      </c>
      <c r="P244" s="646" t="s">
        <v>5316</v>
      </c>
    </row>
    <row r="245" spans="1:16" s="17" customFormat="1" ht="33" customHeight="1">
      <c r="A245" s="447"/>
      <c r="B245" s="377">
        <v>46125</v>
      </c>
      <c r="C245" s="4" t="s">
        <v>21</v>
      </c>
      <c r="D245" s="4" t="s">
        <v>5399</v>
      </c>
      <c r="E245" s="557" t="s">
        <v>5394</v>
      </c>
      <c r="F245" s="31" t="s">
        <v>5400</v>
      </c>
      <c r="G245" s="16" t="s">
        <v>5401</v>
      </c>
      <c r="H245" s="198" t="s">
        <v>5402</v>
      </c>
      <c r="I245" s="31" t="s">
        <v>5403</v>
      </c>
      <c r="J245" s="31" t="s">
        <v>686</v>
      </c>
      <c r="K245" s="125" t="s">
        <v>5406</v>
      </c>
      <c r="L245" s="16" t="s">
        <v>5407</v>
      </c>
      <c r="M245" s="8">
        <v>2</v>
      </c>
      <c r="N245" s="31"/>
      <c r="O245" s="451" t="s">
        <v>5567</v>
      </c>
      <c r="P245" s="644"/>
    </row>
    <row r="246" spans="1:16" s="17" customFormat="1" ht="33" customHeight="1">
      <c r="A246" s="447"/>
      <c r="B246" s="377">
        <v>46125</v>
      </c>
      <c r="C246" s="4" t="s">
        <v>138</v>
      </c>
      <c r="D246" s="4" t="s">
        <v>5454</v>
      </c>
      <c r="E246" s="480" t="s">
        <v>1791</v>
      </c>
      <c r="F246" s="479" t="s">
        <v>5292</v>
      </c>
      <c r="G246" s="485" t="s">
        <v>5455</v>
      </c>
      <c r="H246" s="655" t="s">
        <v>5484</v>
      </c>
      <c r="I246" s="653"/>
      <c r="J246" s="655" t="s">
        <v>1877</v>
      </c>
      <c r="K246" s="125" t="s">
        <v>5456</v>
      </c>
      <c r="L246" s="16" t="s">
        <v>5457</v>
      </c>
      <c r="M246" s="654">
        <v>2</v>
      </c>
      <c r="N246" s="653"/>
      <c r="O246" s="451" t="s">
        <v>5563</v>
      </c>
      <c r="P246" s="644"/>
    </row>
    <row r="247" spans="1:16" s="17" customFormat="1" ht="33" customHeight="1">
      <c r="A247" s="447"/>
      <c r="B247" s="377">
        <v>46125</v>
      </c>
      <c r="C247" s="4" t="s">
        <v>4897</v>
      </c>
      <c r="D247" s="4" t="s">
        <v>4898</v>
      </c>
      <c r="E247" s="480" t="s">
        <v>1791</v>
      </c>
      <c r="F247" s="653" t="s">
        <v>5490</v>
      </c>
      <c r="G247" s="485" t="s">
        <v>67</v>
      </c>
      <c r="H247" s="655" t="s">
        <v>5539</v>
      </c>
      <c r="I247" s="653" t="s">
        <v>5491</v>
      </c>
      <c r="J247" s="655" t="s">
        <v>686</v>
      </c>
      <c r="K247" s="125" t="s">
        <v>5492</v>
      </c>
      <c r="L247" s="16" t="s">
        <v>4383</v>
      </c>
      <c r="M247" s="654">
        <v>2</v>
      </c>
      <c r="N247" s="653"/>
      <c r="O247" s="451" t="s">
        <v>5568</v>
      </c>
      <c r="P247" s="644"/>
    </row>
    <row r="248" spans="1:16" s="17" customFormat="1" ht="33" customHeight="1">
      <c r="A248" s="447"/>
      <c r="B248" s="377">
        <v>46125</v>
      </c>
      <c r="C248" s="4" t="s">
        <v>4897</v>
      </c>
      <c r="D248" s="4" t="s">
        <v>4898</v>
      </c>
      <c r="E248" s="480" t="s">
        <v>1791</v>
      </c>
      <c r="F248" s="653" t="s">
        <v>5490</v>
      </c>
      <c r="G248" s="485" t="s">
        <v>205</v>
      </c>
      <c r="H248" s="655" t="s">
        <v>5538</v>
      </c>
      <c r="I248" s="653" t="s">
        <v>5491</v>
      </c>
      <c r="J248" s="655" t="s">
        <v>686</v>
      </c>
      <c r="K248" s="125" t="s">
        <v>5492</v>
      </c>
      <c r="L248" s="16" t="s">
        <v>4383</v>
      </c>
      <c r="M248" s="654">
        <v>2</v>
      </c>
      <c r="N248" s="653"/>
      <c r="O248" s="451" t="s">
        <v>5568</v>
      </c>
      <c r="P248" s="644"/>
    </row>
    <row r="249" spans="1:16" s="17" customFormat="1" ht="33" customHeight="1">
      <c r="A249" s="447"/>
      <c r="B249" s="377">
        <v>46125</v>
      </c>
      <c r="C249" s="3" t="s">
        <v>21</v>
      </c>
      <c r="D249" s="3" t="s">
        <v>14</v>
      </c>
      <c r="E249" s="480" t="s">
        <v>1897</v>
      </c>
      <c r="F249" s="480" t="s">
        <v>4949</v>
      </c>
      <c r="G249" s="485" t="s">
        <v>5536</v>
      </c>
      <c r="H249" s="479" t="s">
        <v>5323</v>
      </c>
      <c r="I249" s="479"/>
      <c r="J249" s="479" t="s">
        <v>5562</v>
      </c>
      <c r="K249" s="555" t="s">
        <v>15</v>
      </c>
      <c r="L249" s="643" t="s">
        <v>5561</v>
      </c>
      <c r="M249" s="654">
        <v>4</v>
      </c>
      <c r="N249" s="653"/>
      <c r="O249" s="451" t="s">
        <v>5569</v>
      </c>
      <c r="P249" s="644"/>
    </row>
    <row r="250" spans="1:16" s="17" customFormat="1" ht="33" customHeight="1">
      <c r="A250" s="447"/>
      <c r="B250" s="412">
        <v>46126</v>
      </c>
      <c r="C250" s="3" t="s">
        <v>21</v>
      </c>
      <c r="D250" s="3" t="s">
        <v>14</v>
      </c>
      <c r="E250" s="480" t="s">
        <v>1897</v>
      </c>
      <c r="F250" s="480" t="s">
        <v>4949</v>
      </c>
      <c r="G250" s="485" t="s">
        <v>5536</v>
      </c>
      <c r="H250" s="479" t="s">
        <v>5323</v>
      </c>
      <c r="I250" s="479" t="s">
        <v>5403</v>
      </c>
      <c r="J250" s="479" t="s">
        <v>5562</v>
      </c>
      <c r="K250" s="555" t="s">
        <v>15</v>
      </c>
      <c r="L250" s="643" t="s">
        <v>5561</v>
      </c>
      <c r="M250" s="654">
        <v>4</v>
      </c>
      <c r="N250" s="653"/>
      <c r="O250" s="451"/>
      <c r="P250" s="646" t="s">
        <v>5316</v>
      </c>
    </row>
    <row r="251" spans="1:16" s="17" customFormat="1" ht="33" customHeight="1">
      <c r="A251" s="447"/>
      <c r="B251" s="412">
        <v>46126</v>
      </c>
      <c r="C251" s="550" t="s">
        <v>5408</v>
      </c>
      <c r="D251" s="550" t="s">
        <v>5409</v>
      </c>
      <c r="E251" s="554" t="s">
        <v>5410</v>
      </c>
      <c r="F251" s="551">
        <v>7060</v>
      </c>
      <c r="G251" s="553" t="s">
        <v>5411</v>
      </c>
      <c r="H251" s="563" t="s">
        <v>5544</v>
      </c>
      <c r="I251" s="31" t="s">
        <v>5545</v>
      </c>
      <c r="J251" s="198" t="s">
        <v>686</v>
      </c>
      <c r="K251" s="125" t="s">
        <v>105</v>
      </c>
      <c r="L251" s="16" t="s">
        <v>5442</v>
      </c>
      <c r="M251" s="8">
        <v>3</v>
      </c>
      <c r="N251" s="444"/>
      <c r="O251" s="451" t="s">
        <v>5570</v>
      </c>
      <c r="P251" s="644"/>
    </row>
    <row r="252" spans="1:16" s="17" customFormat="1" ht="33" customHeight="1">
      <c r="A252" s="447"/>
      <c r="B252" s="412">
        <v>46126</v>
      </c>
      <c r="C252" s="3" t="s">
        <v>21</v>
      </c>
      <c r="D252" s="3" t="s">
        <v>31</v>
      </c>
      <c r="E252" s="554" t="s">
        <v>5410</v>
      </c>
      <c r="F252" s="480" t="s">
        <v>2333</v>
      </c>
      <c r="G252" s="485" t="s">
        <v>23</v>
      </c>
      <c r="H252" s="479" t="s">
        <v>5494</v>
      </c>
      <c r="I252" s="653" t="s">
        <v>5545</v>
      </c>
      <c r="J252" s="655" t="s">
        <v>686</v>
      </c>
      <c r="K252" s="125" t="s">
        <v>105</v>
      </c>
      <c r="L252" s="16" t="s">
        <v>5442</v>
      </c>
      <c r="M252" s="8">
        <v>3</v>
      </c>
      <c r="N252" s="444"/>
      <c r="O252" s="451" t="s">
        <v>5571</v>
      </c>
      <c r="P252" s="644"/>
    </row>
    <row r="253" spans="1:16" s="17" customFormat="1" ht="33" customHeight="1">
      <c r="A253" s="447"/>
      <c r="B253" s="412">
        <v>46127</v>
      </c>
      <c r="C253" s="4" t="s">
        <v>5480</v>
      </c>
      <c r="D253" s="4" t="s">
        <v>5481</v>
      </c>
      <c r="E253" s="298" t="s">
        <v>3313</v>
      </c>
      <c r="F253" s="31" t="s">
        <v>5482</v>
      </c>
      <c r="G253" s="16" t="s">
        <v>5483</v>
      </c>
      <c r="H253" s="198" t="s">
        <v>5565</v>
      </c>
      <c r="I253" s="31" t="s">
        <v>5543</v>
      </c>
      <c r="J253" s="31"/>
      <c r="K253" s="125" t="s">
        <v>5534</v>
      </c>
      <c r="L253" s="16" t="s">
        <v>5548</v>
      </c>
      <c r="M253" s="8">
        <v>1</v>
      </c>
      <c r="N253" s="31"/>
      <c r="O253" s="455" t="s">
        <v>5572</v>
      </c>
      <c r="P253" s="646" t="s">
        <v>5316</v>
      </c>
    </row>
    <row r="254" spans="1:16" s="17" customFormat="1" ht="33" customHeight="1">
      <c r="A254" s="447"/>
      <c r="B254" s="412">
        <v>46127</v>
      </c>
      <c r="C254" s="3" t="s">
        <v>21</v>
      </c>
      <c r="D254" s="3" t="s">
        <v>14</v>
      </c>
      <c r="E254" s="480" t="s">
        <v>1897</v>
      </c>
      <c r="F254" s="480" t="s">
        <v>4949</v>
      </c>
      <c r="G254" s="485" t="s">
        <v>5536</v>
      </c>
      <c r="H254" s="479" t="s">
        <v>5323</v>
      </c>
      <c r="I254" s="479"/>
      <c r="J254" s="479" t="s">
        <v>5537</v>
      </c>
      <c r="K254" s="555" t="s">
        <v>15</v>
      </c>
      <c r="L254" s="643">
        <v>9080</v>
      </c>
      <c r="M254" s="654">
        <v>3</v>
      </c>
      <c r="N254" s="653"/>
      <c r="O254" s="455"/>
      <c r="P254" s="644"/>
    </row>
    <row r="255" spans="1:16" s="17" customFormat="1" ht="33" customHeight="1">
      <c r="A255" s="447"/>
      <c r="B255" s="412">
        <v>46128</v>
      </c>
      <c r="C255" s="3" t="s">
        <v>21</v>
      </c>
      <c r="D255" s="3" t="s">
        <v>30</v>
      </c>
      <c r="E255" s="480" t="s">
        <v>107</v>
      </c>
      <c r="F255" s="480" t="s">
        <v>2570</v>
      </c>
      <c r="G255" s="485" t="s">
        <v>3746</v>
      </c>
      <c r="H255" s="479" t="s">
        <v>4852</v>
      </c>
      <c r="I255" s="480" t="s">
        <v>5557</v>
      </c>
      <c r="J255" s="480" t="s">
        <v>4393</v>
      </c>
      <c r="K255" s="136" t="s">
        <v>15</v>
      </c>
      <c r="L255" s="485" t="s">
        <v>5446</v>
      </c>
      <c r="M255" s="8">
        <v>3</v>
      </c>
      <c r="N255" s="444"/>
      <c r="O255" s="451" t="s">
        <v>5573</v>
      </c>
      <c r="P255" s="646" t="s">
        <v>5316</v>
      </c>
    </row>
    <row r="256" spans="1:16" s="17" customFormat="1" ht="33" customHeight="1">
      <c r="A256" s="447"/>
      <c r="B256" s="377">
        <v>46128</v>
      </c>
      <c r="C256" s="4" t="s">
        <v>5206</v>
      </c>
      <c r="D256" s="4" t="s">
        <v>5245</v>
      </c>
      <c r="E256" s="298" t="s">
        <v>5246</v>
      </c>
      <c r="F256" s="31" t="s">
        <v>5247</v>
      </c>
      <c r="G256" s="16" t="s">
        <v>5248</v>
      </c>
      <c r="H256" s="198" t="s">
        <v>5558</v>
      </c>
      <c r="I256" s="31" t="s">
        <v>5249</v>
      </c>
      <c r="J256" s="31"/>
      <c r="K256" s="125" t="s">
        <v>5250</v>
      </c>
      <c r="L256" s="16" t="s">
        <v>5251</v>
      </c>
      <c r="M256" s="8">
        <v>1</v>
      </c>
      <c r="N256" s="31"/>
      <c r="O256" s="455"/>
      <c r="P256" s="644"/>
    </row>
    <row r="257" spans="1:16" s="17" customFormat="1" ht="33" customHeight="1">
      <c r="A257" s="447"/>
      <c r="B257" s="377">
        <v>46128</v>
      </c>
      <c r="C257" s="4" t="s">
        <v>4897</v>
      </c>
      <c r="D257" s="4" t="s">
        <v>4898</v>
      </c>
      <c r="E257" s="480" t="s">
        <v>1791</v>
      </c>
      <c r="F257" s="653" t="s">
        <v>5486</v>
      </c>
      <c r="G257" s="485" t="s">
        <v>23</v>
      </c>
      <c r="H257" s="635" t="s">
        <v>5489</v>
      </c>
      <c r="I257" s="480"/>
      <c r="J257" s="479" t="s">
        <v>5549</v>
      </c>
      <c r="K257" s="136" t="s">
        <v>5534</v>
      </c>
      <c r="L257" s="485" t="s">
        <v>4559</v>
      </c>
      <c r="M257" s="481">
        <v>2</v>
      </c>
      <c r="N257" s="634"/>
      <c r="O257" s="451" t="s">
        <v>5566</v>
      </c>
      <c r="P257" s="644"/>
    </row>
    <row r="258" spans="1:16" s="17" customFormat="1" ht="33" customHeight="1">
      <c r="A258" s="447"/>
      <c r="B258" s="377">
        <v>46128</v>
      </c>
      <c r="C258" s="3" t="s">
        <v>21</v>
      </c>
      <c r="D258" s="3" t="s">
        <v>14</v>
      </c>
      <c r="E258" s="480" t="s">
        <v>1897</v>
      </c>
      <c r="F258" s="480" t="s">
        <v>4949</v>
      </c>
      <c r="G258" s="485" t="s">
        <v>5536</v>
      </c>
      <c r="H258" s="479" t="s">
        <v>5323</v>
      </c>
      <c r="I258" s="479"/>
      <c r="J258" s="479" t="s">
        <v>5537</v>
      </c>
      <c r="K258" s="555" t="s">
        <v>15</v>
      </c>
      <c r="L258" s="643">
        <v>9080</v>
      </c>
      <c r="M258" s="654">
        <v>3</v>
      </c>
      <c r="N258" s="653"/>
      <c r="O258" s="455"/>
      <c r="P258" s="644"/>
    </row>
    <row r="259" spans="1:16" s="17" customFormat="1" ht="33" customHeight="1">
      <c r="A259" s="447"/>
      <c r="B259" s="412">
        <v>46129</v>
      </c>
      <c r="C259" s="3" t="s">
        <v>21</v>
      </c>
      <c r="D259" s="3" t="s">
        <v>14</v>
      </c>
      <c r="E259" s="480" t="s">
        <v>1897</v>
      </c>
      <c r="F259" s="480" t="s">
        <v>4949</v>
      </c>
      <c r="G259" s="485" t="s">
        <v>5536</v>
      </c>
      <c r="H259" s="479" t="s">
        <v>5323</v>
      </c>
      <c r="I259" s="479"/>
      <c r="J259" s="479" t="s">
        <v>5537</v>
      </c>
      <c r="K259" s="555" t="s">
        <v>15</v>
      </c>
      <c r="L259" s="643">
        <v>9080</v>
      </c>
      <c r="M259" s="654">
        <v>3</v>
      </c>
      <c r="N259" s="31" t="s">
        <v>4674</v>
      </c>
      <c r="O259" s="454"/>
      <c r="P259" s="644"/>
    </row>
    <row r="260" spans="1:16" s="17" customFormat="1" ht="33" customHeight="1">
      <c r="A260" s="447"/>
      <c r="B260" s="377">
        <v>46129</v>
      </c>
      <c r="C260" s="550" t="s">
        <v>21</v>
      </c>
      <c r="D260" s="550" t="s">
        <v>17</v>
      </c>
      <c r="E260" s="554" t="s">
        <v>78</v>
      </c>
      <c r="F260" s="551">
        <v>7060</v>
      </c>
      <c r="G260" s="553" t="s">
        <v>36</v>
      </c>
      <c r="H260" s="655" t="s">
        <v>5559</v>
      </c>
      <c r="I260" s="653" t="s">
        <v>5547</v>
      </c>
      <c r="J260" s="655" t="s">
        <v>5533</v>
      </c>
      <c r="K260" s="125" t="s">
        <v>105</v>
      </c>
      <c r="L260" s="16" t="s">
        <v>4383</v>
      </c>
      <c r="M260" s="654">
        <v>2</v>
      </c>
      <c r="N260" s="31"/>
      <c r="O260" s="451"/>
      <c r="P260" s="646" t="s">
        <v>5316</v>
      </c>
    </row>
    <row r="261" spans="1:16" s="17" customFormat="1" ht="33" customHeight="1">
      <c r="A261" s="447"/>
      <c r="B261" s="412">
        <v>46130</v>
      </c>
      <c r="C261" s="3"/>
      <c r="D261" s="3"/>
      <c r="E261" s="480"/>
      <c r="F261" s="480"/>
      <c r="G261" s="485"/>
      <c r="H261" s="479"/>
      <c r="I261" s="479"/>
      <c r="J261" s="479"/>
      <c r="K261" s="555"/>
      <c r="L261" s="643"/>
      <c r="M261" s="8"/>
      <c r="N261" s="198"/>
      <c r="O261" s="461"/>
      <c r="P261" s="644"/>
    </row>
    <row r="262" spans="1:16" s="17" customFormat="1" ht="33" customHeight="1">
      <c r="A262" s="448"/>
      <c r="B262" s="412">
        <v>46130</v>
      </c>
      <c r="C262" s="4"/>
      <c r="D262" s="4"/>
      <c r="E262" s="31"/>
      <c r="F262" s="31"/>
      <c r="G262" s="16"/>
      <c r="H262" s="198"/>
      <c r="I262" s="198"/>
      <c r="J262" s="198"/>
      <c r="K262" s="125"/>
      <c r="L262" s="16"/>
      <c r="M262" s="8"/>
      <c r="N262" s="31"/>
      <c r="O262" s="455"/>
      <c r="P262" s="644"/>
    </row>
    <row r="263" spans="1:16" s="17" customFormat="1" ht="33" customHeight="1">
      <c r="A263" s="449" t="s">
        <v>0</v>
      </c>
      <c r="B263" s="331" t="s">
        <v>1</v>
      </c>
      <c r="C263" s="330" t="s">
        <v>2</v>
      </c>
      <c r="D263" s="330" t="s">
        <v>3</v>
      </c>
      <c r="E263" s="330" t="s">
        <v>4</v>
      </c>
      <c r="F263" s="330" t="s">
        <v>5</v>
      </c>
      <c r="G263" s="330" t="s">
        <v>6</v>
      </c>
      <c r="H263" s="332" t="s">
        <v>7</v>
      </c>
      <c r="I263" s="330" t="s">
        <v>8</v>
      </c>
      <c r="J263" s="330" t="s">
        <v>9</v>
      </c>
      <c r="K263" s="333" t="s">
        <v>10</v>
      </c>
      <c r="L263" s="334" t="s">
        <v>11</v>
      </c>
      <c r="M263" s="330" t="s">
        <v>12</v>
      </c>
      <c r="N263" s="335" t="s">
        <v>13</v>
      </c>
      <c r="O263" s="450" t="s">
        <v>63</v>
      </c>
      <c r="P263" s="450" t="s">
        <v>5464</v>
      </c>
    </row>
    <row r="264" spans="1:16" s="17" customFormat="1" ht="33" customHeight="1">
      <c r="A264" s="446" t="s">
        <v>4502</v>
      </c>
      <c r="B264" s="412">
        <v>46132</v>
      </c>
      <c r="C264" s="3"/>
      <c r="D264" s="3"/>
      <c r="E264" s="479"/>
      <c r="F264" s="480"/>
      <c r="G264" s="485"/>
      <c r="H264" s="479"/>
      <c r="I264" s="630"/>
      <c r="J264" s="630"/>
      <c r="K264" s="125"/>
      <c r="L264" s="16"/>
      <c r="M264" s="8"/>
      <c r="N264" s="653" t="s">
        <v>4674</v>
      </c>
      <c r="O264" s="454"/>
      <c r="P264" s="644"/>
    </row>
    <row r="265" spans="1:16" s="17" customFormat="1" ht="33" customHeight="1">
      <c r="A265" s="447"/>
      <c r="B265" s="412">
        <v>46132</v>
      </c>
      <c r="C265" s="4"/>
      <c r="D265" s="4"/>
      <c r="E265" s="298"/>
      <c r="F265" s="31"/>
      <c r="G265" s="16"/>
      <c r="H265" s="198"/>
      <c r="I265" s="31"/>
      <c r="J265" s="31"/>
      <c r="K265" s="125"/>
      <c r="L265" s="16"/>
      <c r="M265" s="8"/>
      <c r="N265" s="31"/>
      <c r="O265" s="454"/>
      <c r="P265" s="644"/>
    </row>
    <row r="266" spans="1:16" s="17" customFormat="1" ht="33" customHeight="1">
      <c r="A266" s="447"/>
      <c r="B266" s="412">
        <v>46133</v>
      </c>
      <c r="C266" s="4" t="s">
        <v>138</v>
      </c>
      <c r="D266" s="4" t="s">
        <v>14</v>
      </c>
      <c r="E266" s="630" t="s">
        <v>1791</v>
      </c>
      <c r="F266" s="630" t="s">
        <v>2139</v>
      </c>
      <c r="G266" s="16" t="s">
        <v>142</v>
      </c>
      <c r="H266" s="479" t="s">
        <v>5285</v>
      </c>
      <c r="I266" s="479" t="s">
        <v>90</v>
      </c>
      <c r="J266" s="479" t="s">
        <v>5286</v>
      </c>
      <c r="K266" s="136" t="s">
        <v>105</v>
      </c>
      <c r="L266" s="485" t="s">
        <v>33</v>
      </c>
      <c r="M266" s="481">
        <v>6</v>
      </c>
      <c r="N266" s="444"/>
      <c r="O266" s="453"/>
      <c r="P266" s="644"/>
    </row>
    <row r="267" spans="1:16" s="17" customFormat="1" ht="33" customHeight="1">
      <c r="A267" s="447"/>
      <c r="B267" s="412">
        <v>46133</v>
      </c>
      <c r="C267" s="4"/>
      <c r="D267" s="4"/>
      <c r="E267" s="31"/>
      <c r="F267" s="31"/>
      <c r="G267" s="16"/>
      <c r="H267" s="198"/>
      <c r="I267" s="31"/>
      <c r="J267" s="198"/>
      <c r="K267" s="125"/>
      <c r="L267" s="16"/>
      <c r="M267" s="8"/>
      <c r="N267" s="444"/>
      <c r="O267" s="453"/>
      <c r="P267" s="644"/>
    </row>
    <row r="268" spans="1:16" s="17" customFormat="1" ht="33" customHeight="1">
      <c r="A268" s="447"/>
      <c r="B268" s="412">
        <v>46134</v>
      </c>
      <c r="C268" s="4" t="s">
        <v>138</v>
      </c>
      <c r="D268" s="4" t="s">
        <v>14</v>
      </c>
      <c r="E268" s="630" t="s">
        <v>1791</v>
      </c>
      <c r="F268" s="630" t="s">
        <v>2139</v>
      </c>
      <c r="G268" s="16" t="s">
        <v>142</v>
      </c>
      <c r="H268" s="479" t="s">
        <v>5542</v>
      </c>
      <c r="I268" s="479" t="s">
        <v>90</v>
      </c>
      <c r="J268" s="479" t="s">
        <v>5286</v>
      </c>
      <c r="K268" s="136" t="s">
        <v>105</v>
      </c>
      <c r="L268" s="485" t="s">
        <v>33</v>
      </c>
      <c r="M268" s="481">
        <v>6</v>
      </c>
      <c r="N268" s="31"/>
      <c r="O268" s="453"/>
      <c r="P268" s="644"/>
    </row>
    <row r="269" spans="1:16" s="17" customFormat="1" ht="33" customHeight="1">
      <c r="A269" s="447"/>
      <c r="B269" s="412">
        <v>46134</v>
      </c>
      <c r="C269" s="4"/>
      <c r="D269" s="4"/>
      <c r="E269" s="298"/>
      <c r="F269" s="31"/>
      <c r="G269" s="16"/>
      <c r="H269" s="198"/>
      <c r="I269" s="31"/>
      <c r="J269" s="31"/>
      <c r="K269" s="125"/>
      <c r="L269" s="16"/>
      <c r="M269" s="8"/>
      <c r="N269" s="31"/>
      <c r="O269" s="455"/>
      <c r="P269" s="644"/>
    </row>
    <row r="270" spans="1:16" s="17" customFormat="1" ht="33" customHeight="1">
      <c r="A270" s="447"/>
      <c r="B270" s="412">
        <v>46135</v>
      </c>
      <c r="C270" s="4" t="s">
        <v>138</v>
      </c>
      <c r="D270" s="4" t="s">
        <v>14</v>
      </c>
      <c r="E270" s="630" t="s">
        <v>1791</v>
      </c>
      <c r="F270" s="630" t="s">
        <v>2139</v>
      </c>
      <c r="G270" s="16" t="s">
        <v>142</v>
      </c>
      <c r="H270" s="479" t="s">
        <v>5318</v>
      </c>
      <c r="I270" s="479" t="s">
        <v>90</v>
      </c>
      <c r="J270" s="479" t="s">
        <v>5310</v>
      </c>
      <c r="K270" s="136" t="s">
        <v>105</v>
      </c>
      <c r="L270" s="485" t="s">
        <v>33</v>
      </c>
      <c r="M270" s="481">
        <v>4</v>
      </c>
      <c r="N270" s="444"/>
      <c r="O270" s="453"/>
      <c r="P270" s="644"/>
    </row>
    <row r="271" spans="1:16" s="17" customFormat="1" ht="33" customHeight="1">
      <c r="A271" s="447"/>
      <c r="B271" s="412">
        <v>46135</v>
      </c>
      <c r="C271" s="4"/>
      <c r="D271" s="4"/>
      <c r="E271" s="298"/>
      <c r="F271" s="31"/>
      <c r="G271" s="16"/>
      <c r="H271" s="198"/>
      <c r="I271" s="31"/>
      <c r="J271" s="31"/>
      <c r="K271" s="125"/>
      <c r="L271" s="16"/>
      <c r="M271" s="8"/>
      <c r="N271" s="31"/>
      <c r="O271" s="455"/>
      <c r="P271" s="644"/>
    </row>
    <row r="272" spans="1:16" s="17" customFormat="1" ht="33" customHeight="1">
      <c r="A272" s="447"/>
      <c r="B272" s="412">
        <v>46136</v>
      </c>
      <c r="C272" s="3" t="s">
        <v>21</v>
      </c>
      <c r="D272" s="3" t="s">
        <v>30</v>
      </c>
      <c r="E272" s="480" t="s">
        <v>107</v>
      </c>
      <c r="F272" s="480" t="s">
        <v>1972</v>
      </c>
      <c r="G272" s="485" t="s">
        <v>376</v>
      </c>
      <c r="H272" s="479" t="s">
        <v>5445</v>
      </c>
      <c r="I272" s="480" t="s">
        <v>5541</v>
      </c>
      <c r="J272" s="480" t="s">
        <v>686</v>
      </c>
      <c r="K272" s="136" t="s">
        <v>15</v>
      </c>
      <c r="L272" s="485" t="s">
        <v>5446</v>
      </c>
      <c r="M272" s="8">
        <v>2</v>
      </c>
      <c r="N272" s="31" t="s">
        <v>5560</v>
      </c>
      <c r="O272" s="452"/>
      <c r="P272" s="644"/>
    </row>
    <row r="273" spans="1:16" s="17" customFormat="1" ht="33" customHeight="1">
      <c r="A273" s="447"/>
      <c r="B273" s="412">
        <v>46136</v>
      </c>
      <c r="C273" s="4"/>
      <c r="D273" s="4"/>
      <c r="E273" s="31"/>
      <c r="F273" s="31"/>
      <c r="G273" s="16"/>
      <c r="H273" s="198"/>
      <c r="I273" s="31"/>
      <c r="J273" s="31"/>
      <c r="K273" s="125"/>
      <c r="L273" s="16"/>
      <c r="M273" s="8"/>
      <c r="N273" s="31"/>
      <c r="O273" s="451"/>
      <c r="P273" s="644"/>
    </row>
    <row r="274" spans="1:16" s="17" customFormat="1" ht="33" customHeight="1">
      <c r="A274" s="447"/>
      <c r="B274" s="412">
        <v>46137</v>
      </c>
      <c r="C274" s="4"/>
      <c r="D274" s="4"/>
      <c r="E274" s="31"/>
      <c r="F274" s="31"/>
      <c r="G274" s="16"/>
      <c r="H274" s="198"/>
      <c r="I274" s="198"/>
      <c r="J274" s="198"/>
      <c r="K274" s="125"/>
      <c r="L274" s="16"/>
      <c r="M274" s="8"/>
      <c r="N274" s="198"/>
      <c r="O274" s="461"/>
      <c r="P274" s="644"/>
    </row>
    <row r="275" spans="1:16" s="17" customFormat="1" ht="33" customHeight="1">
      <c r="A275" s="448"/>
      <c r="B275" s="412">
        <v>46137</v>
      </c>
      <c r="C275" s="4"/>
      <c r="D275" s="4"/>
      <c r="E275" s="31"/>
      <c r="F275" s="31"/>
      <c r="G275" s="16"/>
      <c r="H275" s="198"/>
      <c r="I275" s="198"/>
      <c r="J275" s="198"/>
      <c r="K275" s="125"/>
      <c r="L275" s="16"/>
      <c r="M275" s="8"/>
      <c r="N275" s="31"/>
      <c r="O275" s="455"/>
      <c r="P275" s="644"/>
    </row>
    <row r="276" spans="1:16" s="17" customFormat="1" ht="33" customHeight="1">
      <c r="A276" s="449" t="s">
        <v>0</v>
      </c>
      <c r="B276" s="331" t="s">
        <v>1</v>
      </c>
      <c r="C276" s="330" t="s">
        <v>2</v>
      </c>
      <c r="D276" s="330" t="s">
        <v>3</v>
      </c>
      <c r="E276" s="330" t="s">
        <v>4</v>
      </c>
      <c r="F276" s="330" t="s">
        <v>5</v>
      </c>
      <c r="G276" s="330" t="s">
        <v>6</v>
      </c>
      <c r="H276" s="332" t="s">
        <v>7</v>
      </c>
      <c r="I276" s="330" t="s">
        <v>8</v>
      </c>
      <c r="J276" s="330" t="s">
        <v>9</v>
      </c>
      <c r="K276" s="333" t="s">
        <v>10</v>
      </c>
      <c r="L276" s="334" t="s">
        <v>11</v>
      </c>
      <c r="M276" s="330" t="s">
        <v>12</v>
      </c>
      <c r="N276" s="335" t="s">
        <v>13</v>
      </c>
      <c r="O276" s="450" t="s">
        <v>63</v>
      </c>
      <c r="P276" s="450" t="s">
        <v>5464</v>
      </c>
    </row>
    <row r="277" spans="1:16" s="17" customFormat="1" ht="33" customHeight="1">
      <c r="A277" s="446" t="s">
        <v>4503</v>
      </c>
      <c r="B277" s="412">
        <v>46139</v>
      </c>
      <c r="C277" s="4" t="s">
        <v>5393</v>
      </c>
      <c r="D277" s="4" t="s">
        <v>5396</v>
      </c>
      <c r="E277" s="653" t="s">
        <v>5394</v>
      </c>
      <c r="F277" s="655" t="s">
        <v>5395</v>
      </c>
      <c r="G277" s="16" t="s">
        <v>5397</v>
      </c>
      <c r="H277" s="655" t="s">
        <v>5493</v>
      </c>
      <c r="I277" s="653" t="s">
        <v>5403</v>
      </c>
      <c r="J277" s="653" t="s">
        <v>5471</v>
      </c>
      <c r="K277" s="125" t="s">
        <v>5405</v>
      </c>
      <c r="L277" s="16" t="s">
        <v>5407</v>
      </c>
      <c r="M277" s="654">
        <v>2</v>
      </c>
      <c r="N277" s="31" t="s">
        <v>4674</v>
      </c>
      <c r="O277" s="454"/>
      <c r="P277" s="644"/>
    </row>
    <row r="278" spans="1:16" s="17" customFormat="1" ht="33" customHeight="1">
      <c r="A278" s="447"/>
      <c r="B278" s="412">
        <v>46139</v>
      </c>
      <c r="C278" s="4"/>
      <c r="D278" s="4"/>
      <c r="E278" s="298"/>
      <c r="F278" s="31"/>
      <c r="G278" s="16"/>
      <c r="H278" s="198"/>
      <c r="I278" s="31"/>
      <c r="J278" s="31"/>
      <c r="K278" s="125"/>
      <c r="L278" s="16"/>
      <c r="M278" s="8"/>
      <c r="N278" s="31"/>
      <c r="O278" s="454"/>
      <c r="P278" s="644"/>
    </row>
    <row r="279" spans="1:16" s="17" customFormat="1" ht="33" customHeight="1">
      <c r="A279" s="447"/>
      <c r="B279" s="412">
        <v>46140</v>
      </c>
      <c r="C279" s="3" t="s">
        <v>21</v>
      </c>
      <c r="D279" s="3" t="s">
        <v>14</v>
      </c>
      <c r="E279" s="480" t="s">
        <v>107</v>
      </c>
      <c r="F279" s="480" t="s">
        <v>3390</v>
      </c>
      <c r="G279" s="16" t="s">
        <v>23</v>
      </c>
      <c r="H279" s="655" t="s">
        <v>5479</v>
      </c>
      <c r="I279" s="480" t="s">
        <v>90</v>
      </c>
      <c r="J279" s="479" t="s">
        <v>777</v>
      </c>
      <c r="K279" s="136" t="s">
        <v>15</v>
      </c>
      <c r="L279" s="485" t="s">
        <v>4383</v>
      </c>
      <c r="M279" s="8"/>
      <c r="N279" s="444"/>
      <c r="O279" s="455" t="s">
        <v>5550</v>
      </c>
      <c r="P279" s="644"/>
    </row>
    <row r="280" spans="1:16" s="17" customFormat="1" ht="33" customHeight="1">
      <c r="A280" s="447"/>
      <c r="B280" s="412">
        <v>46140</v>
      </c>
      <c r="C280" s="4"/>
      <c r="D280" s="4"/>
      <c r="E280" s="31"/>
      <c r="F280" s="31"/>
      <c r="G280" s="16"/>
      <c r="H280" s="198"/>
      <c r="I280" s="31"/>
      <c r="J280" s="198"/>
      <c r="K280" s="125"/>
      <c r="L280" s="16"/>
      <c r="M280" s="8"/>
      <c r="N280" s="444"/>
      <c r="O280" s="453"/>
      <c r="P280" s="644"/>
    </row>
    <row r="281" spans="1:16" s="17" customFormat="1" ht="33" customHeight="1">
      <c r="A281" s="447"/>
      <c r="B281" s="412">
        <v>46141</v>
      </c>
      <c r="C281" s="4"/>
      <c r="D281" s="4"/>
      <c r="E281" s="31"/>
      <c r="F281" s="31"/>
      <c r="G281" s="16"/>
      <c r="H281" s="198"/>
      <c r="I281" s="31"/>
      <c r="J281" s="198"/>
      <c r="K281" s="125"/>
      <c r="L281" s="16"/>
      <c r="M281" s="8"/>
      <c r="N281" s="31" t="s">
        <v>4674</v>
      </c>
      <c r="O281" s="453"/>
      <c r="P281" s="644"/>
    </row>
    <row r="282" spans="1:16" s="17" customFormat="1" ht="33" customHeight="1">
      <c r="A282" s="447"/>
      <c r="B282" s="412">
        <v>46141</v>
      </c>
      <c r="C282" s="4"/>
      <c r="D282" s="4"/>
      <c r="E282" s="298"/>
      <c r="F282" s="31"/>
      <c r="G282" s="16"/>
      <c r="H282" s="198"/>
      <c r="I282" s="31"/>
      <c r="J282" s="31"/>
      <c r="K282" s="125"/>
      <c r="L282" s="16"/>
      <c r="M282" s="8"/>
      <c r="N282" s="31"/>
      <c r="O282" s="455"/>
      <c r="P282" s="644"/>
    </row>
    <row r="283" spans="1:16" s="17" customFormat="1" ht="33" customHeight="1">
      <c r="A283" s="447"/>
      <c r="B283" s="412">
        <v>46142</v>
      </c>
      <c r="C283" s="4"/>
      <c r="D283" s="4"/>
      <c r="E283" s="31"/>
      <c r="F283" s="31"/>
      <c r="G283" s="16"/>
      <c r="H283" s="198"/>
      <c r="I283" s="31"/>
      <c r="J283" s="198"/>
      <c r="K283" s="125"/>
      <c r="L283" s="16"/>
      <c r="M283" s="8"/>
      <c r="N283" s="444"/>
      <c r="O283" s="453"/>
      <c r="P283" s="644"/>
    </row>
    <row r="284" spans="1:16" s="17" customFormat="1" ht="33" customHeight="1">
      <c r="A284" s="447"/>
      <c r="B284" s="412">
        <v>46142</v>
      </c>
      <c r="C284" s="4"/>
      <c r="D284" s="4"/>
      <c r="E284" s="298"/>
      <c r="F284" s="31"/>
      <c r="G284" s="16"/>
      <c r="H284" s="198"/>
      <c r="I284" s="31"/>
      <c r="J284" s="31"/>
      <c r="K284" s="125"/>
      <c r="L284" s="16"/>
      <c r="M284" s="8"/>
      <c r="N284" s="31"/>
      <c r="O284" s="455"/>
      <c r="P284" s="644"/>
    </row>
    <row r="285" spans="1:16" s="17" customFormat="1" ht="33" customHeight="1">
      <c r="A285" s="447"/>
      <c r="B285" s="412">
        <v>46143</v>
      </c>
      <c r="C285" s="4"/>
      <c r="D285" s="4"/>
      <c r="E285" s="31"/>
      <c r="F285" s="298"/>
      <c r="G285" s="16"/>
      <c r="H285" s="198"/>
      <c r="I285" s="31"/>
      <c r="J285" s="198"/>
      <c r="K285" s="125"/>
      <c r="L285" s="16"/>
      <c r="M285" s="8"/>
      <c r="N285" s="31" t="s">
        <v>4674</v>
      </c>
      <c r="O285" s="452"/>
      <c r="P285" s="644"/>
    </row>
    <row r="286" spans="1:16" s="17" customFormat="1" ht="33" customHeight="1">
      <c r="A286" s="447"/>
      <c r="B286" s="412">
        <v>46143</v>
      </c>
      <c r="C286" s="4"/>
      <c r="D286" s="4"/>
      <c r="E286" s="31"/>
      <c r="F286" s="31"/>
      <c r="G286" s="16"/>
      <c r="H286" s="422" t="s">
        <v>5297</v>
      </c>
      <c r="I286" s="31"/>
      <c r="J286" s="31"/>
      <c r="K286" s="125"/>
      <c r="L286" s="16"/>
      <c r="M286" s="8"/>
      <c r="N286" s="31"/>
      <c r="O286" s="451"/>
      <c r="P286" s="644"/>
    </row>
    <row r="287" spans="1:16" s="17" customFormat="1" ht="33" customHeight="1">
      <c r="A287" s="447"/>
      <c r="B287" s="412">
        <v>46144</v>
      </c>
      <c r="C287" s="4"/>
      <c r="D287" s="4"/>
      <c r="E287" s="31"/>
      <c r="F287" s="31"/>
      <c r="G287" s="16"/>
      <c r="H287" s="198"/>
      <c r="I287" s="198"/>
      <c r="J287" s="198"/>
      <c r="K287" s="125"/>
      <c r="L287" s="16"/>
      <c r="M287" s="8"/>
      <c r="N287" s="198"/>
      <c r="O287" s="461"/>
      <c r="P287" s="644"/>
    </row>
    <row r="288" spans="1:16" s="17" customFormat="1" ht="33" customHeight="1">
      <c r="A288" s="448"/>
      <c r="B288" s="412">
        <v>46144</v>
      </c>
      <c r="C288" s="4"/>
      <c r="D288" s="4"/>
      <c r="E288" s="31"/>
      <c r="F288" s="31"/>
      <c r="G288" s="16"/>
      <c r="H288" s="198"/>
      <c r="I288" s="198"/>
      <c r="J288" s="198"/>
      <c r="K288" s="125"/>
      <c r="L288" s="16"/>
      <c r="M288" s="8"/>
      <c r="N288" s="31"/>
      <c r="O288" s="455"/>
      <c r="P288" s="644"/>
    </row>
    <row r="289" spans="1:16" s="17" customFormat="1" ht="33" customHeight="1">
      <c r="A289" s="449" t="s">
        <v>0</v>
      </c>
      <c r="B289" s="331" t="s">
        <v>1</v>
      </c>
      <c r="C289" s="330" t="s">
        <v>2</v>
      </c>
      <c r="D289" s="330" t="s">
        <v>3</v>
      </c>
      <c r="E289" s="330" t="s">
        <v>4</v>
      </c>
      <c r="F289" s="330" t="s">
        <v>5</v>
      </c>
      <c r="G289" s="330" t="s">
        <v>6</v>
      </c>
      <c r="H289" s="332" t="s">
        <v>7</v>
      </c>
      <c r="I289" s="330" t="s">
        <v>8</v>
      </c>
      <c r="J289" s="330" t="s">
        <v>9</v>
      </c>
      <c r="K289" s="333" t="s">
        <v>10</v>
      </c>
      <c r="L289" s="334" t="s">
        <v>11</v>
      </c>
      <c r="M289" s="330" t="s">
        <v>12</v>
      </c>
      <c r="N289" s="335" t="s">
        <v>13</v>
      </c>
      <c r="O289" s="450" t="s">
        <v>63</v>
      </c>
      <c r="P289" s="450" t="s">
        <v>5464</v>
      </c>
    </row>
    <row r="290" spans="1:16" s="17" customFormat="1" ht="33" customHeight="1">
      <c r="A290" s="446" t="s">
        <v>4504</v>
      </c>
      <c r="B290" s="412">
        <v>46146</v>
      </c>
      <c r="C290" s="4"/>
      <c r="D290" s="4"/>
      <c r="E290" s="31"/>
      <c r="F290" s="198"/>
      <c r="G290" s="16"/>
      <c r="H290" s="198"/>
      <c r="I290" s="31"/>
      <c r="J290" s="31"/>
      <c r="K290" s="125"/>
      <c r="L290" s="16"/>
      <c r="M290" s="8"/>
      <c r="N290" s="31" t="s">
        <v>4674</v>
      </c>
      <c r="O290" s="454"/>
      <c r="P290" s="644"/>
    </row>
    <row r="291" spans="1:16" s="17" customFormat="1" ht="33" customHeight="1">
      <c r="A291" s="447"/>
      <c r="B291" s="412">
        <v>46146</v>
      </c>
      <c r="C291" s="4"/>
      <c r="D291" s="4"/>
      <c r="E291" s="298"/>
      <c r="F291" s="31"/>
      <c r="G291" s="16"/>
      <c r="H291" s="198"/>
      <c r="I291" s="31"/>
      <c r="J291" s="31"/>
      <c r="K291" s="125"/>
      <c r="L291" s="16"/>
      <c r="M291" s="8"/>
      <c r="N291" s="31"/>
      <c r="O291" s="454"/>
      <c r="P291" s="644"/>
    </row>
    <row r="292" spans="1:16" s="17" customFormat="1" ht="33" customHeight="1">
      <c r="A292" s="447"/>
      <c r="B292" s="412">
        <v>46147</v>
      </c>
      <c r="C292" s="4"/>
      <c r="D292" s="4"/>
      <c r="E292" s="31"/>
      <c r="F292" s="31"/>
      <c r="G292" s="16"/>
      <c r="H292" s="422" t="s">
        <v>4762</v>
      </c>
      <c r="I292" s="31"/>
      <c r="J292" s="198"/>
      <c r="K292" s="125"/>
      <c r="L292" s="16"/>
      <c r="M292" s="8"/>
      <c r="N292" s="444"/>
      <c r="O292" s="453"/>
      <c r="P292" s="644"/>
    </row>
    <row r="293" spans="1:16" s="17" customFormat="1" ht="33" customHeight="1">
      <c r="A293" s="447"/>
      <c r="B293" s="412">
        <v>46147</v>
      </c>
      <c r="C293" s="4"/>
      <c r="D293" s="4"/>
      <c r="E293" s="31"/>
      <c r="F293" s="31"/>
      <c r="G293" s="16"/>
      <c r="H293" s="198"/>
      <c r="I293" s="31"/>
      <c r="J293" s="198"/>
      <c r="K293" s="125"/>
      <c r="L293" s="16"/>
      <c r="M293" s="8"/>
      <c r="N293" s="444"/>
      <c r="O293" s="453"/>
      <c r="P293" s="644"/>
    </row>
    <row r="294" spans="1:16" s="17" customFormat="1" ht="33" customHeight="1">
      <c r="A294" s="447"/>
      <c r="B294" s="412">
        <v>46148</v>
      </c>
      <c r="C294" s="4" t="s">
        <v>113</v>
      </c>
      <c r="D294" s="4" t="s">
        <v>5266</v>
      </c>
      <c r="E294" s="522" t="s">
        <v>5276</v>
      </c>
      <c r="F294" s="522" t="s">
        <v>5277</v>
      </c>
      <c r="G294" s="16" t="s">
        <v>5278</v>
      </c>
      <c r="H294" s="523" t="s">
        <v>5270</v>
      </c>
      <c r="I294" s="522"/>
      <c r="J294" s="198"/>
      <c r="K294" s="125"/>
      <c r="L294" s="16"/>
      <c r="M294" s="8"/>
      <c r="N294" s="31" t="s">
        <v>4674</v>
      </c>
      <c r="O294" s="453"/>
      <c r="P294" s="644"/>
    </row>
    <row r="295" spans="1:16" s="17" customFormat="1" ht="33" customHeight="1">
      <c r="A295" s="447"/>
      <c r="B295" s="412">
        <v>46148</v>
      </c>
      <c r="C295" s="4"/>
      <c r="D295" s="4"/>
      <c r="E295" s="298"/>
      <c r="F295" s="31"/>
      <c r="G295" s="16"/>
      <c r="H295" s="198"/>
      <c r="I295" s="31"/>
      <c r="J295" s="31"/>
      <c r="K295" s="125"/>
      <c r="L295" s="16"/>
      <c r="M295" s="8"/>
      <c r="N295" s="31"/>
      <c r="O295" s="455"/>
      <c r="P295" s="644"/>
    </row>
    <row r="296" spans="1:16" s="17" customFormat="1" ht="33" customHeight="1">
      <c r="A296" s="447"/>
      <c r="B296" s="412">
        <v>46149</v>
      </c>
      <c r="C296" s="4" t="s">
        <v>113</v>
      </c>
      <c r="D296" s="4" t="s">
        <v>5266</v>
      </c>
      <c r="E296" s="522" t="s">
        <v>5276</v>
      </c>
      <c r="F296" s="522" t="s">
        <v>5277</v>
      </c>
      <c r="G296" s="16" t="s">
        <v>5269</v>
      </c>
      <c r="H296" s="523" t="s">
        <v>5270</v>
      </c>
      <c r="I296" s="31"/>
      <c r="J296" s="198"/>
      <c r="K296" s="125"/>
      <c r="L296" s="16"/>
      <c r="M296" s="8"/>
      <c r="N296" s="444"/>
      <c r="O296" s="453"/>
      <c r="P296" s="644"/>
    </row>
    <row r="297" spans="1:16" s="17" customFormat="1" ht="33" customHeight="1">
      <c r="A297" s="447"/>
      <c r="B297" s="412">
        <v>46149</v>
      </c>
      <c r="C297" s="4" t="s">
        <v>113</v>
      </c>
      <c r="D297" s="4" t="s">
        <v>5266</v>
      </c>
      <c r="E297" s="522" t="s">
        <v>5276</v>
      </c>
      <c r="F297" s="522" t="s">
        <v>5277</v>
      </c>
      <c r="G297" s="16" t="s">
        <v>5279</v>
      </c>
      <c r="H297" s="523" t="s">
        <v>5270</v>
      </c>
      <c r="I297" s="31"/>
      <c r="J297" s="31"/>
      <c r="K297" s="125"/>
      <c r="L297" s="16"/>
      <c r="M297" s="8"/>
      <c r="N297" s="31"/>
      <c r="O297" s="455"/>
      <c r="P297" s="644"/>
    </row>
    <row r="298" spans="1:16" s="17" customFormat="1" ht="33" customHeight="1">
      <c r="A298" s="447"/>
      <c r="B298" s="412">
        <v>46150</v>
      </c>
      <c r="C298" s="4" t="s">
        <v>113</v>
      </c>
      <c r="D298" s="4" t="s">
        <v>5266</v>
      </c>
      <c r="E298" s="522" t="s">
        <v>5276</v>
      </c>
      <c r="F298" s="522" t="s">
        <v>5277</v>
      </c>
      <c r="G298" s="16" t="s">
        <v>5280</v>
      </c>
      <c r="H298" s="523" t="s">
        <v>5270</v>
      </c>
      <c r="I298" s="31"/>
      <c r="J298" s="198"/>
      <c r="K298" s="125"/>
      <c r="L298" s="16"/>
      <c r="M298" s="8"/>
      <c r="N298" s="31" t="s">
        <v>4674</v>
      </c>
      <c r="O298" s="452"/>
      <c r="P298" s="644"/>
    </row>
    <row r="299" spans="1:16" s="17" customFormat="1" ht="33" customHeight="1">
      <c r="A299" s="447"/>
      <c r="B299" s="412">
        <v>46150</v>
      </c>
      <c r="C299" s="4"/>
      <c r="D299" s="4"/>
      <c r="E299" s="31"/>
      <c r="F299" s="31"/>
      <c r="G299" s="16"/>
      <c r="H299" s="198"/>
      <c r="I299" s="31"/>
      <c r="J299" s="31"/>
      <c r="K299" s="125"/>
      <c r="L299" s="16"/>
      <c r="M299" s="8"/>
      <c r="N299" s="31"/>
      <c r="O299" s="451"/>
      <c r="P299" s="644"/>
    </row>
    <row r="300" spans="1:16" s="17" customFormat="1" ht="33" customHeight="1">
      <c r="A300" s="447"/>
      <c r="B300" s="412">
        <v>46151</v>
      </c>
      <c r="C300" s="4"/>
      <c r="D300" s="4"/>
      <c r="E300" s="31"/>
      <c r="F300" s="31"/>
      <c r="G300" s="16"/>
      <c r="H300" s="198"/>
      <c r="I300" s="198"/>
      <c r="J300" s="198"/>
      <c r="K300" s="125"/>
      <c r="L300" s="16"/>
      <c r="M300" s="8"/>
      <c r="N300" s="198"/>
      <c r="O300" s="461"/>
      <c r="P300" s="644"/>
    </row>
    <row r="301" spans="1:16" s="17" customFormat="1" ht="33" customHeight="1">
      <c r="A301" s="448"/>
      <c r="B301" s="412">
        <v>46151</v>
      </c>
      <c r="C301" s="4"/>
      <c r="D301" s="4"/>
      <c r="E301" s="31"/>
      <c r="F301" s="31"/>
      <c r="G301" s="16"/>
      <c r="H301" s="198"/>
      <c r="I301" s="198"/>
      <c r="J301" s="198"/>
      <c r="K301" s="125"/>
      <c r="L301" s="16"/>
      <c r="M301" s="8"/>
      <c r="N301" s="31"/>
      <c r="O301" s="455"/>
      <c r="P301" s="644"/>
    </row>
    <row r="302" spans="1:16" s="17" customFormat="1" ht="33" customHeight="1">
      <c r="A302" s="449" t="s">
        <v>0</v>
      </c>
      <c r="B302" s="331" t="s">
        <v>1</v>
      </c>
      <c r="C302" s="330" t="s">
        <v>2</v>
      </c>
      <c r="D302" s="330" t="s">
        <v>3</v>
      </c>
      <c r="E302" s="330" t="s">
        <v>4</v>
      </c>
      <c r="F302" s="330" t="s">
        <v>5</v>
      </c>
      <c r="G302" s="330" t="s">
        <v>6</v>
      </c>
      <c r="H302" s="332" t="s">
        <v>7</v>
      </c>
      <c r="I302" s="330" t="s">
        <v>8</v>
      </c>
      <c r="J302" s="330" t="s">
        <v>9</v>
      </c>
      <c r="K302" s="333" t="s">
        <v>10</v>
      </c>
      <c r="L302" s="334" t="s">
        <v>11</v>
      </c>
      <c r="M302" s="330" t="s">
        <v>12</v>
      </c>
      <c r="N302" s="335" t="s">
        <v>13</v>
      </c>
      <c r="O302" s="450" t="s">
        <v>63</v>
      </c>
      <c r="P302" s="450" t="s">
        <v>5464</v>
      </c>
    </row>
    <row r="303" spans="1:16" s="17" customFormat="1" ht="33" customHeight="1">
      <c r="A303" s="446" t="s">
        <v>4505</v>
      </c>
      <c r="B303" s="412">
        <v>46153</v>
      </c>
      <c r="C303" s="4"/>
      <c r="D303" s="4"/>
      <c r="E303" s="31"/>
      <c r="F303" s="198"/>
      <c r="G303" s="16"/>
      <c r="H303" s="198"/>
      <c r="I303" s="31"/>
      <c r="J303" s="31"/>
      <c r="K303" s="125"/>
      <c r="L303" s="16"/>
      <c r="M303" s="8"/>
      <c r="N303" s="31" t="s">
        <v>4674</v>
      </c>
      <c r="O303" s="454"/>
      <c r="P303" s="644"/>
    </row>
    <row r="304" spans="1:16" s="17" customFormat="1" ht="33" customHeight="1">
      <c r="A304" s="447"/>
      <c r="B304" s="412">
        <v>46153</v>
      </c>
      <c r="C304" s="4"/>
      <c r="D304" s="4"/>
      <c r="E304" s="298"/>
      <c r="F304" s="31"/>
      <c r="G304" s="16"/>
      <c r="H304" s="198"/>
      <c r="I304" s="31"/>
      <c r="J304" s="31"/>
      <c r="K304" s="125"/>
      <c r="L304" s="16"/>
      <c r="M304" s="8"/>
      <c r="N304" s="31"/>
      <c r="O304" s="454"/>
      <c r="P304" s="644"/>
    </row>
    <row r="305" spans="1:16" s="17" customFormat="1" ht="33" customHeight="1">
      <c r="A305" s="447"/>
      <c r="B305" s="412">
        <v>46154</v>
      </c>
      <c r="C305" s="4"/>
      <c r="D305" s="4"/>
      <c r="E305" s="31"/>
      <c r="F305" s="31"/>
      <c r="G305" s="16"/>
      <c r="H305" s="198"/>
      <c r="I305" s="31"/>
      <c r="J305" s="198"/>
      <c r="K305" s="125"/>
      <c r="L305" s="16"/>
      <c r="M305" s="8"/>
      <c r="N305" s="444"/>
      <c r="O305" s="453"/>
      <c r="P305" s="644"/>
    </row>
    <row r="306" spans="1:16" s="17" customFormat="1" ht="33" customHeight="1">
      <c r="A306" s="447"/>
      <c r="B306" s="412">
        <v>46154</v>
      </c>
      <c r="C306" s="4"/>
      <c r="D306" s="4"/>
      <c r="E306" s="31"/>
      <c r="F306" s="31"/>
      <c r="G306" s="16"/>
      <c r="H306" s="198"/>
      <c r="I306" s="31"/>
      <c r="J306" s="198"/>
      <c r="K306" s="125"/>
      <c r="L306" s="16"/>
      <c r="M306" s="8"/>
      <c r="N306" s="444"/>
      <c r="O306" s="453"/>
      <c r="P306" s="644"/>
    </row>
    <row r="307" spans="1:16" s="17" customFormat="1" ht="33" customHeight="1">
      <c r="A307" s="447"/>
      <c r="B307" s="412">
        <v>46155</v>
      </c>
      <c r="C307" s="4"/>
      <c r="D307" s="4"/>
      <c r="E307" s="31"/>
      <c r="F307" s="31"/>
      <c r="G307" s="16"/>
      <c r="H307" s="198"/>
      <c r="I307" s="31"/>
      <c r="J307" s="198"/>
      <c r="K307" s="125"/>
      <c r="L307" s="16"/>
      <c r="M307" s="8"/>
      <c r="N307" s="31" t="s">
        <v>4674</v>
      </c>
      <c r="O307" s="453"/>
      <c r="P307" s="644"/>
    </row>
    <row r="308" spans="1:16" s="17" customFormat="1" ht="33" customHeight="1">
      <c r="A308" s="447"/>
      <c r="B308" s="412">
        <v>46155</v>
      </c>
      <c r="C308" s="4"/>
      <c r="D308" s="4"/>
      <c r="E308" s="298"/>
      <c r="F308" s="31"/>
      <c r="G308" s="16"/>
      <c r="H308" s="198"/>
      <c r="I308" s="31"/>
      <c r="J308" s="31"/>
      <c r="K308" s="125"/>
      <c r="L308" s="16"/>
      <c r="M308" s="8"/>
      <c r="N308" s="31"/>
      <c r="O308" s="455"/>
      <c r="P308" s="644"/>
    </row>
    <row r="309" spans="1:16" s="17" customFormat="1" ht="33" customHeight="1">
      <c r="A309" s="447"/>
      <c r="B309" s="412">
        <v>46156</v>
      </c>
      <c r="C309" s="4"/>
      <c r="D309" s="4"/>
      <c r="E309" s="31"/>
      <c r="F309" s="31"/>
      <c r="G309" s="16"/>
      <c r="H309" s="198"/>
      <c r="I309" s="31"/>
      <c r="J309" s="198"/>
      <c r="K309" s="125"/>
      <c r="L309" s="16"/>
      <c r="M309" s="8"/>
      <c r="N309" s="444"/>
      <c r="O309" s="453"/>
      <c r="P309" s="644"/>
    </row>
    <row r="310" spans="1:16" s="17" customFormat="1" ht="33" customHeight="1">
      <c r="A310" s="447"/>
      <c r="B310" s="412">
        <v>46156</v>
      </c>
      <c r="C310" s="4"/>
      <c r="D310" s="4"/>
      <c r="E310" s="298"/>
      <c r="F310" s="31"/>
      <c r="G310" s="16"/>
      <c r="H310" s="198"/>
      <c r="I310" s="31"/>
      <c r="J310" s="31"/>
      <c r="K310" s="125"/>
      <c r="L310" s="16"/>
      <c r="M310" s="8"/>
      <c r="N310" s="31"/>
      <c r="O310" s="455"/>
      <c r="P310" s="644"/>
    </row>
    <row r="311" spans="1:16" s="17" customFormat="1" ht="33" customHeight="1">
      <c r="A311" s="447"/>
      <c r="B311" s="412">
        <v>46157</v>
      </c>
      <c r="C311" s="188" t="s">
        <v>4510</v>
      </c>
      <c r="D311" s="188" t="s">
        <v>4511</v>
      </c>
      <c r="E311" s="245" t="s">
        <v>4520</v>
      </c>
      <c r="F311" s="440" t="s">
        <v>4521</v>
      </c>
      <c r="G311" s="398" t="s">
        <v>4512</v>
      </c>
      <c r="H311" s="245" t="s">
        <v>4515</v>
      </c>
      <c r="I311" s="245" t="s">
        <v>4908</v>
      </c>
      <c r="J311" s="245"/>
      <c r="K311" s="246" t="s">
        <v>4513</v>
      </c>
      <c r="L311" s="398"/>
      <c r="M311" s="417"/>
      <c r="N311" s="31" t="s">
        <v>4674</v>
      </c>
      <c r="O311" s="465" t="s">
        <v>4514</v>
      </c>
      <c r="P311" s="644"/>
    </row>
    <row r="312" spans="1:16" s="17" customFormat="1" ht="33" customHeight="1">
      <c r="A312" s="447"/>
      <c r="B312" s="412">
        <v>46157</v>
      </c>
      <c r="C312" s="4"/>
      <c r="D312" s="4"/>
      <c r="E312" s="31"/>
      <c r="F312" s="31"/>
      <c r="G312" s="16"/>
      <c r="H312" s="198"/>
      <c r="I312" s="31"/>
      <c r="J312" s="31"/>
      <c r="K312" s="125"/>
      <c r="L312" s="16"/>
      <c r="M312" s="8"/>
      <c r="N312" s="31"/>
      <c r="O312" s="451"/>
      <c r="P312" s="644"/>
    </row>
    <row r="313" spans="1:16" s="17" customFormat="1" ht="33" customHeight="1">
      <c r="A313" s="447"/>
      <c r="B313" s="412">
        <v>46158</v>
      </c>
      <c r="C313" s="4"/>
      <c r="D313" s="4"/>
      <c r="E313" s="31"/>
      <c r="F313" s="31"/>
      <c r="G313" s="16"/>
      <c r="H313" s="198"/>
      <c r="I313" s="198"/>
      <c r="J313" s="198"/>
      <c r="K313" s="125"/>
      <c r="L313" s="16"/>
      <c r="M313" s="8"/>
      <c r="N313" s="198"/>
      <c r="O313" s="461"/>
      <c r="P313" s="644"/>
    </row>
    <row r="314" spans="1:16" s="17" customFormat="1" ht="33" customHeight="1">
      <c r="A314" s="448"/>
      <c r="B314" s="412">
        <v>46158</v>
      </c>
      <c r="C314" s="4"/>
      <c r="D314" s="4"/>
      <c r="E314" s="31"/>
      <c r="F314" s="31"/>
      <c r="G314" s="16"/>
      <c r="H314" s="198"/>
      <c r="I314" s="198"/>
      <c r="J314" s="198"/>
      <c r="K314" s="125"/>
      <c r="L314" s="16"/>
      <c r="M314" s="8"/>
      <c r="N314" s="31"/>
      <c r="O314" s="455"/>
      <c r="P314" s="644"/>
    </row>
    <row r="315" spans="1:16" s="17" customFormat="1" ht="33" customHeight="1">
      <c r="A315" s="449" t="s">
        <v>0</v>
      </c>
      <c r="B315" s="331" t="s">
        <v>1</v>
      </c>
      <c r="C315" s="330" t="s">
        <v>2</v>
      </c>
      <c r="D315" s="330" t="s">
        <v>3</v>
      </c>
      <c r="E315" s="330" t="s">
        <v>4</v>
      </c>
      <c r="F315" s="330" t="s">
        <v>5</v>
      </c>
      <c r="G315" s="330" t="s">
        <v>6</v>
      </c>
      <c r="H315" s="332" t="s">
        <v>7</v>
      </c>
      <c r="I315" s="330" t="s">
        <v>8</v>
      </c>
      <c r="J315" s="330" t="s">
        <v>9</v>
      </c>
      <c r="K315" s="333" t="s">
        <v>10</v>
      </c>
      <c r="L315" s="334" t="s">
        <v>11</v>
      </c>
      <c r="M315" s="330" t="s">
        <v>12</v>
      </c>
      <c r="N315" s="335" t="s">
        <v>13</v>
      </c>
      <c r="O315" s="450" t="s">
        <v>63</v>
      </c>
      <c r="P315" s="450" t="s">
        <v>5464</v>
      </c>
    </row>
    <row r="316" spans="1:16" s="17" customFormat="1" ht="33" customHeight="1">
      <c r="A316" s="446" t="s">
        <v>4506</v>
      </c>
      <c r="B316" s="412">
        <v>46160</v>
      </c>
      <c r="C316" s="4"/>
      <c r="D316" s="4"/>
      <c r="E316" s="31"/>
      <c r="F316" s="198"/>
      <c r="G316" s="16"/>
      <c r="H316" s="198"/>
      <c r="I316" s="31"/>
      <c r="J316" s="31"/>
      <c r="K316" s="125"/>
      <c r="L316" s="16"/>
      <c r="M316" s="8"/>
      <c r="N316" s="31" t="s">
        <v>4674</v>
      </c>
      <c r="O316" s="454"/>
      <c r="P316" s="644"/>
    </row>
    <row r="317" spans="1:16" s="17" customFormat="1" ht="33" customHeight="1">
      <c r="A317" s="447"/>
      <c r="B317" s="412">
        <v>46160</v>
      </c>
      <c r="C317" s="4"/>
      <c r="D317" s="4"/>
      <c r="E317" s="298"/>
      <c r="F317" s="31"/>
      <c r="G317" s="16"/>
      <c r="H317" s="198"/>
      <c r="I317" s="31"/>
      <c r="J317" s="31"/>
      <c r="K317" s="125"/>
      <c r="L317" s="16"/>
      <c r="M317" s="8"/>
      <c r="N317" s="31"/>
      <c r="O317" s="454"/>
      <c r="P317" s="644"/>
    </row>
    <row r="318" spans="1:16" s="17" customFormat="1" ht="33" customHeight="1">
      <c r="A318" s="447"/>
      <c r="B318" s="412">
        <v>46161</v>
      </c>
      <c r="C318" s="4"/>
      <c r="D318" s="4"/>
      <c r="E318" s="31"/>
      <c r="F318" s="31"/>
      <c r="G318" s="16"/>
      <c r="H318" s="198"/>
      <c r="I318" s="31"/>
      <c r="J318" s="198"/>
      <c r="K318" s="125"/>
      <c r="L318" s="16"/>
      <c r="M318" s="8"/>
      <c r="N318" s="444"/>
      <c r="O318" s="453"/>
      <c r="P318" s="644"/>
    </row>
    <row r="319" spans="1:16" s="17" customFormat="1" ht="33" customHeight="1">
      <c r="A319" s="447"/>
      <c r="B319" s="412">
        <v>46161</v>
      </c>
      <c r="C319" s="4"/>
      <c r="D319" s="4"/>
      <c r="E319" s="31"/>
      <c r="F319" s="31"/>
      <c r="G319" s="16"/>
      <c r="H319" s="198"/>
      <c r="I319" s="31"/>
      <c r="J319" s="198"/>
      <c r="K319" s="125"/>
      <c r="L319" s="16"/>
      <c r="M319" s="8"/>
      <c r="N319" s="444"/>
      <c r="O319" s="453"/>
      <c r="P319" s="644"/>
    </row>
    <row r="320" spans="1:16" s="17" customFormat="1" ht="33" customHeight="1">
      <c r="A320" s="447"/>
      <c r="B320" s="412">
        <v>46162</v>
      </c>
      <c r="C320" s="4"/>
      <c r="D320" s="4"/>
      <c r="E320" s="31"/>
      <c r="F320" s="31"/>
      <c r="G320" s="16"/>
      <c r="H320" s="198"/>
      <c r="I320" s="31"/>
      <c r="J320" s="198"/>
      <c r="K320" s="125"/>
      <c r="L320" s="16"/>
      <c r="M320" s="8"/>
      <c r="N320" s="31" t="s">
        <v>4674</v>
      </c>
      <c r="O320" s="453"/>
      <c r="P320" s="644"/>
    </row>
    <row r="321" spans="1:16" s="17" customFormat="1" ht="33" customHeight="1">
      <c r="A321" s="447"/>
      <c r="B321" s="412">
        <v>46162</v>
      </c>
      <c r="C321" s="4"/>
      <c r="D321" s="4"/>
      <c r="E321" s="298"/>
      <c r="F321" s="31"/>
      <c r="G321" s="16"/>
      <c r="H321" s="198"/>
      <c r="I321" s="31"/>
      <c r="J321" s="31"/>
      <c r="K321" s="125"/>
      <c r="L321" s="16"/>
      <c r="M321" s="8"/>
      <c r="N321" s="31"/>
      <c r="O321" s="455"/>
      <c r="P321" s="644"/>
    </row>
    <row r="322" spans="1:16" s="17" customFormat="1" ht="33" customHeight="1">
      <c r="A322" s="447"/>
      <c r="B322" s="412">
        <v>46163</v>
      </c>
      <c r="C322" s="4"/>
      <c r="D322" s="4"/>
      <c r="E322" s="31"/>
      <c r="F322" s="31"/>
      <c r="G322" s="16"/>
      <c r="H322" s="198"/>
      <c r="I322" s="31"/>
      <c r="J322" s="198"/>
      <c r="K322" s="125"/>
      <c r="L322" s="16"/>
      <c r="M322" s="8"/>
      <c r="N322" s="444"/>
      <c r="O322" s="453"/>
      <c r="P322" s="644"/>
    </row>
    <row r="323" spans="1:16" s="17" customFormat="1" ht="33" customHeight="1">
      <c r="A323" s="447"/>
      <c r="B323" s="412">
        <v>46163</v>
      </c>
      <c r="C323" s="4"/>
      <c r="D323" s="4"/>
      <c r="E323" s="298"/>
      <c r="F323" s="31"/>
      <c r="G323" s="16"/>
      <c r="H323" s="198"/>
      <c r="I323" s="31"/>
      <c r="J323" s="31"/>
      <c r="K323" s="125"/>
      <c r="L323" s="16"/>
      <c r="M323" s="8"/>
      <c r="N323" s="31"/>
      <c r="O323" s="455"/>
      <c r="P323" s="644"/>
    </row>
    <row r="324" spans="1:16" s="17" customFormat="1" ht="33" customHeight="1">
      <c r="A324" s="447"/>
      <c r="B324" s="412">
        <v>46164</v>
      </c>
      <c r="C324" s="4"/>
      <c r="D324" s="4"/>
      <c r="E324" s="31"/>
      <c r="F324" s="298"/>
      <c r="G324" s="16"/>
      <c r="H324" s="198"/>
      <c r="I324" s="31"/>
      <c r="J324" s="198"/>
      <c r="K324" s="125"/>
      <c r="L324" s="16"/>
      <c r="M324" s="8"/>
      <c r="N324" s="31" t="s">
        <v>4674</v>
      </c>
      <c r="O324" s="452"/>
      <c r="P324" s="644"/>
    </row>
    <row r="325" spans="1:16" s="17" customFormat="1" ht="33" customHeight="1">
      <c r="A325" s="447"/>
      <c r="B325" s="412">
        <v>46164</v>
      </c>
      <c r="C325" s="4"/>
      <c r="D325" s="4"/>
      <c r="E325" s="31"/>
      <c r="F325" s="31"/>
      <c r="G325" s="16"/>
      <c r="H325" s="198"/>
      <c r="I325" s="31"/>
      <c r="J325" s="31"/>
      <c r="K325" s="125"/>
      <c r="L325" s="16"/>
      <c r="M325" s="8"/>
      <c r="N325" s="31"/>
      <c r="O325" s="451"/>
      <c r="P325" s="644"/>
    </row>
    <row r="326" spans="1:16" s="17" customFormat="1" ht="33" customHeight="1">
      <c r="A326" s="447"/>
      <c r="B326" s="412">
        <v>46165</v>
      </c>
      <c r="C326" s="4"/>
      <c r="D326" s="4"/>
      <c r="E326" s="31"/>
      <c r="F326" s="31"/>
      <c r="G326" s="16"/>
      <c r="H326" s="198"/>
      <c r="I326" s="198"/>
      <c r="J326" s="198"/>
      <c r="K326" s="125"/>
      <c r="L326" s="16"/>
      <c r="M326" s="8"/>
      <c r="N326" s="198"/>
      <c r="O326" s="461"/>
      <c r="P326" s="644"/>
    </row>
    <row r="327" spans="1:16" s="17" customFormat="1" ht="33" customHeight="1">
      <c r="A327" s="448"/>
      <c r="B327" s="412">
        <v>46165</v>
      </c>
      <c r="C327" s="4"/>
      <c r="D327" s="4"/>
      <c r="E327" s="31"/>
      <c r="F327" s="31"/>
      <c r="G327" s="16"/>
      <c r="H327" s="198"/>
      <c r="I327" s="198"/>
      <c r="J327" s="198"/>
      <c r="K327" s="125"/>
      <c r="L327" s="16"/>
      <c r="M327" s="8"/>
      <c r="N327" s="31"/>
      <c r="O327" s="455"/>
      <c r="P327" s="644"/>
    </row>
    <row r="328" spans="1:16" s="17" customFormat="1" ht="33" customHeight="1">
      <c r="A328" s="449" t="s">
        <v>0</v>
      </c>
      <c r="B328" s="331" t="s">
        <v>1</v>
      </c>
      <c r="C328" s="330" t="s">
        <v>2</v>
      </c>
      <c r="D328" s="330" t="s">
        <v>3</v>
      </c>
      <c r="E328" s="330" t="s">
        <v>4</v>
      </c>
      <c r="F328" s="330" t="s">
        <v>5</v>
      </c>
      <c r="G328" s="330" t="s">
        <v>6</v>
      </c>
      <c r="H328" s="332" t="s">
        <v>7</v>
      </c>
      <c r="I328" s="330" t="s">
        <v>8</v>
      </c>
      <c r="J328" s="330" t="s">
        <v>9</v>
      </c>
      <c r="K328" s="333" t="s">
        <v>10</v>
      </c>
      <c r="L328" s="334" t="s">
        <v>11</v>
      </c>
      <c r="M328" s="330" t="s">
        <v>12</v>
      </c>
      <c r="N328" s="335" t="s">
        <v>13</v>
      </c>
      <c r="O328" s="450" t="s">
        <v>63</v>
      </c>
      <c r="P328" s="450" t="s">
        <v>5464</v>
      </c>
    </row>
    <row r="329" spans="1:16" s="17" customFormat="1" ht="33" customHeight="1">
      <c r="A329" s="446" t="s">
        <v>4507</v>
      </c>
      <c r="B329" s="412">
        <v>46167</v>
      </c>
      <c r="C329" s="4"/>
      <c r="D329" s="4"/>
      <c r="E329" s="31"/>
      <c r="F329" s="198"/>
      <c r="G329" s="16"/>
      <c r="H329" s="422" t="s">
        <v>4673</v>
      </c>
      <c r="I329" s="31"/>
      <c r="J329" s="31"/>
      <c r="K329" s="125"/>
      <c r="L329" s="16"/>
      <c r="M329" s="8"/>
      <c r="N329" s="31"/>
      <c r="O329" s="454"/>
      <c r="P329" s="644"/>
    </row>
    <row r="330" spans="1:16" s="17" customFormat="1" ht="33" customHeight="1">
      <c r="A330" s="447"/>
      <c r="B330" s="412">
        <v>46167</v>
      </c>
      <c r="C330" s="4"/>
      <c r="D330" s="4"/>
      <c r="E330" s="298"/>
      <c r="F330" s="31"/>
      <c r="G330" s="16"/>
      <c r="H330" s="198"/>
      <c r="I330" s="31"/>
      <c r="J330" s="31"/>
      <c r="K330" s="125"/>
      <c r="L330" s="16"/>
      <c r="M330" s="8"/>
      <c r="N330" s="31"/>
      <c r="O330" s="454"/>
      <c r="P330" s="644"/>
    </row>
    <row r="331" spans="1:16" s="17" customFormat="1" ht="33" customHeight="1">
      <c r="A331" s="447"/>
      <c r="B331" s="412">
        <v>46168</v>
      </c>
      <c r="C331" s="4"/>
      <c r="D331" s="4"/>
      <c r="E331" s="31"/>
      <c r="F331" s="31"/>
      <c r="G331" s="16"/>
      <c r="H331" s="198"/>
      <c r="I331" s="31"/>
      <c r="J331" s="198"/>
      <c r="K331" s="125"/>
      <c r="L331" s="16"/>
      <c r="M331" s="8"/>
      <c r="N331" s="444"/>
      <c r="O331" s="453"/>
      <c r="P331" s="644"/>
    </row>
    <row r="332" spans="1:16" s="17" customFormat="1" ht="33" customHeight="1">
      <c r="A332" s="447"/>
      <c r="B332" s="412">
        <v>46168</v>
      </c>
      <c r="C332" s="4"/>
      <c r="D332" s="4"/>
      <c r="E332" s="31"/>
      <c r="F332" s="31"/>
      <c r="G332" s="16"/>
      <c r="H332" s="198"/>
      <c r="I332" s="31"/>
      <c r="J332" s="198"/>
      <c r="K332" s="125"/>
      <c r="L332" s="16"/>
      <c r="M332" s="8"/>
      <c r="N332" s="444"/>
      <c r="O332" s="453"/>
      <c r="P332" s="644"/>
    </row>
    <row r="333" spans="1:16" s="17" customFormat="1" ht="33" customHeight="1">
      <c r="A333" s="447"/>
      <c r="B333" s="412">
        <v>46169</v>
      </c>
      <c r="C333" s="4"/>
      <c r="D333" s="4"/>
      <c r="E333" s="31"/>
      <c r="F333" s="31"/>
      <c r="G333" s="16"/>
      <c r="H333" s="198"/>
      <c r="I333" s="31"/>
      <c r="J333" s="198"/>
      <c r="K333" s="125"/>
      <c r="L333" s="16"/>
      <c r="M333" s="8"/>
      <c r="N333" s="444"/>
      <c r="O333" s="453"/>
      <c r="P333" s="644"/>
    </row>
    <row r="334" spans="1:16" s="17" customFormat="1" ht="33" customHeight="1">
      <c r="A334" s="447"/>
      <c r="B334" s="412">
        <v>46169</v>
      </c>
      <c r="C334" s="4"/>
      <c r="D334" s="4"/>
      <c r="E334" s="298"/>
      <c r="F334" s="31"/>
      <c r="G334" s="16"/>
      <c r="H334" s="198"/>
      <c r="I334" s="31"/>
      <c r="J334" s="31"/>
      <c r="K334" s="125"/>
      <c r="L334" s="16"/>
      <c r="M334" s="8"/>
      <c r="N334" s="31"/>
      <c r="O334" s="455"/>
      <c r="P334" s="644"/>
    </row>
    <row r="335" spans="1:16" s="17" customFormat="1" ht="33" customHeight="1">
      <c r="A335" s="447"/>
      <c r="B335" s="412">
        <v>46170</v>
      </c>
      <c r="C335" s="4"/>
      <c r="D335" s="4"/>
      <c r="E335" s="31"/>
      <c r="F335" s="31"/>
      <c r="G335" s="16"/>
      <c r="H335" s="198"/>
      <c r="I335" s="31"/>
      <c r="J335" s="198"/>
      <c r="K335" s="125"/>
      <c r="L335" s="16"/>
      <c r="M335" s="8"/>
      <c r="N335" s="444"/>
      <c r="O335" s="453"/>
      <c r="P335" s="644"/>
    </row>
    <row r="336" spans="1:16" s="17" customFormat="1" ht="33" customHeight="1">
      <c r="A336" s="447"/>
      <c r="B336" s="412">
        <v>46170</v>
      </c>
      <c r="C336" s="4"/>
      <c r="D336" s="4"/>
      <c r="E336" s="298"/>
      <c r="F336" s="31"/>
      <c r="G336" s="16"/>
      <c r="H336" s="198"/>
      <c r="I336" s="31"/>
      <c r="J336" s="31"/>
      <c r="K336" s="125"/>
      <c r="L336" s="16"/>
      <c r="M336" s="8"/>
      <c r="N336" s="31"/>
      <c r="O336" s="455"/>
      <c r="P336" s="644"/>
    </row>
    <row r="337" spans="1:16" s="17" customFormat="1" ht="33" customHeight="1">
      <c r="A337" s="447"/>
      <c r="B337" s="412">
        <v>46171</v>
      </c>
      <c r="C337" s="4"/>
      <c r="D337" s="4"/>
      <c r="E337" s="31"/>
      <c r="F337" s="298"/>
      <c r="G337" s="16"/>
      <c r="H337" s="198"/>
      <c r="I337" s="31"/>
      <c r="J337" s="198"/>
      <c r="K337" s="125"/>
      <c r="L337" s="16"/>
      <c r="M337" s="8"/>
      <c r="N337" s="31"/>
      <c r="O337" s="452"/>
      <c r="P337" s="644"/>
    </row>
    <row r="338" spans="1:16" s="17" customFormat="1" ht="33" customHeight="1">
      <c r="A338" s="447"/>
      <c r="B338" s="412">
        <v>46171</v>
      </c>
      <c r="C338" s="4"/>
      <c r="D338" s="4"/>
      <c r="E338" s="31"/>
      <c r="F338" s="31"/>
      <c r="G338" s="16"/>
      <c r="H338" s="198"/>
      <c r="I338" s="31"/>
      <c r="J338" s="31"/>
      <c r="K338" s="125"/>
      <c r="L338" s="16"/>
      <c r="M338" s="8"/>
      <c r="N338" s="31"/>
      <c r="O338" s="451"/>
      <c r="P338" s="644"/>
    </row>
    <row r="339" spans="1:16" s="17" customFormat="1" ht="33" customHeight="1">
      <c r="A339" s="447"/>
      <c r="B339" s="412">
        <v>46172</v>
      </c>
      <c r="C339" s="4"/>
      <c r="D339" s="4"/>
      <c r="E339" s="31"/>
      <c r="F339" s="31"/>
      <c r="G339" s="16"/>
      <c r="H339" s="198"/>
      <c r="I339" s="198"/>
      <c r="J339" s="198"/>
      <c r="K339" s="125"/>
      <c r="L339" s="16"/>
      <c r="M339" s="8"/>
      <c r="N339" s="198"/>
      <c r="O339" s="461"/>
      <c r="P339" s="644"/>
    </row>
    <row r="340" spans="1:16" s="17" customFormat="1" ht="33" customHeight="1">
      <c r="A340" s="448"/>
      <c r="B340" s="412">
        <v>46172</v>
      </c>
      <c r="C340" s="4"/>
      <c r="D340" s="4"/>
      <c r="E340" s="31"/>
      <c r="F340" s="31"/>
      <c r="G340" s="16"/>
      <c r="H340" s="198"/>
      <c r="I340" s="198"/>
      <c r="J340" s="198"/>
      <c r="K340" s="125"/>
      <c r="L340" s="16"/>
      <c r="M340" s="8"/>
      <c r="N340" s="31"/>
      <c r="O340" s="455"/>
      <c r="P340" s="644"/>
    </row>
    <row r="341" spans="1:16" s="17" customFormat="1" ht="33" customHeight="1">
      <c r="A341" s="449" t="s">
        <v>0</v>
      </c>
      <c r="B341" s="331" t="s">
        <v>1</v>
      </c>
      <c r="C341" s="330" t="s">
        <v>2</v>
      </c>
      <c r="D341" s="330" t="s">
        <v>3</v>
      </c>
      <c r="E341" s="330" t="s">
        <v>4</v>
      </c>
      <c r="F341" s="330" t="s">
        <v>5</v>
      </c>
      <c r="G341" s="330" t="s">
        <v>6</v>
      </c>
      <c r="H341" s="332" t="s">
        <v>7</v>
      </c>
      <c r="I341" s="330" t="s">
        <v>8</v>
      </c>
      <c r="J341" s="330" t="s">
        <v>9</v>
      </c>
      <c r="K341" s="333" t="s">
        <v>10</v>
      </c>
      <c r="L341" s="334" t="s">
        <v>11</v>
      </c>
      <c r="M341" s="330" t="s">
        <v>12</v>
      </c>
      <c r="N341" s="335" t="s">
        <v>13</v>
      </c>
      <c r="O341" s="450" t="s">
        <v>63</v>
      </c>
      <c r="P341" s="450" t="s">
        <v>5464</v>
      </c>
    </row>
    <row r="342" spans="1:16" s="17" customFormat="1" ht="33" customHeight="1">
      <c r="A342" s="446" t="s">
        <v>4508</v>
      </c>
      <c r="B342" s="412">
        <v>46174</v>
      </c>
      <c r="C342" s="4"/>
      <c r="D342" s="4"/>
      <c r="E342" s="31"/>
      <c r="F342" s="198"/>
      <c r="G342" s="16"/>
      <c r="H342" s="198"/>
      <c r="I342" s="31"/>
      <c r="J342" s="31"/>
      <c r="K342" s="125"/>
      <c r="L342" s="16"/>
      <c r="M342" s="8"/>
      <c r="N342" s="31"/>
      <c r="O342" s="454"/>
      <c r="P342" s="644"/>
    </row>
    <row r="343" spans="1:16" s="17" customFormat="1" ht="33" customHeight="1">
      <c r="A343" s="447"/>
      <c r="B343" s="412">
        <v>46174</v>
      </c>
      <c r="C343" s="4"/>
      <c r="D343" s="4"/>
      <c r="E343" s="298"/>
      <c r="F343" s="31"/>
      <c r="G343" s="16"/>
      <c r="H343" s="198"/>
      <c r="I343" s="31"/>
      <c r="J343" s="31"/>
      <c r="K343" s="125"/>
      <c r="L343" s="16"/>
      <c r="M343" s="8"/>
      <c r="N343" s="31"/>
      <c r="O343" s="454"/>
      <c r="P343" s="644"/>
    </row>
    <row r="344" spans="1:16" s="17" customFormat="1" ht="33" customHeight="1">
      <c r="A344" s="447"/>
      <c r="B344" s="412">
        <v>46175</v>
      </c>
      <c r="C344" s="4"/>
      <c r="D344" s="4"/>
      <c r="E344" s="31"/>
      <c r="F344" s="31"/>
      <c r="G344" s="16"/>
      <c r="H344" s="198"/>
      <c r="I344" s="31"/>
      <c r="J344" s="198"/>
      <c r="K344" s="125"/>
      <c r="L344" s="16"/>
      <c r="M344" s="8"/>
      <c r="N344" s="444"/>
      <c r="O344" s="453"/>
      <c r="P344" s="644"/>
    </row>
    <row r="345" spans="1:16" s="17" customFormat="1" ht="33" customHeight="1">
      <c r="A345" s="447"/>
      <c r="B345" s="412">
        <v>46175</v>
      </c>
      <c r="C345" s="4"/>
      <c r="D345" s="4"/>
      <c r="E345" s="31"/>
      <c r="F345" s="31"/>
      <c r="G345" s="16"/>
      <c r="H345" s="198"/>
      <c r="I345" s="31"/>
      <c r="J345" s="198"/>
      <c r="K345" s="125"/>
      <c r="L345" s="16"/>
      <c r="M345" s="8"/>
      <c r="N345" s="444"/>
      <c r="O345" s="453"/>
      <c r="P345" s="644"/>
    </row>
    <row r="346" spans="1:16" s="17" customFormat="1" ht="33" customHeight="1">
      <c r="A346" s="447"/>
      <c r="B346" s="412">
        <v>46176</v>
      </c>
      <c r="C346" s="4"/>
      <c r="D346" s="4"/>
      <c r="E346" s="31"/>
      <c r="F346" s="31"/>
      <c r="G346" s="16"/>
      <c r="H346" s="422" t="s">
        <v>4761</v>
      </c>
      <c r="I346" s="31"/>
      <c r="J346" s="198"/>
      <c r="K346" s="125"/>
      <c r="L346" s="16"/>
      <c r="M346" s="8"/>
      <c r="N346" s="444"/>
      <c r="O346" s="453"/>
      <c r="P346" s="644"/>
    </row>
    <row r="347" spans="1:16" s="17" customFormat="1" ht="33" customHeight="1">
      <c r="A347" s="447"/>
      <c r="B347" s="412">
        <v>46176</v>
      </c>
      <c r="C347" s="4"/>
      <c r="D347" s="4"/>
      <c r="E347" s="298"/>
      <c r="F347" s="31"/>
      <c r="G347" s="16"/>
      <c r="H347" s="198"/>
      <c r="I347" s="31"/>
      <c r="J347" s="31"/>
      <c r="K347" s="125"/>
      <c r="L347" s="16"/>
      <c r="M347" s="8"/>
      <c r="N347" s="31"/>
      <c r="O347" s="455"/>
      <c r="P347" s="644"/>
    </row>
    <row r="348" spans="1:16" s="17" customFormat="1" ht="33" customHeight="1">
      <c r="A348" s="447"/>
      <c r="B348" s="412">
        <v>46177</v>
      </c>
      <c r="C348" s="4"/>
      <c r="D348" s="4"/>
      <c r="E348" s="31"/>
      <c r="F348" s="31"/>
      <c r="G348" s="16"/>
      <c r="H348" s="198"/>
      <c r="I348" s="31"/>
      <c r="J348" s="198"/>
      <c r="K348" s="125"/>
      <c r="L348" s="16"/>
      <c r="M348" s="8"/>
      <c r="N348" s="444"/>
      <c r="O348" s="453"/>
      <c r="P348" s="644"/>
    </row>
    <row r="349" spans="1:16" s="17" customFormat="1" ht="33" customHeight="1">
      <c r="A349" s="447"/>
      <c r="B349" s="412">
        <v>46177</v>
      </c>
      <c r="C349" s="4"/>
      <c r="D349" s="4"/>
      <c r="E349" s="298"/>
      <c r="F349" s="31"/>
      <c r="G349" s="16"/>
      <c r="H349" s="198"/>
      <c r="I349" s="31"/>
      <c r="J349" s="31"/>
      <c r="K349" s="125"/>
      <c r="L349" s="16"/>
      <c r="M349" s="8"/>
      <c r="N349" s="31"/>
      <c r="O349" s="455"/>
      <c r="P349" s="644"/>
    </row>
    <row r="350" spans="1:16" s="17" customFormat="1" ht="33" customHeight="1">
      <c r="A350" s="447"/>
      <c r="B350" s="412">
        <v>46178</v>
      </c>
      <c r="C350" s="4" t="s">
        <v>113</v>
      </c>
      <c r="D350" s="4" t="s">
        <v>5266</v>
      </c>
      <c r="E350" s="522" t="s">
        <v>5276</v>
      </c>
      <c r="F350" s="522" t="s">
        <v>5277</v>
      </c>
      <c r="G350" s="16" t="s">
        <v>5281</v>
      </c>
      <c r="H350" s="523" t="s">
        <v>5270</v>
      </c>
      <c r="I350" s="31"/>
      <c r="J350" s="198"/>
      <c r="K350" s="125"/>
      <c r="L350" s="16"/>
      <c r="M350" s="8"/>
      <c r="N350" s="31"/>
      <c r="O350" s="452"/>
      <c r="P350" s="644"/>
    </row>
    <row r="351" spans="1:16" s="17" customFormat="1" ht="33" customHeight="1">
      <c r="A351" s="447"/>
      <c r="B351" s="412">
        <v>46178</v>
      </c>
      <c r="C351" s="4"/>
      <c r="D351" s="4"/>
      <c r="E351" s="31"/>
      <c r="F351" s="31"/>
      <c r="G351" s="16"/>
      <c r="H351" s="198"/>
      <c r="I351" s="31"/>
      <c r="J351" s="31"/>
      <c r="K351" s="125"/>
      <c r="L351" s="16"/>
      <c r="M351" s="8"/>
      <c r="N351" s="31"/>
      <c r="O351" s="451"/>
      <c r="P351" s="644"/>
    </row>
    <row r="352" spans="1:16" s="17" customFormat="1" ht="33" customHeight="1">
      <c r="A352" s="447"/>
      <c r="B352" s="412">
        <v>46179</v>
      </c>
      <c r="C352" s="4"/>
      <c r="D352" s="4"/>
      <c r="E352" s="31"/>
      <c r="F352" s="31"/>
      <c r="G352" s="16"/>
      <c r="H352" s="198"/>
      <c r="I352" s="198"/>
      <c r="J352" s="198"/>
      <c r="K352" s="125"/>
      <c r="L352" s="16"/>
      <c r="M352" s="8"/>
      <c r="N352" s="198"/>
      <c r="O352" s="461"/>
      <c r="P352" s="644"/>
    </row>
    <row r="353" spans="1:16" s="17" customFormat="1" ht="33" customHeight="1">
      <c r="A353" s="448"/>
      <c r="B353" s="412">
        <v>46179</v>
      </c>
      <c r="C353" s="4"/>
      <c r="D353" s="4"/>
      <c r="E353" s="31"/>
      <c r="F353" s="31"/>
      <c r="G353" s="16"/>
      <c r="H353" s="198"/>
      <c r="I353" s="198"/>
      <c r="J353" s="198"/>
      <c r="K353" s="125"/>
      <c r="L353" s="16"/>
      <c r="M353" s="8"/>
      <c r="N353" s="31"/>
      <c r="O353" s="455"/>
      <c r="P353" s="644"/>
    </row>
    <row r="354" spans="1:16" s="17" customFormat="1" ht="33" customHeight="1">
      <c r="A354" s="449" t="s">
        <v>0</v>
      </c>
      <c r="B354" s="331" t="s">
        <v>1</v>
      </c>
      <c r="C354" s="330" t="s">
        <v>2</v>
      </c>
      <c r="D354" s="330" t="s">
        <v>3</v>
      </c>
      <c r="E354" s="330" t="s">
        <v>4</v>
      </c>
      <c r="F354" s="330" t="s">
        <v>5</v>
      </c>
      <c r="G354" s="330" t="s">
        <v>6</v>
      </c>
      <c r="H354" s="332" t="s">
        <v>7</v>
      </c>
      <c r="I354" s="330" t="s">
        <v>8</v>
      </c>
      <c r="J354" s="330" t="s">
        <v>9</v>
      </c>
      <c r="K354" s="333" t="s">
        <v>10</v>
      </c>
      <c r="L354" s="334" t="s">
        <v>11</v>
      </c>
      <c r="M354" s="330" t="s">
        <v>12</v>
      </c>
      <c r="N354" s="335" t="s">
        <v>13</v>
      </c>
      <c r="O354" s="450" t="s">
        <v>63</v>
      </c>
      <c r="P354" s="450" t="s">
        <v>5464</v>
      </c>
    </row>
    <row r="355" spans="1:16" s="17" customFormat="1" ht="33" customHeight="1">
      <c r="A355" s="446" t="s">
        <v>4509</v>
      </c>
      <c r="B355" s="412">
        <v>46181</v>
      </c>
      <c r="C355" s="4" t="s">
        <v>113</v>
      </c>
      <c r="D355" s="4" t="s">
        <v>5266</v>
      </c>
      <c r="E355" s="522" t="s">
        <v>5267</v>
      </c>
      <c r="F355" s="522" t="s">
        <v>5268</v>
      </c>
      <c r="G355" s="16" t="s">
        <v>5274</v>
      </c>
      <c r="H355" s="523" t="s">
        <v>5270</v>
      </c>
      <c r="I355" s="31" t="s">
        <v>5275</v>
      </c>
      <c r="J355" s="31"/>
      <c r="K355" s="125"/>
      <c r="L355" s="16"/>
      <c r="M355" s="8"/>
      <c r="N355" s="31"/>
      <c r="O355" s="454"/>
      <c r="P355" s="644"/>
    </row>
    <row r="356" spans="1:16" s="17" customFormat="1" ht="33" customHeight="1">
      <c r="A356" s="447"/>
      <c r="B356" s="412">
        <v>46181</v>
      </c>
      <c r="C356" s="4"/>
      <c r="D356" s="4"/>
      <c r="E356" s="298"/>
      <c r="F356" s="31"/>
      <c r="G356" s="16"/>
      <c r="H356" s="198"/>
      <c r="I356" s="31"/>
      <c r="J356" s="31"/>
      <c r="K356" s="125"/>
      <c r="L356" s="16"/>
      <c r="M356" s="8"/>
      <c r="N356" s="31"/>
      <c r="O356" s="454"/>
      <c r="P356" s="644"/>
    </row>
    <row r="357" spans="1:16" s="17" customFormat="1" ht="33" customHeight="1">
      <c r="A357" s="447"/>
      <c r="B357" s="412">
        <v>46182</v>
      </c>
      <c r="C357" s="4" t="s">
        <v>113</v>
      </c>
      <c r="D357" s="4" t="s">
        <v>5266</v>
      </c>
      <c r="E357" s="31" t="s">
        <v>5267</v>
      </c>
      <c r="F357" s="31" t="s">
        <v>5268</v>
      </c>
      <c r="G357" s="16" t="s">
        <v>5269</v>
      </c>
      <c r="H357" s="198" t="s">
        <v>5270</v>
      </c>
      <c r="I357" s="31"/>
      <c r="J357" s="198" t="s">
        <v>5271</v>
      </c>
      <c r="K357" s="125"/>
      <c r="L357" s="16"/>
      <c r="M357" s="8"/>
      <c r="N357" s="444"/>
      <c r="O357" s="453"/>
      <c r="P357" s="644"/>
    </row>
    <row r="358" spans="1:16" s="17" customFormat="1" ht="33" customHeight="1">
      <c r="A358" s="447"/>
      <c r="B358" s="412">
        <v>46182</v>
      </c>
      <c r="C358" s="4"/>
      <c r="D358" s="4"/>
      <c r="E358" s="31"/>
      <c r="F358" s="31"/>
      <c r="G358" s="16"/>
      <c r="H358" s="198"/>
      <c r="I358" s="31"/>
      <c r="J358" s="198"/>
      <c r="K358" s="125"/>
      <c r="L358" s="16"/>
      <c r="M358" s="8"/>
      <c r="N358" s="444"/>
      <c r="O358" s="453"/>
      <c r="P358" s="644"/>
    </row>
    <row r="359" spans="1:16" s="17" customFormat="1" ht="33" customHeight="1">
      <c r="A359" s="447"/>
      <c r="B359" s="412">
        <v>46183</v>
      </c>
      <c r="C359" s="4" t="s">
        <v>113</v>
      </c>
      <c r="D359" s="4" t="s">
        <v>5266</v>
      </c>
      <c r="E359" s="522" t="s">
        <v>5267</v>
      </c>
      <c r="F359" s="522" t="s">
        <v>5268</v>
      </c>
      <c r="G359" s="16" t="s">
        <v>5272</v>
      </c>
      <c r="H359" s="523" t="s">
        <v>5270</v>
      </c>
      <c r="I359" s="31" t="s">
        <v>5273</v>
      </c>
      <c r="J359" s="198"/>
      <c r="K359" s="125"/>
      <c r="L359" s="16"/>
      <c r="M359" s="8"/>
      <c r="N359" s="444"/>
      <c r="O359" s="453"/>
      <c r="P359" s="644"/>
    </row>
    <row r="360" spans="1:16" s="17" customFormat="1" ht="33" customHeight="1">
      <c r="A360" s="447"/>
      <c r="B360" s="412">
        <v>46183</v>
      </c>
      <c r="C360" s="4"/>
      <c r="D360" s="4"/>
      <c r="E360" s="298"/>
      <c r="F360" s="31"/>
      <c r="G360" s="16"/>
      <c r="H360" s="198"/>
      <c r="I360" s="31"/>
      <c r="J360" s="31"/>
      <c r="K360" s="125"/>
      <c r="L360" s="16"/>
      <c r="M360" s="8"/>
      <c r="N360" s="31"/>
      <c r="O360" s="455"/>
      <c r="P360" s="644"/>
    </row>
    <row r="361" spans="1:16" s="17" customFormat="1" ht="33" customHeight="1">
      <c r="A361" s="447"/>
      <c r="B361" s="412">
        <v>46184</v>
      </c>
      <c r="C361" s="4"/>
      <c r="D361" s="4"/>
      <c r="E361" s="31"/>
      <c r="F361" s="31"/>
      <c r="G361" s="16"/>
      <c r="H361" s="198"/>
      <c r="I361" s="31"/>
      <c r="J361" s="198"/>
      <c r="K361" s="125"/>
      <c r="L361" s="16"/>
      <c r="M361" s="8"/>
      <c r="N361" s="444"/>
      <c r="O361" s="453"/>
      <c r="P361" s="644"/>
    </row>
    <row r="362" spans="1:16" s="17" customFormat="1" ht="33" customHeight="1">
      <c r="A362" s="447"/>
      <c r="B362" s="412">
        <v>46184</v>
      </c>
      <c r="C362" s="4"/>
      <c r="D362" s="4"/>
      <c r="E362" s="298"/>
      <c r="F362" s="31"/>
      <c r="G362" s="16"/>
      <c r="H362" s="198"/>
      <c r="I362" s="31"/>
      <c r="J362" s="31"/>
      <c r="K362" s="125"/>
      <c r="L362" s="16"/>
      <c r="M362" s="8"/>
      <c r="N362" s="31"/>
      <c r="O362" s="455"/>
      <c r="P362" s="644"/>
    </row>
    <row r="363" spans="1:16" s="17" customFormat="1" ht="33" customHeight="1">
      <c r="A363" s="447"/>
      <c r="B363" s="412">
        <v>46185</v>
      </c>
      <c r="C363" s="4"/>
      <c r="D363" s="4"/>
      <c r="E363" s="31"/>
      <c r="F363" s="298"/>
      <c r="G363" s="16"/>
      <c r="H363" s="198"/>
      <c r="I363" s="31"/>
      <c r="J363" s="198"/>
      <c r="K363" s="125"/>
      <c r="L363" s="16"/>
      <c r="M363" s="8"/>
      <c r="N363" s="31"/>
      <c r="O363" s="452"/>
      <c r="P363" s="644"/>
    </row>
    <row r="364" spans="1:16" s="17" customFormat="1" ht="33" customHeight="1">
      <c r="A364" s="447"/>
      <c r="B364" s="412">
        <v>46185</v>
      </c>
      <c r="C364" s="4"/>
      <c r="D364" s="4"/>
      <c r="E364" s="31"/>
      <c r="F364" s="31"/>
      <c r="G364" s="16"/>
      <c r="H364" s="198"/>
      <c r="I364" s="31"/>
      <c r="J364" s="31"/>
      <c r="K364" s="125"/>
      <c r="L364" s="16"/>
      <c r="M364" s="8"/>
      <c r="N364" s="31"/>
      <c r="O364" s="451"/>
      <c r="P364" s="644"/>
    </row>
    <row r="365" spans="1:16" s="17" customFormat="1" ht="33" customHeight="1">
      <c r="A365" s="447"/>
      <c r="B365" s="412">
        <v>46186</v>
      </c>
      <c r="C365" s="4"/>
      <c r="D365" s="4"/>
      <c r="E365" s="31"/>
      <c r="F365" s="31"/>
      <c r="G365" s="16"/>
      <c r="H365" s="198"/>
      <c r="I365" s="198"/>
      <c r="J365" s="198"/>
      <c r="K365" s="125"/>
      <c r="L365" s="16"/>
      <c r="M365" s="8"/>
      <c r="N365" s="198"/>
      <c r="O365" s="461"/>
      <c r="P365" s="644"/>
    </row>
    <row r="366" spans="1:16">
      <c r="A366" s="447"/>
      <c r="B366" s="412">
        <v>46186</v>
      </c>
      <c r="C366" s="10"/>
      <c r="D366" s="10"/>
      <c r="E366" s="339"/>
      <c r="F366" s="339"/>
      <c r="G366" s="7"/>
      <c r="H366" s="160"/>
      <c r="I366" s="160"/>
      <c r="J366" s="160"/>
      <c r="K366" s="336"/>
      <c r="L366" s="7"/>
      <c r="M366" s="445"/>
      <c r="N366" s="339"/>
      <c r="O366" s="466"/>
      <c r="P366" s="26"/>
    </row>
    <row r="370" spans="2:2">
      <c r="B370" s="3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82"/>
  <sheetViews>
    <sheetView zoomScaleNormal="100" zoomScaleSheetLayoutView="115" workbookViewId="0">
      <pane ySplit="2" topLeftCell="A1335" activePane="bottomLeft" state="frozen"/>
      <selection pane="bottomLeft" activeCell="D1369" sqref="D1369:M136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73" t="s">
        <v>161</v>
      </c>
      <c r="B1" s="773" t="s">
        <v>162</v>
      </c>
      <c r="C1" s="771" t="s">
        <v>1</v>
      </c>
      <c r="D1" s="771" t="s">
        <v>2</v>
      </c>
      <c r="E1" s="771" t="s">
        <v>3</v>
      </c>
      <c r="F1" s="27" t="s">
        <v>54</v>
      </c>
      <c r="G1" s="771" t="s">
        <v>5</v>
      </c>
      <c r="H1" s="771" t="s">
        <v>6</v>
      </c>
      <c r="I1" s="771" t="s">
        <v>7</v>
      </c>
      <c r="J1" s="771" t="s">
        <v>55</v>
      </c>
      <c r="K1" s="775" t="s">
        <v>483</v>
      </c>
      <c r="L1" s="777" t="s">
        <v>56</v>
      </c>
      <c r="M1" s="769" t="s">
        <v>57</v>
      </c>
      <c r="N1" s="771" t="s">
        <v>58</v>
      </c>
    </row>
    <row r="2" spans="1:14">
      <c r="A2" s="774"/>
      <c r="B2" s="774"/>
      <c r="C2" s="772"/>
      <c r="D2" s="772"/>
      <c r="E2" s="772"/>
      <c r="F2" s="28" t="s">
        <v>59</v>
      </c>
      <c r="G2" s="772"/>
      <c r="H2" s="772"/>
      <c r="I2" s="772"/>
      <c r="J2" s="772"/>
      <c r="K2" s="776"/>
      <c r="L2" s="778"/>
      <c r="M2" s="770"/>
      <c r="N2" s="772"/>
    </row>
    <row r="3" spans="1:14" ht="27">
      <c r="A3" s="55">
        <v>1</v>
      </c>
      <c r="B3" s="75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6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6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53"/>
      <c r="C9" s="77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53"/>
      <c r="C10" s="78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53"/>
      <c r="C12" s="77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53"/>
      <c r="C13" s="78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53"/>
      <c r="C14" s="78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53"/>
      <c r="C15" s="77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53"/>
      <c r="C16" s="78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6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6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6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66"/>
    </row>
    <row r="24" spans="1:17" ht="27">
      <c r="A24" s="55">
        <v>4</v>
      </c>
      <c r="B24" s="752" t="s">
        <v>21</v>
      </c>
      <c r="C24" s="75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0" t="s">
        <v>85</v>
      </c>
      <c r="K24" s="755" t="s">
        <v>41</v>
      </c>
      <c r="L24" s="6" t="s">
        <v>15</v>
      </c>
      <c r="M24" s="782">
        <v>180000</v>
      </c>
      <c r="N24" s="45" t="s">
        <v>194</v>
      </c>
    </row>
    <row r="25" spans="1:17" ht="27">
      <c r="A25" s="55">
        <v>4</v>
      </c>
      <c r="B25" s="753"/>
      <c r="C25" s="7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1"/>
      <c r="K25" s="756"/>
      <c r="L25" s="6" t="s">
        <v>15</v>
      </c>
      <c r="M25" s="783"/>
      <c r="N25" s="45" t="s">
        <v>194</v>
      </c>
    </row>
    <row r="26" spans="1:17">
      <c r="A26" s="55">
        <v>4</v>
      </c>
      <c r="B26" s="753"/>
      <c r="C26" s="75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4"/>
      <c r="C27" s="7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53"/>
      <c r="C32" s="75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53"/>
      <c r="C33" s="7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2" t="s">
        <v>20</v>
      </c>
      <c r="C35" s="75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4"/>
      <c r="C36" s="7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2" t="s">
        <v>20</v>
      </c>
      <c r="C37" s="75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4"/>
      <c r="C38" s="7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9"/>
      <c r="C40" s="75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9"/>
      <c r="C41" s="7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4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47"/>
      <c r="C45" s="74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47"/>
      <c r="C46" s="78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4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4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4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4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2" t="s">
        <v>64</v>
      </c>
      <c r="C67" s="75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5" t="s">
        <v>435</v>
      </c>
      <c r="L67" s="6" t="s">
        <v>436</v>
      </c>
      <c r="M67" s="782">
        <v>750000</v>
      </c>
      <c r="N67" s="45" t="s">
        <v>446</v>
      </c>
    </row>
    <row r="68" spans="1:15" ht="27">
      <c r="A68" s="55">
        <v>19</v>
      </c>
      <c r="B68" s="753"/>
      <c r="C68" s="76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56"/>
      <c r="L68" s="6" t="s">
        <v>411</v>
      </c>
      <c r="M68" s="783"/>
      <c r="N68" s="45" t="s">
        <v>445</v>
      </c>
    </row>
    <row r="69" spans="1:15">
      <c r="A69" s="55">
        <v>19</v>
      </c>
      <c r="B69" s="753"/>
      <c r="C69" s="7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5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5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53"/>
      <c r="C83" s="75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53"/>
      <c r="C84" s="7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53"/>
      <c r="C85" s="75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53"/>
      <c r="C86" s="7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53"/>
      <c r="C93" s="75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53"/>
      <c r="C94" s="76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53"/>
      <c r="C95" s="7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2" t="s">
        <v>21</v>
      </c>
      <c r="C99" s="75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53"/>
      <c r="C100" s="7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20" t="s">
        <v>658</v>
      </c>
      <c r="C110" s="72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45"/>
      <c r="C111" s="76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45"/>
      <c r="C112" s="76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67"/>
      <c r="C113" s="76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6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45"/>
      <c r="C115" s="72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21"/>
      <c r="C116" s="76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2" t="s">
        <v>20</v>
      </c>
      <c r="C117" s="76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0" t="s">
        <v>168</v>
      </c>
      <c r="K117" s="755" t="s">
        <v>645</v>
      </c>
      <c r="L117" s="57" t="s">
        <v>209</v>
      </c>
      <c r="M117" s="742">
        <f>250000*5</f>
        <v>1250000</v>
      </c>
      <c r="N117" s="752" t="s">
        <v>121</v>
      </c>
    </row>
    <row r="118" spans="1:14">
      <c r="A118" s="101">
        <v>28</v>
      </c>
      <c r="B118" s="753"/>
      <c r="C118" s="76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64"/>
      <c r="K118" s="763"/>
      <c r="L118" s="57" t="s">
        <v>209</v>
      </c>
      <c r="M118" s="743"/>
      <c r="N118" s="753"/>
    </row>
    <row r="119" spans="1:14">
      <c r="A119" s="101">
        <v>28</v>
      </c>
      <c r="B119" s="753"/>
      <c r="C119" s="76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1"/>
      <c r="K119" s="756"/>
      <c r="L119" s="57" t="s">
        <v>209</v>
      </c>
      <c r="M119" s="744"/>
      <c r="N119" s="754"/>
    </row>
    <row r="120" spans="1:14">
      <c r="A120" s="101">
        <v>28</v>
      </c>
      <c r="B120" s="754"/>
      <c r="C120" s="7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20" t="s">
        <v>307</v>
      </c>
      <c r="C122" s="72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45"/>
      <c r="C123" s="74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20" t="s">
        <v>664</v>
      </c>
      <c r="K123" s="746" t="s">
        <v>707</v>
      </c>
      <c r="L123" s="110" t="s">
        <v>324</v>
      </c>
      <c r="M123" s="749" t="s">
        <v>708</v>
      </c>
      <c r="N123" s="110"/>
    </row>
    <row r="124" spans="1:14">
      <c r="A124" s="55">
        <v>29</v>
      </c>
      <c r="B124" s="745"/>
      <c r="C124" s="74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45"/>
      <c r="K124" s="747"/>
      <c r="L124" s="110" t="s">
        <v>324</v>
      </c>
      <c r="M124" s="750"/>
      <c r="N124" s="110"/>
    </row>
    <row r="125" spans="1:14">
      <c r="A125" s="55">
        <v>29</v>
      </c>
      <c r="B125" s="745"/>
      <c r="C125" s="74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21"/>
      <c r="K125" s="748"/>
      <c r="L125" s="110" t="s">
        <v>324</v>
      </c>
      <c r="M125" s="751"/>
      <c r="N125" s="110"/>
    </row>
    <row r="126" spans="1:14">
      <c r="A126" s="55">
        <v>29</v>
      </c>
      <c r="B126" s="721"/>
      <c r="C126" s="72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2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4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4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45"/>
      <c r="C130" s="72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45"/>
      <c r="C131" s="72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45"/>
      <c r="C132" s="72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45"/>
      <c r="C133" s="72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2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52" t="s">
        <v>618</v>
      </c>
      <c r="C135" s="75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53"/>
      <c r="C136" s="76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53"/>
      <c r="C137" s="76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4"/>
      <c r="C138" s="7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53"/>
      <c r="C140" s="75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53"/>
      <c r="C141" s="7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2" t="s">
        <v>735</v>
      </c>
    </row>
    <row r="142" spans="1:14">
      <c r="A142" s="55">
        <v>30</v>
      </c>
      <c r="B142" s="7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2" t="s">
        <v>20</v>
      </c>
      <c r="C146" s="759" t="s">
        <v>869</v>
      </c>
      <c r="D146" s="755" t="s">
        <v>19</v>
      </c>
      <c r="E146" s="7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4"/>
      <c r="C147" s="761"/>
      <c r="D147" s="756"/>
      <c r="E147" s="7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2" t="s">
        <v>123</v>
      </c>
      <c r="C148" s="759" t="s">
        <v>782</v>
      </c>
      <c r="D148" s="755" t="s">
        <v>19</v>
      </c>
      <c r="E148" s="7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4"/>
      <c r="C149" s="761"/>
      <c r="D149" s="756"/>
      <c r="E149" s="7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2" t="s">
        <v>247</v>
      </c>
    </row>
    <row r="154" spans="1:14" ht="27">
      <c r="A154" s="55">
        <v>34</v>
      </c>
      <c r="B154" s="753"/>
      <c r="C154" s="75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3"/>
    </row>
    <row r="155" spans="1:14" ht="27">
      <c r="A155" s="55">
        <v>34</v>
      </c>
      <c r="B155" s="753"/>
      <c r="C155" s="7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4"/>
    </row>
    <row r="156" spans="1:14" ht="27">
      <c r="A156" s="55">
        <v>34</v>
      </c>
      <c r="B156" s="753"/>
      <c r="C156" s="75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2" t="s">
        <v>825</v>
      </c>
    </row>
    <row r="157" spans="1:14" ht="27">
      <c r="A157" s="55">
        <v>34</v>
      </c>
      <c r="B157" s="753"/>
      <c r="C157" s="7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3"/>
    </row>
    <row r="158" spans="1:14" ht="27">
      <c r="A158" s="55">
        <v>34</v>
      </c>
      <c r="B158" s="753"/>
      <c r="C158" s="75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3"/>
    </row>
    <row r="159" spans="1:14" ht="27">
      <c r="A159" s="55">
        <v>34</v>
      </c>
      <c r="B159" s="753"/>
      <c r="C159" s="7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3"/>
    </row>
    <row r="160" spans="1:14" ht="27">
      <c r="A160" s="55">
        <v>34</v>
      </c>
      <c r="B160" s="7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3"/>
    </row>
    <row r="161" spans="1:15" ht="27">
      <c r="A161" s="55">
        <v>34</v>
      </c>
      <c r="B161" s="7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4"/>
    </row>
    <row r="162" spans="1:15" ht="27">
      <c r="A162" s="55">
        <v>34</v>
      </c>
      <c r="B162" s="7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69" t="s">
        <v>849</v>
      </c>
      <c r="C167" s="6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70"/>
      <c r="C168" s="6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70"/>
      <c r="C169" s="6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71"/>
      <c r="C170" s="6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70"/>
      <c r="C178" s="6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71"/>
      <c r="C179" s="6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70"/>
      <c r="C181" s="75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0" t="s">
        <v>838</v>
      </c>
      <c r="K181" s="755" t="s">
        <v>985</v>
      </c>
      <c r="L181" s="6" t="s">
        <v>910</v>
      </c>
      <c r="M181" s="742">
        <f>180000+200000+200000</f>
        <v>580000</v>
      </c>
      <c r="N181" s="45" t="s">
        <v>806</v>
      </c>
    </row>
    <row r="182" spans="1:14">
      <c r="A182" s="55">
        <v>36</v>
      </c>
      <c r="B182" s="670"/>
      <c r="C182" s="76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1"/>
      <c r="K182" s="756"/>
      <c r="L182" s="6" t="s">
        <v>911</v>
      </c>
      <c r="M182" s="744"/>
      <c r="N182" s="45" t="s">
        <v>806</v>
      </c>
    </row>
    <row r="183" spans="1:14">
      <c r="A183" s="55">
        <v>36</v>
      </c>
      <c r="B183" s="670"/>
      <c r="C183" s="7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70"/>
      <c r="C187" s="6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71"/>
      <c r="C188" s="6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69" t="s">
        <v>939</v>
      </c>
      <c r="C192" s="6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70"/>
      <c r="C193" s="6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70"/>
      <c r="C196" s="75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70"/>
      <c r="C197" s="7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70"/>
      <c r="C198" s="75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71"/>
      <c r="C199" s="7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69" t="s">
        <v>20</v>
      </c>
      <c r="C200" s="6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70"/>
      <c r="C201" s="6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70"/>
      <c r="C202" s="6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71"/>
      <c r="C203" s="6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69" t="s">
        <v>20</v>
      </c>
      <c r="C207" s="6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70"/>
      <c r="C208" s="6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69" t="s">
        <v>20</v>
      </c>
      <c r="C218" s="6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70"/>
      <c r="C219" s="6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2" t="s">
        <v>247</v>
      </c>
    </row>
    <row r="226" spans="1:14">
      <c r="A226" s="55">
        <v>44</v>
      </c>
      <c r="B226" s="6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3"/>
    </row>
    <row r="227" spans="1:14">
      <c r="A227" s="55">
        <v>44</v>
      </c>
      <c r="B227" s="6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4"/>
    </row>
    <row r="228" spans="1:14">
      <c r="A228" s="55">
        <v>44</v>
      </c>
      <c r="B228" s="6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70"/>
      <c r="C249" s="6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2" t="s">
        <v>247</v>
      </c>
    </row>
    <row r="250" spans="1:14">
      <c r="A250" s="55">
        <v>48</v>
      </c>
      <c r="B250" s="671"/>
      <c r="C250" s="6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4"/>
    </row>
    <row r="251" spans="1:14">
      <c r="A251" s="55">
        <v>48</v>
      </c>
      <c r="B251" s="6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70"/>
      <c r="C256" s="6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2" t="s">
        <v>247</v>
      </c>
    </row>
    <row r="257" spans="1:14">
      <c r="A257" s="55">
        <v>49</v>
      </c>
      <c r="B257" s="671"/>
      <c r="C257" s="6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4"/>
    </row>
    <row r="258" spans="1:14" ht="40.5">
      <c r="A258" s="55">
        <v>49</v>
      </c>
      <c r="B258" s="6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9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9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65" t="s">
        <v>1103</v>
      </c>
    </row>
    <row r="262" spans="1:14" ht="25.5">
      <c r="A262" s="132">
        <v>49</v>
      </c>
      <c r="B262" s="79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66"/>
    </row>
    <row r="263" spans="1:14" ht="16.5" customHeight="1">
      <c r="A263" s="55">
        <v>50</v>
      </c>
      <c r="B263" s="669" t="s">
        <v>20</v>
      </c>
      <c r="C263" s="6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70"/>
      <c r="C264" s="6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70"/>
      <c r="C265" s="6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70"/>
      <c r="C266" s="6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71"/>
      <c r="C267" s="6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91" t="s">
        <v>658</v>
      </c>
      <c r="C268" s="6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92"/>
      <c r="C269" s="68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93"/>
      <c r="C270" s="6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69" t="s">
        <v>20</v>
      </c>
      <c r="C271" s="6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70"/>
      <c r="C272" s="6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70"/>
      <c r="C273" s="6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70"/>
      <c r="C275" s="6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70"/>
      <c r="C276" s="6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98" t="s">
        <v>1196</v>
      </c>
      <c r="B278" s="799"/>
      <c r="C278" s="799"/>
      <c r="D278" s="799"/>
      <c r="E278" s="799"/>
      <c r="F278" s="799"/>
      <c r="G278" s="799"/>
      <c r="H278" s="799"/>
      <c r="I278" s="799"/>
      <c r="J278" s="799"/>
      <c r="K278" s="799"/>
      <c r="L278" s="799"/>
      <c r="M278" s="799"/>
      <c r="N278" s="800"/>
    </row>
    <row r="279" spans="1:15" ht="16.5" customHeight="1">
      <c r="A279" s="55">
        <v>1</v>
      </c>
      <c r="B279" s="669" t="s">
        <v>20</v>
      </c>
      <c r="C279" s="6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71"/>
      <c r="C280" s="6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69" t="s">
        <v>64</v>
      </c>
      <c r="C281" s="6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70"/>
      <c r="C282" s="6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70"/>
      <c r="C283" s="6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0" t="s">
        <v>1174</v>
      </c>
      <c r="K283" s="79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70"/>
      <c r="C284" s="6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1"/>
      <c r="K284" s="79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01" t="s">
        <v>123</v>
      </c>
      <c r="C287" s="6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802"/>
      <c r="C288" s="6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91" t="s">
        <v>64</v>
      </c>
      <c r="C289" s="6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92"/>
      <c r="C290" s="79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92"/>
      <c r="C291" s="79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65" t="s">
        <v>638</v>
      </c>
      <c r="K291" s="730" t="s">
        <v>671</v>
      </c>
      <c r="L291" s="148" t="s">
        <v>309</v>
      </c>
      <c r="M291" s="675" t="s">
        <v>672</v>
      </c>
      <c r="N291" s="148" t="s">
        <v>723</v>
      </c>
    </row>
    <row r="292" spans="1:15">
      <c r="A292" s="55">
        <v>2</v>
      </c>
      <c r="B292" s="792"/>
      <c r="C292" s="79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66"/>
      <c r="K292" s="731"/>
      <c r="L292" s="148" t="s">
        <v>309</v>
      </c>
      <c r="M292" s="676"/>
      <c r="N292" s="148" t="s">
        <v>723</v>
      </c>
    </row>
    <row r="293" spans="1:15">
      <c r="A293" s="55">
        <v>2</v>
      </c>
      <c r="B293" s="792"/>
      <c r="C293" s="79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92"/>
      <c r="C294" s="6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9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69" t="s">
        <v>20</v>
      </c>
      <c r="C296" s="6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70"/>
      <c r="C297" s="6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71"/>
      <c r="C298" s="6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69" t="s">
        <v>20</v>
      </c>
      <c r="C302" s="6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70"/>
      <c r="C303" s="6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70"/>
      <c r="C304" s="6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70"/>
      <c r="C305" s="6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71"/>
      <c r="C306" s="6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69" t="s">
        <v>20</v>
      </c>
      <c r="C308" s="6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71"/>
      <c r="C309" s="6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91" t="s">
        <v>307</v>
      </c>
      <c r="C313" s="6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93"/>
      <c r="C314" s="6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69" t="s">
        <v>20</v>
      </c>
      <c r="C316" s="6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70"/>
      <c r="C317" s="6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71"/>
      <c r="C318" s="6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71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69" t="s">
        <v>20</v>
      </c>
      <c r="C322" s="6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71"/>
      <c r="C323" s="6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70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69" t="s">
        <v>20</v>
      </c>
      <c r="C329" s="6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70"/>
      <c r="C330" s="6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71"/>
      <c r="C331" s="6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69" t="s">
        <v>20</v>
      </c>
      <c r="C334" s="6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70"/>
      <c r="C335" s="6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70"/>
      <c r="C336" s="6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71"/>
      <c r="C337" s="6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69" t="s">
        <v>20</v>
      </c>
      <c r="C342" s="6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70"/>
      <c r="C343" s="6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70"/>
      <c r="C349" s="75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71"/>
      <c r="C350" s="7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9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92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92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9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9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9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9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9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9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71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69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70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71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91" t="s">
        <v>307</v>
      </c>
      <c r="C375" s="128" t="s">
        <v>1531</v>
      </c>
      <c r="D375" s="665" t="s">
        <v>306</v>
      </c>
      <c r="E375" s="665" t="s">
        <v>322</v>
      </c>
      <c r="F375" s="665" t="s">
        <v>307</v>
      </c>
      <c r="G375" s="667">
        <v>4266</v>
      </c>
      <c r="H375" s="665" t="s">
        <v>640</v>
      </c>
      <c r="I375" s="667" t="s">
        <v>1533</v>
      </c>
      <c r="J375" s="665" t="s">
        <v>1534</v>
      </c>
      <c r="K375" s="803" t="s">
        <v>692</v>
      </c>
      <c r="L375" s="665" t="s">
        <v>324</v>
      </c>
      <c r="M375" s="675" t="s">
        <v>1535</v>
      </c>
      <c r="N375" s="665" t="s">
        <v>425</v>
      </c>
    </row>
    <row r="376" spans="1:19">
      <c r="A376" s="204" t="s">
        <v>1539</v>
      </c>
      <c r="B376" s="792"/>
      <c r="C376" s="129" t="s">
        <v>1532</v>
      </c>
      <c r="D376" s="666"/>
      <c r="E376" s="666"/>
      <c r="F376" s="666"/>
      <c r="G376" s="668"/>
      <c r="H376" s="666"/>
      <c r="I376" s="668"/>
      <c r="J376" s="666"/>
      <c r="K376" s="804"/>
      <c r="L376" s="666"/>
      <c r="M376" s="676"/>
      <c r="N376" s="666"/>
    </row>
    <row r="377" spans="1:19">
      <c r="A377" s="204" t="s">
        <v>1539</v>
      </c>
      <c r="B377" s="792"/>
      <c r="C377" s="128" t="s">
        <v>1536</v>
      </c>
      <c r="D377" s="665" t="s">
        <v>306</v>
      </c>
      <c r="E377" s="665" t="s">
        <v>322</v>
      </c>
      <c r="F377" s="665" t="s">
        <v>307</v>
      </c>
      <c r="G377" s="667">
        <v>3306</v>
      </c>
      <c r="H377" s="665" t="s">
        <v>1153</v>
      </c>
      <c r="I377" s="667" t="s">
        <v>1538</v>
      </c>
      <c r="J377" s="665" t="s">
        <v>1534</v>
      </c>
      <c r="K377" s="803" t="s">
        <v>692</v>
      </c>
      <c r="L377" s="665" t="s">
        <v>324</v>
      </c>
      <c r="M377" s="675" t="s">
        <v>1535</v>
      </c>
      <c r="N377" s="665" t="s">
        <v>425</v>
      </c>
    </row>
    <row r="378" spans="1:19">
      <c r="A378" s="204" t="s">
        <v>1539</v>
      </c>
      <c r="B378" s="793"/>
      <c r="C378" s="129" t="s">
        <v>1537</v>
      </c>
      <c r="D378" s="666"/>
      <c r="E378" s="666"/>
      <c r="F378" s="666"/>
      <c r="G378" s="668"/>
      <c r="H378" s="666"/>
      <c r="I378" s="668"/>
      <c r="J378" s="666"/>
      <c r="K378" s="804"/>
      <c r="L378" s="666"/>
      <c r="M378" s="676"/>
      <c r="N378" s="666"/>
    </row>
    <row r="379" spans="1:19" ht="27" customHeight="1">
      <c r="A379" s="123">
        <v>15</v>
      </c>
      <c r="B379" s="669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70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70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71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69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70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70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71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70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71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69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70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71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70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70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70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70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70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71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78" t="s">
        <v>1786</v>
      </c>
      <c r="C403" s="233" t="s">
        <v>1752</v>
      </c>
      <c r="D403" s="728" t="s">
        <v>306</v>
      </c>
      <c r="E403" s="728" t="s">
        <v>322</v>
      </c>
      <c r="F403" s="728" t="s">
        <v>307</v>
      </c>
      <c r="G403" s="734">
        <v>3306</v>
      </c>
      <c r="H403" s="728" t="s">
        <v>1153</v>
      </c>
      <c r="I403" s="734" t="s">
        <v>1753</v>
      </c>
      <c r="J403" s="728" t="s">
        <v>664</v>
      </c>
      <c r="K403" s="805" t="s">
        <v>1288</v>
      </c>
      <c r="L403" s="728" t="s">
        <v>324</v>
      </c>
      <c r="M403" s="732" t="s">
        <v>1754</v>
      </c>
      <c r="N403" s="728" t="s">
        <v>665</v>
      </c>
    </row>
    <row r="404" spans="1:14">
      <c r="A404" s="123">
        <v>18</v>
      </c>
      <c r="B404" s="679"/>
      <c r="C404" s="233" t="s">
        <v>1755</v>
      </c>
      <c r="D404" s="729"/>
      <c r="E404" s="729"/>
      <c r="F404" s="729"/>
      <c r="G404" s="735"/>
      <c r="H404" s="729"/>
      <c r="I404" s="735"/>
      <c r="J404" s="729"/>
      <c r="K404" s="806"/>
      <c r="L404" s="729"/>
      <c r="M404" s="733"/>
      <c r="N404" s="729"/>
    </row>
    <row r="405" spans="1:14" ht="22.5">
      <c r="A405" s="123">
        <v>18</v>
      </c>
      <c r="B405" s="679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79"/>
      <c r="C406" s="233" t="s">
        <v>1759</v>
      </c>
      <c r="D406" s="728" t="s">
        <v>306</v>
      </c>
      <c r="E406" s="728" t="s">
        <v>322</v>
      </c>
      <c r="F406" s="728" t="s">
        <v>307</v>
      </c>
      <c r="G406" s="734" t="s">
        <v>1760</v>
      </c>
      <c r="H406" s="728" t="s">
        <v>347</v>
      </c>
      <c r="I406" s="734" t="s">
        <v>1154</v>
      </c>
      <c r="J406" s="728" t="s">
        <v>664</v>
      </c>
      <c r="K406" s="728" t="s">
        <v>1761</v>
      </c>
      <c r="L406" s="728" t="s">
        <v>324</v>
      </c>
      <c r="M406" s="732" t="s">
        <v>1762</v>
      </c>
      <c r="N406" s="728" t="s">
        <v>665</v>
      </c>
    </row>
    <row r="407" spans="1:14">
      <c r="A407" s="123">
        <v>18</v>
      </c>
      <c r="B407" s="679"/>
      <c r="C407" s="233" t="s">
        <v>1763</v>
      </c>
      <c r="D407" s="729"/>
      <c r="E407" s="729"/>
      <c r="F407" s="729"/>
      <c r="G407" s="735"/>
      <c r="H407" s="729"/>
      <c r="I407" s="735"/>
      <c r="J407" s="729"/>
      <c r="K407" s="729"/>
      <c r="L407" s="729"/>
      <c r="M407" s="733"/>
      <c r="N407" s="729"/>
    </row>
    <row r="408" spans="1:14" ht="16.5" customHeight="1">
      <c r="A408" s="123">
        <v>18</v>
      </c>
      <c r="B408" s="679"/>
      <c r="C408" s="235" t="s">
        <v>1764</v>
      </c>
      <c r="D408" s="728" t="s">
        <v>306</v>
      </c>
      <c r="E408" s="728" t="s">
        <v>322</v>
      </c>
      <c r="F408" s="728" t="s">
        <v>307</v>
      </c>
      <c r="G408" s="734" t="s">
        <v>1765</v>
      </c>
      <c r="H408" s="728" t="s">
        <v>329</v>
      </c>
      <c r="I408" s="734" t="s">
        <v>1766</v>
      </c>
      <c r="J408" s="728" t="s">
        <v>664</v>
      </c>
      <c r="K408" s="728" t="s">
        <v>1767</v>
      </c>
      <c r="L408" s="728" t="s">
        <v>324</v>
      </c>
      <c r="M408" s="732" t="s">
        <v>1768</v>
      </c>
      <c r="N408" s="728" t="s">
        <v>1769</v>
      </c>
    </row>
    <row r="409" spans="1:14">
      <c r="A409" s="123">
        <v>18</v>
      </c>
      <c r="B409" s="680"/>
      <c r="C409" s="233" t="s">
        <v>1770</v>
      </c>
      <c r="D409" s="729"/>
      <c r="E409" s="729"/>
      <c r="F409" s="729"/>
      <c r="G409" s="735"/>
      <c r="H409" s="729"/>
      <c r="I409" s="735"/>
      <c r="J409" s="729"/>
      <c r="K409" s="729"/>
      <c r="L409" s="729"/>
      <c r="M409" s="733"/>
      <c r="N409" s="729"/>
    </row>
    <row r="410" spans="1:14" ht="16.5" customHeight="1">
      <c r="A410" s="123">
        <v>18</v>
      </c>
      <c r="B410" s="678" t="s">
        <v>253</v>
      </c>
      <c r="C410" s="736" t="s">
        <v>1771</v>
      </c>
      <c r="D410" s="728" t="s">
        <v>311</v>
      </c>
      <c r="E410" s="728" t="s">
        <v>320</v>
      </c>
      <c r="F410" s="728" t="s">
        <v>709</v>
      </c>
      <c r="G410" s="728" t="s">
        <v>1772</v>
      </c>
      <c r="H410" s="736" t="s">
        <v>1773</v>
      </c>
      <c r="I410" s="234" t="s">
        <v>1774</v>
      </c>
      <c r="J410" s="728"/>
      <c r="K410" s="738" t="s">
        <v>1775</v>
      </c>
      <c r="L410" s="728" t="s">
        <v>309</v>
      </c>
      <c r="M410" s="732" t="s">
        <v>1768</v>
      </c>
      <c r="N410" s="728" t="s">
        <v>1776</v>
      </c>
    </row>
    <row r="411" spans="1:14">
      <c r="A411" s="123">
        <v>18</v>
      </c>
      <c r="B411" s="679"/>
      <c r="C411" s="737"/>
      <c r="D411" s="729"/>
      <c r="E411" s="729"/>
      <c r="F411" s="729"/>
      <c r="G411" s="729"/>
      <c r="H411" s="737"/>
      <c r="I411" s="234" t="s">
        <v>1777</v>
      </c>
      <c r="J411" s="729"/>
      <c r="K411" s="739"/>
      <c r="L411" s="729"/>
      <c r="M411" s="733"/>
      <c r="N411" s="729"/>
    </row>
    <row r="412" spans="1:14" ht="22.5">
      <c r="A412" s="123">
        <v>18</v>
      </c>
      <c r="B412" s="679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79"/>
      <c r="C413" s="736" t="s">
        <v>1780</v>
      </c>
      <c r="D413" s="736" t="s">
        <v>700</v>
      </c>
      <c r="E413" s="728" t="s">
        <v>675</v>
      </c>
      <c r="F413" s="736" t="s">
        <v>1781</v>
      </c>
      <c r="G413" s="736" t="s">
        <v>1782</v>
      </c>
      <c r="H413" s="736" t="s">
        <v>662</v>
      </c>
      <c r="I413" s="234" t="s">
        <v>1783</v>
      </c>
      <c r="J413" s="728" t="s">
        <v>638</v>
      </c>
      <c r="K413" s="728" t="s">
        <v>731</v>
      </c>
      <c r="L413" s="728" t="s">
        <v>309</v>
      </c>
      <c r="M413" s="732" t="s">
        <v>1784</v>
      </c>
      <c r="N413" s="728" t="s">
        <v>1785</v>
      </c>
    </row>
    <row r="414" spans="1:14">
      <c r="A414" s="123">
        <v>18</v>
      </c>
      <c r="B414" s="680"/>
      <c r="C414" s="737"/>
      <c r="D414" s="737"/>
      <c r="E414" s="729"/>
      <c r="F414" s="737"/>
      <c r="G414" s="737"/>
      <c r="H414" s="737"/>
      <c r="I414" s="26"/>
      <c r="J414" s="729"/>
      <c r="K414" s="729"/>
      <c r="L414" s="729"/>
      <c r="M414" s="733"/>
      <c r="N414" s="729"/>
    </row>
    <row r="415" spans="1:14" ht="16.5" customHeight="1">
      <c r="A415" s="123">
        <v>19</v>
      </c>
      <c r="B415" s="678" t="s">
        <v>20</v>
      </c>
      <c r="C415" s="148" t="s">
        <v>1798</v>
      </c>
      <c r="D415" s="665" t="s">
        <v>306</v>
      </c>
      <c r="E415" s="665" t="s">
        <v>322</v>
      </c>
      <c r="F415" s="665" t="s">
        <v>307</v>
      </c>
      <c r="G415" s="667" t="s">
        <v>1800</v>
      </c>
      <c r="H415" s="665" t="s">
        <v>1801</v>
      </c>
      <c r="I415" s="667" t="s">
        <v>1796</v>
      </c>
      <c r="J415" s="665" t="s">
        <v>664</v>
      </c>
      <c r="K415" s="148" t="s">
        <v>1520</v>
      </c>
      <c r="L415" s="665" t="s">
        <v>324</v>
      </c>
      <c r="M415" s="675" t="s">
        <v>1803</v>
      </c>
      <c r="N415" s="665" t="s">
        <v>665</v>
      </c>
    </row>
    <row r="416" spans="1:14">
      <c r="A416" s="123">
        <v>19</v>
      </c>
      <c r="B416" s="679"/>
      <c r="C416" s="148" t="s">
        <v>1799</v>
      </c>
      <c r="D416" s="666"/>
      <c r="E416" s="666"/>
      <c r="F416" s="666"/>
      <c r="G416" s="668"/>
      <c r="H416" s="666"/>
      <c r="I416" s="668"/>
      <c r="J416" s="666"/>
      <c r="K416" s="148" t="s">
        <v>1802</v>
      </c>
      <c r="L416" s="666"/>
      <c r="M416" s="676"/>
      <c r="N416" s="666"/>
    </row>
    <row r="417" spans="1:14">
      <c r="A417" s="123">
        <v>19</v>
      </c>
      <c r="B417" s="679"/>
      <c r="C417" s="148" t="s">
        <v>1804</v>
      </c>
      <c r="D417" s="665" t="s">
        <v>306</v>
      </c>
      <c r="E417" s="665" t="s">
        <v>322</v>
      </c>
      <c r="F417" s="665" t="s">
        <v>307</v>
      </c>
      <c r="G417" s="667" t="s">
        <v>1805</v>
      </c>
      <c r="H417" s="665" t="s">
        <v>1806</v>
      </c>
      <c r="I417" s="667" t="s">
        <v>1807</v>
      </c>
      <c r="J417" s="665" t="s">
        <v>664</v>
      </c>
      <c r="K417" s="730" t="s">
        <v>1155</v>
      </c>
      <c r="L417" s="665" t="s">
        <v>324</v>
      </c>
      <c r="M417" s="675" t="s">
        <v>1808</v>
      </c>
      <c r="N417" s="665" t="s">
        <v>665</v>
      </c>
    </row>
    <row r="418" spans="1:14">
      <c r="A418" s="123">
        <v>19</v>
      </c>
      <c r="B418" s="680"/>
      <c r="C418" s="148" t="s">
        <v>1799</v>
      </c>
      <c r="D418" s="666"/>
      <c r="E418" s="666"/>
      <c r="F418" s="666"/>
      <c r="G418" s="668"/>
      <c r="H418" s="666"/>
      <c r="I418" s="668"/>
      <c r="J418" s="666"/>
      <c r="K418" s="731"/>
      <c r="L418" s="666"/>
      <c r="M418" s="676"/>
      <c r="N418" s="666"/>
    </row>
    <row r="419" spans="1:14" ht="16.5" customHeight="1">
      <c r="A419" s="123">
        <v>19</v>
      </c>
      <c r="B419" s="678" t="s">
        <v>21</v>
      </c>
      <c r="C419" s="720" t="s">
        <v>1809</v>
      </c>
      <c r="D419" s="720" t="s">
        <v>700</v>
      </c>
      <c r="E419" s="665" t="s">
        <v>675</v>
      </c>
      <c r="F419" s="720" t="s">
        <v>1810</v>
      </c>
      <c r="G419" s="720" t="s">
        <v>1811</v>
      </c>
      <c r="H419" s="720" t="s">
        <v>662</v>
      </c>
      <c r="I419" s="667" t="s">
        <v>1812</v>
      </c>
      <c r="J419" s="665"/>
      <c r="K419" s="722" t="s">
        <v>1813</v>
      </c>
      <c r="L419" s="665" t="s">
        <v>309</v>
      </c>
      <c r="M419" s="675" t="s">
        <v>1814</v>
      </c>
      <c r="N419" s="149" t="s">
        <v>1815</v>
      </c>
    </row>
    <row r="420" spans="1:14">
      <c r="A420" s="123">
        <v>19</v>
      </c>
      <c r="B420" s="679"/>
      <c r="C420" s="721"/>
      <c r="D420" s="721"/>
      <c r="E420" s="666"/>
      <c r="F420" s="721"/>
      <c r="G420" s="721"/>
      <c r="H420" s="721"/>
      <c r="I420" s="668"/>
      <c r="J420" s="666"/>
      <c r="K420" s="723"/>
      <c r="L420" s="666"/>
      <c r="M420" s="676"/>
      <c r="N420" s="149" t="s">
        <v>1816</v>
      </c>
    </row>
    <row r="421" spans="1:14">
      <c r="A421" s="123">
        <v>19</v>
      </c>
      <c r="B421" s="679"/>
      <c r="C421" s="724" t="s">
        <v>1817</v>
      </c>
      <c r="D421" s="720" t="s">
        <v>700</v>
      </c>
      <c r="E421" s="665" t="s">
        <v>320</v>
      </c>
      <c r="F421" s="665" t="s">
        <v>337</v>
      </c>
      <c r="G421" s="720" t="s">
        <v>353</v>
      </c>
      <c r="H421" s="720" t="s">
        <v>1818</v>
      </c>
      <c r="I421" s="667" t="s">
        <v>1819</v>
      </c>
      <c r="J421" s="665" t="s">
        <v>638</v>
      </c>
      <c r="K421" s="726" t="s">
        <v>692</v>
      </c>
      <c r="L421" s="665" t="s">
        <v>309</v>
      </c>
      <c r="M421" s="675" t="s">
        <v>1820</v>
      </c>
      <c r="N421" s="148" t="s">
        <v>1821</v>
      </c>
    </row>
    <row r="422" spans="1:14">
      <c r="A422" s="123">
        <v>19</v>
      </c>
      <c r="B422" s="679"/>
      <c r="C422" s="725"/>
      <c r="D422" s="721"/>
      <c r="E422" s="666"/>
      <c r="F422" s="666"/>
      <c r="G422" s="721"/>
      <c r="H422" s="721"/>
      <c r="I422" s="668"/>
      <c r="J422" s="666"/>
      <c r="K422" s="727"/>
      <c r="L422" s="666"/>
      <c r="M422" s="676"/>
      <c r="N422" s="148" t="s">
        <v>1822</v>
      </c>
    </row>
    <row r="423" spans="1:14">
      <c r="A423" s="123">
        <v>19</v>
      </c>
      <c r="B423" s="679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79"/>
      <c r="C424" s="720" t="s">
        <v>1824</v>
      </c>
      <c r="D424" s="720" t="s">
        <v>700</v>
      </c>
      <c r="E424" s="665" t="s">
        <v>320</v>
      </c>
      <c r="F424" s="665" t="s">
        <v>709</v>
      </c>
      <c r="G424" s="665" t="s">
        <v>1772</v>
      </c>
      <c r="H424" s="720" t="s">
        <v>1825</v>
      </c>
      <c r="I424" s="149" t="s">
        <v>1826</v>
      </c>
      <c r="J424" s="665" t="s">
        <v>638</v>
      </c>
      <c r="K424" s="665" t="s">
        <v>692</v>
      </c>
      <c r="L424" s="665" t="s">
        <v>309</v>
      </c>
      <c r="M424" s="675" t="s">
        <v>1535</v>
      </c>
      <c r="N424" s="667" t="s">
        <v>1828</v>
      </c>
    </row>
    <row r="425" spans="1:14">
      <c r="A425" s="123">
        <v>19</v>
      </c>
      <c r="B425" s="679"/>
      <c r="C425" s="721"/>
      <c r="D425" s="721"/>
      <c r="E425" s="666"/>
      <c r="F425" s="666"/>
      <c r="G425" s="666"/>
      <c r="H425" s="721"/>
      <c r="I425" s="149" t="s">
        <v>1827</v>
      </c>
      <c r="J425" s="666"/>
      <c r="K425" s="666"/>
      <c r="L425" s="666"/>
      <c r="M425" s="676"/>
      <c r="N425" s="668"/>
    </row>
    <row r="426" spans="1:14">
      <c r="A426" s="123">
        <v>19</v>
      </c>
      <c r="B426" s="680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78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79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79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79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0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78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80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78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79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79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79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0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7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79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7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7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8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7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79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79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79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0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7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79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80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78" t="s">
        <v>2082</v>
      </c>
      <c r="C452" s="250" t="s">
        <v>1910</v>
      </c>
      <c r="D452" s="700" t="s">
        <v>306</v>
      </c>
      <c r="E452" s="700" t="s">
        <v>322</v>
      </c>
      <c r="F452" s="700" t="s">
        <v>307</v>
      </c>
      <c r="G452" s="700">
        <v>3306</v>
      </c>
      <c r="H452" s="700" t="s">
        <v>1153</v>
      </c>
      <c r="I452" s="700" t="s">
        <v>1911</v>
      </c>
      <c r="J452" s="700" t="s">
        <v>1111</v>
      </c>
      <c r="K452" s="700" t="s">
        <v>692</v>
      </c>
      <c r="L452" s="700" t="s">
        <v>324</v>
      </c>
      <c r="M452" s="698" t="s">
        <v>1912</v>
      </c>
      <c r="N452" s="700" t="s">
        <v>665</v>
      </c>
    </row>
    <row r="453" spans="1:14">
      <c r="A453" s="123">
        <v>23</v>
      </c>
      <c r="B453" s="679"/>
      <c r="C453" s="250" t="s">
        <v>1913</v>
      </c>
      <c r="D453" s="701"/>
      <c r="E453" s="701"/>
      <c r="F453" s="701"/>
      <c r="G453" s="701"/>
      <c r="H453" s="701"/>
      <c r="I453" s="701"/>
      <c r="J453" s="701"/>
      <c r="K453" s="701"/>
      <c r="L453" s="701"/>
      <c r="M453" s="699"/>
      <c r="N453" s="701"/>
    </row>
    <row r="454" spans="1:14">
      <c r="A454" s="123">
        <v>23</v>
      </c>
      <c r="B454" s="679"/>
      <c r="C454" s="250" t="s">
        <v>1914</v>
      </c>
      <c r="D454" s="700" t="s">
        <v>306</v>
      </c>
      <c r="E454" s="700" t="s">
        <v>322</v>
      </c>
      <c r="F454" s="700" t="s">
        <v>307</v>
      </c>
      <c r="G454" s="702" t="s">
        <v>1418</v>
      </c>
      <c r="H454" s="700" t="s">
        <v>1915</v>
      </c>
      <c r="I454" s="702" t="s">
        <v>1154</v>
      </c>
      <c r="J454" s="700" t="s">
        <v>664</v>
      </c>
      <c r="K454" s="716" t="s">
        <v>1767</v>
      </c>
      <c r="L454" s="700" t="s">
        <v>324</v>
      </c>
      <c r="M454" s="698" t="s">
        <v>1535</v>
      </c>
      <c r="N454" s="700" t="s">
        <v>665</v>
      </c>
    </row>
    <row r="455" spans="1:14">
      <c r="A455" s="123">
        <v>23</v>
      </c>
      <c r="B455" s="679"/>
      <c r="C455" s="250" t="s">
        <v>1913</v>
      </c>
      <c r="D455" s="701"/>
      <c r="E455" s="701"/>
      <c r="F455" s="701"/>
      <c r="G455" s="703"/>
      <c r="H455" s="701"/>
      <c r="I455" s="703"/>
      <c r="J455" s="701"/>
      <c r="K455" s="717"/>
      <c r="L455" s="701"/>
      <c r="M455" s="699"/>
      <c r="N455" s="701"/>
    </row>
    <row r="456" spans="1:14">
      <c r="A456" s="123">
        <v>23</v>
      </c>
      <c r="B456" s="679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79"/>
      <c r="C457" s="250" t="s">
        <v>1921</v>
      </c>
      <c r="D457" s="700" t="s">
        <v>306</v>
      </c>
      <c r="E457" s="700" t="s">
        <v>322</v>
      </c>
      <c r="F457" s="700" t="s">
        <v>307</v>
      </c>
      <c r="G457" s="702">
        <v>4267</v>
      </c>
      <c r="H457" s="700" t="s">
        <v>640</v>
      </c>
      <c r="I457" s="702" t="s">
        <v>1154</v>
      </c>
      <c r="J457" s="700" t="s">
        <v>664</v>
      </c>
      <c r="K457" s="716" t="s">
        <v>1767</v>
      </c>
      <c r="L457" s="700" t="s">
        <v>324</v>
      </c>
      <c r="M457" s="698" t="s">
        <v>1535</v>
      </c>
      <c r="N457" s="700" t="s">
        <v>665</v>
      </c>
    </row>
    <row r="458" spans="1:14">
      <c r="A458" s="123">
        <v>23</v>
      </c>
      <c r="B458" s="679"/>
      <c r="C458" s="250" t="s">
        <v>1922</v>
      </c>
      <c r="D458" s="701"/>
      <c r="E458" s="701"/>
      <c r="F458" s="701"/>
      <c r="G458" s="703"/>
      <c r="H458" s="701"/>
      <c r="I458" s="703"/>
      <c r="J458" s="701"/>
      <c r="K458" s="717"/>
      <c r="L458" s="701"/>
      <c r="M458" s="699"/>
      <c r="N458" s="701"/>
    </row>
    <row r="459" spans="1:14">
      <c r="A459" s="123">
        <v>23</v>
      </c>
      <c r="B459" s="679"/>
      <c r="C459" s="250" t="s">
        <v>1921</v>
      </c>
      <c r="D459" s="700" t="s">
        <v>306</v>
      </c>
      <c r="E459" s="700" t="s">
        <v>322</v>
      </c>
      <c r="F459" s="700" t="s">
        <v>307</v>
      </c>
      <c r="G459" s="702" t="s">
        <v>1923</v>
      </c>
      <c r="H459" s="700" t="s">
        <v>662</v>
      </c>
      <c r="I459" s="702" t="s">
        <v>1924</v>
      </c>
      <c r="J459" s="700" t="s">
        <v>349</v>
      </c>
      <c r="K459" s="718" t="s">
        <v>1920</v>
      </c>
      <c r="L459" s="700" t="s">
        <v>324</v>
      </c>
      <c r="M459" s="698" t="s">
        <v>1535</v>
      </c>
      <c r="N459" s="700" t="s">
        <v>425</v>
      </c>
    </row>
    <row r="460" spans="1:14">
      <c r="A460" s="123">
        <v>23</v>
      </c>
      <c r="B460" s="680"/>
      <c r="C460" s="251" t="s">
        <v>1922</v>
      </c>
      <c r="D460" s="701"/>
      <c r="E460" s="701"/>
      <c r="F460" s="701"/>
      <c r="G460" s="703"/>
      <c r="H460" s="701"/>
      <c r="I460" s="703"/>
      <c r="J460" s="701"/>
      <c r="K460" s="719"/>
      <c r="L460" s="701"/>
      <c r="M460" s="699"/>
      <c r="N460" s="701"/>
    </row>
    <row r="461" spans="1:14">
      <c r="A461" s="123">
        <v>23</v>
      </c>
      <c r="B461" s="678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79"/>
      <c r="C462" s="700" t="s">
        <v>1925</v>
      </c>
      <c r="D462" s="700" t="s">
        <v>311</v>
      </c>
      <c r="E462" s="700" t="s">
        <v>675</v>
      </c>
      <c r="F462" s="700" t="s">
        <v>1930</v>
      </c>
      <c r="G462" s="700" t="s">
        <v>1931</v>
      </c>
      <c r="H462" s="807" t="s">
        <v>347</v>
      </c>
      <c r="I462" s="249" t="s">
        <v>1932</v>
      </c>
      <c r="J462" s="700"/>
      <c r="K462" s="702" t="s">
        <v>1928</v>
      </c>
      <c r="L462" s="700" t="s">
        <v>309</v>
      </c>
      <c r="M462" s="698" t="s">
        <v>1832</v>
      </c>
      <c r="N462" s="702" t="s">
        <v>1929</v>
      </c>
    </row>
    <row r="463" spans="1:14">
      <c r="A463" s="123">
        <v>23</v>
      </c>
      <c r="B463" s="679"/>
      <c r="C463" s="701"/>
      <c r="D463" s="701"/>
      <c r="E463" s="701"/>
      <c r="F463" s="701"/>
      <c r="G463" s="701"/>
      <c r="H463" s="808"/>
      <c r="I463" s="249" t="s">
        <v>1933</v>
      </c>
      <c r="J463" s="701"/>
      <c r="K463" s="703"/>
      <c r="L463" s="701"/>
      <c r="M463" s="699"/>
      <c r="N463" s="703"/>
    </row>
    <row r="464" spans="1:14" ht="24">
      <c r="A464" s="123">
        <v>23</v>
      </c>
      <c r="B464" s="679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80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78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79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79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80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78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79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79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79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8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78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79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79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80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78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7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80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78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79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79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79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0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78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7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7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7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78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79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79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79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79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0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7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7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78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79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79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0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7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78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79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79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79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7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7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7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7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80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78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79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80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78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7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7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7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78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0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78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7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7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79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0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78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79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0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7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7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0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7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79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79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79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0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7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7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7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78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79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79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80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78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79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0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78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7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79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0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78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79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80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78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7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7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78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79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79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79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7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69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693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69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69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69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693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78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0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69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69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692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693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78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7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79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7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79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79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79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79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80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78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7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78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79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80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7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7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7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78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0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69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69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69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7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7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7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0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78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80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78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79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7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0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1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14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1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1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1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78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79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80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78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79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80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78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79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0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78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80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78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7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80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78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79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7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79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7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79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79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79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79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79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79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79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79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7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79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79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79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79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79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79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79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79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78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79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79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80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12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79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80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78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8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78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79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79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79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80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7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80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78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79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79"/>
      <c r="C687" s="148" t="s">
        <v>2730</v>
      </c>
      <c r="D687" s="665" t="s">
        <v>306</v>
      </c>
      <c r="E687" s="665" t="s">
        <v>322</v>
      </c>
      <c r="F687" s="665" t="s">
        <v>307</v>
      </c>
      <c r="G687" s="667" t="s">
        <v>2723</v>
      </c>
      <c r="H687" s="665" t="s">
        <v>1047</v>
      </c>
      <c r="I687" s="667" t="s">
        <v>704</v>
      </c>
      <c r="J687" s="665" t="s">
        <v>664</v>
      </c>
      <c r="K687" s="708" t="s">
        <v>1767</v>
      </c>
      <c r="L687" s="665"/>
      <c r="M687" s="675" t="s">
        <v>458</v>
      </c>
      <c r="N687" s="665" t="s">
        <v>665</v>
      </c>
    </row>
    <row r="688" spans="1:14">
      <c r="A688" s="123">
        <v>8</v>
      </c>
      <c r="B688" s="679"/>
      <c r="C688" s="148" t="s">
        <v>2731</v>
      </c>
      <c r="D688" s="666"/>
      <c r="E688" s="666"/>
      <c r="F688" s="666"/>
      <c r="G688" s="668"/>
      <c r="H688" s="666"/>
      <c r="I688" s="668"/>
      <c r="J688" s="666"/>
      <c r="K688" s="709"/>
      <c r="L688" s="666"/>
      <c r="M688" s="676"/>
      <c r="N688" s="666"/>
    </row>
    <row r="689" spans="1:14">
      <c r="A689" s="123">
        <v>8</v>
      </c>
      <c r="B689" s="679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79"/>
      <c r="C690" s="148" t="s">
        <v>2734</v>
      </c>
      <c r="D690" s="665" t="s">
        <v>306</v>
      </c>
      <c r="E690" s="665" t="s">
        <v>322</v>
      </c>
      <c r="F690" s="665" t="s">
        <v>307</v>
      </c>
      <c r="G690" s="667" t="s">
        <v>2735</v>
      </c>
      <c r="H690" s="665" t="s">
        <v>640</v>
      </c>
      <c r="I690" s="667" t="s">
        <v>668</v>
      </c>
      <c r="J690" s="665" t="s">
        <v>349</v>
      </c>
      <c r="K690" s="710" t="s">
        <v>2736</v>
      </c>
      <c r="L690" s="665"/>
      <c r="M690" s="675" t="s">
        <v>2773</v>
      </c>
      <c r="N690" s="665" t="s">
        <v>425</v>
      </c>
    </row>
    <row r="691" spans="1:14">
      <c r="A691" s="123">
        <v>8</v>
      </c>
      <c r="B691" s="680"/>
      <c r="C691" s="148" t="s">
        <v>2727</v>
      </c>
      <c r="D691" s="666"/>
      <c r="E691" s="666"/>
      <c r="F691" s="666"/>
      <c r="G691" s="668"/>
      <c r="H691" s="666"/>
      <c r="I691" s="668"/>
      <c r="J691" s="666"/>
      <c r="K691" s="711"/>
      <c r="L691" s="666"/>
      <c r="M691" s="676"/>
      <c r="N691" s="666"/>
    </row>
    <row r="692" spans="1:14">
      <c r="A692" s="123">
        <v>8</v>
      </c>
      <c r="B692" s="678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79"/>
      <c r="C693" s="665" t="s">
        <v>2772</v>
      </c>
      <c r="D693" s="665" t="s">
        <v>311</v>
      </c>
      <c r="E693" s="665" t="s">
        <v>675</v>
      </c>
      <c r="F693" s="149" t="s">
        <v>1810</v>
      </c>
      <c r="G693" s="667" t="s">
        <v>689</v>
      </c>
      <c r="H693" s="667" t="s">
        <v>662</v>
      </c>
      <c r="I693" s="667" t="s">
        <v>2743</v>
      </c>
      <c r="J693" s="667"/>
      <c r="K693" s="667" t="s">
        <v>698</v>
      </c>
      <c r="L693" s="665" t="s">
        <v>309</v>
      </c>
      <c r="M693" s="675" t="s">
        <v>672</v>
      </c>
      <c r="N693" s="665" t="s">
        <v>2744</v>
      </c>
    </row>
    <row r="694" spans="1:14">
      <c r="A694" s="123">
        <v>8</v>
      </c>
      <c r="B694" s="680"/>
      <c r="C694" s="666"/>
      <c r="D694" s="666"/>
      <c r="E694" s="666"/>
      <c r="F694" s="149" t="s">
        <v>2742</v>
      </c>
      <c r="G694" s="668"/>
      <c r="H694" s="668"/>
      <c r="I694" s="668"/>
      <c r="J694" s="668"/>
      <c r="K694" s="668"/>
      <c r="L694" s="666"/>
      <c r="M694" s="676"/>
      <c r="N694" s="686"/>
    </row>
    <row r="695" spans="1:14">
      <c r="A695" s="123">
        <v>9</v>
      </c>
      <c r="B695" s="678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79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79"/>
      <c r="C697" s="250" t="s">
        <v>2749</v>
      </c>
      <c r="D697" s="700" t="s">
        <v>306</v>
      </c>
      <c r="E697" s="700" t="s">
        <v>322</v>
      </c>
      <c r="F697" s="700" t="s">
        <v>307</v>
      </c>
      <c r="G697" s="702" t="s">
        <v>2750</v>
      </c>
      <c r="H697" s="700" t="s">
        <v>405</v>
      </c>
      <c r="I697" s="702" t="s">
        <v>2751</v>
      </c>
      <c r="J697" s="700" t="s">
        <v>664</v>
      </c>
      <c r="K697" s="706" t="s">
        <v>1761</v>
      </c>
      <c r="L697" s="700"/>
      <c r="M697" s="698">
        <v>750000</v>
      </c>
      <c r="N697" s="700" t="s">
        <v>665</v>
      </c>
    </row>
    <row r="698" spans="1:14">
      <c r="A698" s="123">
        <v>9</v>
      </c>
      <c r="B698" s="679"/>
      <c r="C698" s="250" t="s">
        <v>2752</v>
      </c>
      <c r="D698" s="701"/>
      <c r="E698" s="701"/>
      <c r="F698" s="701"/>
      <c r="G698" s="703"/>
      <c r="H698" s="701"/>
      <c r="I698" s="703"/>
      <c r="J698" s="701"/>
      <c r="K698" s="707"/>
      <c r="L698" s="701"/>
      <c r="M698" s="699"/>
      <c r="N698" s="701"/>
    </row>
    <row r="699" spans="1:14">
      <c r="A699" s="123">
        <v>9</v>
      </c>
      <c r="B699" s="679"/>
      <c r="C699" s="250" t="s">
        <v>2749</v>
      </c>
      <c r="D699" s="700" t="s">
        <v>306</v>
      </c>
      <c r="E699" s="700" t="s">
        <v>322</v>
      </c>
      <c r="F699" s="700" t="s">
        <v>307</v>
      </c>
      <c r="G699" s="702" t="s">
        <v>2753</v>
      </c>
      <c r="H699" s="700" t="s">
        <v>662</v>
      </c>
      <c r="I699" s="702" t="s">
        <v>668</v>
      </c>
      <c r="J699" s="700" t="s">
        <v>349</v>
      </c>
      <c r="K699" s="704" t="s">
        <v>2736</v>
      </c>
      <c r="L699" s="700"/>
      <c r="M699" s="698">
        <v>1000000</v>
      </c>
      <c r="N699" s="700" t="s">
        <v>425</v>
      </c>
    </row>
    <row r="700" spans="1:14">
      <c r="A700" s="123">
        <v>9</v>
      </c>
      <c r="B700" s="679"/>
      <c r="C700" s="250" t="s">
        <v>2754</v>
      </c>
      <c r="D700" s="701"/>
      <c r="E700" s="701"/>
      <c r="F700" s="701"/>
      <c r="G700" s="703"/>
      <c r="H700" s="701"/>
      <c r="I700" s="703"/>
      <c r="J700" s="701"/>
      <c r="K700" s="705"/>
      <c r="L700" s="701"/>
      <c r="M700" s="699"/>
      <c r="N700" s="701"/>
    </row>
    <row r="701" spans="1:14">
      <c r="A701" s="123">
        <v>9</v>
      </c>
      <c r="B701" s="680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78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79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80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78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79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80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78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79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79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80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78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80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78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0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78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79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79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79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80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78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79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79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78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79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79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79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79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79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79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696" t="s">
        <v>2825</v>
      </c>
    </row>
    <row r="734" spans="1:14" ht="27">
      <c r="A734" s="123">
        <v>15</v>
      </c>
      <c r="B734" s="679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697"/>
    </row>
    <row r="735" spans="1:14">
      <c r="A735" s="123">
        <v>15</v>
      </c>
      <c r="B735" s="679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79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7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79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79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79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79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79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79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79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80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78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79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79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79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0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78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7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79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7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78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79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79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80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78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79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79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79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79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79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79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79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79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80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78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79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0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78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79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78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79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79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80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78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79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79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8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78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0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7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79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79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80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78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80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69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69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69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78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79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79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79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80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78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79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79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80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78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79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0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78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7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7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0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78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79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79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79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79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0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78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79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79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79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79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79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79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79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0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78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79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79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79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7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78" t="s">
        <v>3101</v>
      </c>
      <c r="C835" s="148" t="s">
        <v>3083</v>
      </c>
      <c r="D835" s="665" t="s">
        <v>306</v>
      </c>
      <c r="E835" s="665" t="s">
        <v>322</v>
      </c>
      <c r="F835" s="665" t="s">
        <v>307</v>
      </c>
      <c r="G835" s="667" t="s">
        <v>3055</v>
      </c>
      <c r="H835" s="665" t="s">
        <v>1997</v>
      </c>
      <c r="I835" s="667" t="s">
        <v>3056</v>
      </c>
      <c r="J835" s="665" t="s">
        <v>664</v>
      </c>
      <c r="K835" s="148" t="s">
        <v>3085</v>
      </c>
      <c r="L835" s="665"/>
      <c r="M835" s="688" t="s">
        <v>3086</v>
      </c>
      <c r="N835" s="148" t="s">
        <v>3087</v>
      </c>
    </row>
    <row r="836" spans="1:14">
      <c r="A836" s="123">
        <v>29</v>
      </c>
      <c r="B836" s="679"/>
      <c r="C836" s="148" t="s">
        <v>3084</v>
      </c>
      <c r="D836" s="686"/>
      <c r="E836" s="686"/>
      <c r="F836" s="686"/>
      <c r="G836" s="687"/>
      <c r="H836" s="686"/>
      <c r="I836" s="687"/>
      <c r="J836" s="686"/>
      <c r="K836" s="148" t="s">
        <v>707</v>
      </c>
      <c r="L836" s="686"/>
      <c r="M836" s="689"/>
      <c r="N836" s="148"/>
    </row>
    <row r="837" spans="1:14">
      <c r="A837" s="123">
        <v>29</v>
      </c>
      <c r="B837" s="679"/>
      <c r="C837" s="148"/>
      <c r="D837" s="666"/>
      <c r="E837" s="666"/>
      <c r="F837" s="666"/>
      <c r="G837" s="668"/>
      <c r="H837" s="666"/>
      <c r="I837" s="668"/>
      <c r="J837" s="666"/>
      <c r="K837" s="148"/>
      <c r="L837" s="666"/>
      <c r="M837" s="690"/>
      <c r="N837" s="148" t="s">
        <v>3088</v>
      </c>
    </row>
    <row r="838" spans="1:14">
      <c r="A838" s="123">
        <v>29</v>
      </c>
      <c r="B838" s="679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80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78" t="s">
        <v>21</v>
      </c>
      <c r="C840" s="111" t="s">
        <v>3091</v>
      </c>
      <c r="D840" s="665" t="s">
        <v>311</v>
      </c>
      <c r="E840" s="665" t="s">
        <v>320</v>
      </c>
      <c r="F840" s="667" t="s">
        <v>2605</v>
      </c>
      <c r="G840" s="667" t="s">
        <v>3063</v>
      </c>
      <c r="H840" s="667" t="s">
        <v>3064</v>
      </c>
      <c r="I840" s="667" t="s">
        <v>3065</v>
      </c>
      <c r="J840" s="667" t="s">
        <v>702</v>
      </c>
      <c r="K840" s="667" t="s">
        <v>3066</v>
      </c>
      <c r="L840" s="665" t="s">
        <v>309</v>
      </c>
      <c r="M840" s="688" t="s">
        <v>1820</v>
      </c>
      <c r="N840" s="665" t="s">
        <v>3092</v>
      </c>
    </row>
    <row r="841" spans="1:14">
      <c r="A841" s="123">
        <v>29</v>
      </c>
      <c r="B841" s="679"/>
      <c r="C841" s="111" t="s">
        <v>3069</v>
      </c>
      <c r="D841" s="666"/>
      <c r="E841" s="666"/>
      <c r="F841" s="668"/>
      <c r="G841" s="668"/>
      <c r="H841" s="668"/>
      <c r="I841" s="668"/>
      <c r="J841" s="668"/>
      <c r="K841" s="668"/>
      <c r="L841" s="666"/>
      <c r="M841" s="690"/>
      <c r="N841" s="666"/>
    </row>
    <row r="842" spans="1:14">
      <c r="A842" s="123">
        <v>29</v>
      </c>
      <c r="B842" s="679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79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79"/>
      <c r="C844" s="111" t="s">
        <v>3083</v>
      </c>
      <c r="D844" s="665" t="s">
        <v>311</v>
      </c>
      <c r="E844" s="665" t="s">
        <v>320</v>
      </c>
      <c r="F844" s="667" t="s">
        <v>3072</v>
      </c>
      <c r="G844" s="667" t="s">
        <v>1923</v>
      </c>
      <c r="H844" s="667" t="s">
        <v>3073</v>
      </c>
      <c r="I844" s="149" t="s">
        <v>3094</v>
      </c>
      <c r="J844" s="667"/>
      <c r="K844" s="667" t="s">
        <v>3074</v>
      </c>
      <c r="L844" s="665" t="s">
        <v>309</v>
      </c>
      <c r="M844" s="694" t="s">
        <v>3096</v>
      </c>
      <c r="N844" s="665" t="s">
        <v>1206</v>
      </c>
    </row>
    <row r="845" spans="1:14">
      <c r="A845" s="123">
        <v>29</v>
      </c>
      <c r="B845" s="679"/>
      <c r="C845" s="111" t="s">
        <v>3093</v>
      </c>
      <c r="D845" s="666"/>
      <c r="E845" s="666"/>
      <c r="F845" s="668"/>
      <c r="G845" s="668"/>
      <c r="H845" s="668"/>
      <c r="I845" s="149" t="s">
        <v>3095</v>
      </c>
      <c r="J845" s="668"/>
      <c r="K845" s="668"/>
      <c r="L845" s="666"/>
      <c r="M845" s="695"/>
      <c r="N845" s="666"/>
    </row>
    <row r="846" spans="1:14">
      <c r="A846" s="123">
        <v>29</v>
      </c>
      <c r="B846" s="679"/>
      <c r="C846" s="111" t="s">
        <v>3083</v>
      </c>
      <c r="D846" s="665" t="s">
        <v>311</v>
      </c>
      <c r="E846" s="665" t="s">
        <v>320</v>
      </c>
      <c r="F846" s="667" t="s">
        <v>2605</v>
      </c>
      <c r="G846" s="667" t="s">
        <v>3063</v>
      </c>
      <c r="H846" s="667" t="s">
        <v>3064</v>
      </c>
      <c r="I846" s="667" t="s">
        <v>3075</v>
      </c>
      <c r="J846" s="667" t="s">
        <v>702</v>
      </c>
      <c r="K846" s="667" t="s">
        <v>1054</v>
      </c>
      <c r="L846" s="665" t="s">
        <v>309</v>
      </c>
      <c r="M846" s="688" t="s">
        <v>3098</v>
      </c>
      <c r="N846" s="665" t="s">
        <v>3099</v>
      </c>
    </row>
    <row r="847" spans="1:14">
      <c r="A847" s="123">
        <v>29</v>
      </c>
      <c r="B847" s="679"/>
      <c r="C847" s="111"/>
      <c r="D847" s="686"/>
      <c r="E847" s="686"/>
      <c r="F847" s="687"/>
      <c r="G847" s="687"/>
      <c r="H847" s="687"/>
      <c r="I847" s="687"/>
      <c r="J847" s="687"/>
      <c r="K847" s="687"/>
      <c r="L847" s="686"/>
      <c r="M847" s="689"/>
      <c r="N847" s="686"/>
    </row>
    <row r="848" spans="1:14">
      <c r="A848" s="123">
        <v>29</v>
      </c>
      <c r="B848" s="679"/>
      <c r="C848" s="111" t="s">
        <v>3097</v>
      </c>
      <c r="D848" s="666"/>
      <c r="E848" s="666"/>
      <c r="F848" s="668"/>
      <c r="G848" s="668"/>
      <c r="H848" s="668"/>
      <c r="I848" s="668"/>
      <c r="J848" s="668"/>
      <c r="K848" s="668"/>
      <c r="L848" s="666"/>
      <c r="M848" s="690"/>
      <c r="N848" s="666"/>
    </row>
    <row r="849" spans="1:14">
      <c r="A849" s="123">
        <v>29</v>
      </c>
      <c r="B849" s="679"/>
      <c r="C849" s="111" t="s">
        <v>3100</v>
      </c>
      <c r="D849" s="665" t="s">
        <v>311</v>
      </c>
      <c r="E849" s="665" t="s">
        <v>320</v>
      </c>
      <c r="F849" s="667" t="s">
        <v>337</v>
      </c>
      <c r="G849" s="667" t="s">
        <v>3076</v>
      </c>
      <c r="H849" s="667" t="s">
        <v>354</v>
      </c>
      <c r="I849" s="667" t="s">
        <v>310</v>
      </c>
      <c r="J849" s="667" t="s">
        <v>638</v>
      </c>
      <c r="K849" s="667" t="s">
        <v>3077</v>
      </c>
      <c r="L849" s="665" t="s">
        <v>309</v>
      </c>
      <c r="M849" s="688" t="s">
        <v>1820</v>
      </c>
      <c r="N849" s="665" t="s">
        <v>3099</v>
      </c>
    </row>
    <row r="850" spans="1:14">
      <c r="A850" s="123">
        <v>29</v>
      </c>
      <c r="B850" s="680"/>
      <c r="C850" s="111" t="s">
        <v>3093</v>
      </c>
      <c r="D850" s="666"/>
      <c r="E850" s="666"/>
      <c r="F850" s="668"/>
      <c r="G850" s="668"/>
      <c r="H850" s="668"/>
      <c r="I850" s="668"/>
      <c r="J850" s="668"/>
      <c r="K850" s="668"/>
      <c r="L850" s="666"/>
      <c r="M850" s="690"/>
      <c r="N850" s="666"/>
    </row>
    <row r="851" spans="1:14">
      <c r="A851" s="123">
        <v>30</v>
      </c>
      <c r="B851" s="681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682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682"/>
      <c r="C853" s="148" t="s">
        <v>3110</v>
      </c>
      <c r="D853" s="665" t="s">
        <v>306</v>
      </c>
      <c r="E853" s="665" t="s">
        <v>322</v>
      </c>
      <c r="F853" s="665" t="s">
        <v>307</v>
      </c>
      <c r="G853" s="667" t="s">
        <v>3055</v>
      </c>
      <c r="H853" s="665" t="s">
        <v>1997</v>
      </c>
      <c r="I853" s="667" t="s">
        <v>3112</v>
      </c>
      <c r="J853" s="665" t="s">
        <v>664</v>
      </c>
      <c r="K853" s="148" t="s">
        <v>3113</v>
      </c>
      <c r="L853" s="665"/>
      <c r="M853" s="675" t="s">
        <v>3114</v>
      </c>
      <c r="N853" s="665" t="s">
        <v>665</v>
      </c>
    </row>
    <row r="854" spans="1:14">
      <c r="A854" s="123">
        <v>30</v>
      </c>
      <c r="B854" s="682"/>
      <c r="C854" s="148" t="s">
        <v>3111</v>
      </c>
      <c r="D854" s="666"/>
      <c r="E854" s="666"/>
      <c r="F854" s="666"/>
      <c r="G854" s="668"/>
      <c r="H854" s="666"/>
      <c r="I854" s="668"/>
      <c r="J854" s="666"/>
      <c r="K854" s="148" t="s">
        <v>655</v>
      </c>
      <c r="L854" s="666"/>
      <c r="M854" s="676"/>
      <c r="N854" s="666"/>
    </row>
    <row r="855" spans="1:14">
      <c r="A855" s="123">
        <v>30</v>
      </c>
      <c r="B855" s="683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78" t="s">
        <v>3120</v>
      </c>
      <c r="C856" s="684" t="s">
        <v>3121</v>
      </c>
      <c r="D856" s="665" t="s">
        <v>311</v>
      </c>
      <c r="E856" s="665" t="s">
        <v>320</v>
      </c>
      <c r="F856" s="667" t="s">
        <v>2605</v>
      </c>
      <c r="G856" s="667" t="s">
        <v>2753</v>
      </c>
      <c r="H856" s="667" t="s">
        <v>347</v>
      </c>
      <c r="I856" s="667" t="s">
        <v>3122</v>
      </c>
      <c r="J856" s="667" t="s">
        <v>638</v>
      </c>
      <c r="K856" s="667" t="s">
        <v>698</v>
      </c>
      <c r="L856" s="665" t="s">
        <v>309</v>
      </c>
      <c r="M856" s="675" t="s">
        <v>1814</v>
      </c>
      <c r="N856" s="148" t="s">
        <v>3123</v>
      </c>
    </row>
    <row r="857" spans="1:14">
      <c r="A857" s="123">
        <v>30</v>
      </c>
      <c r="B857" s="679"/>
      <c r="C857" s="685"/>
      <c r="D857" s="666"/>
      <c r="E857" s="666"/>
      <c r="F857" s="668"/>
      <c r="G857" s="668"/>
      <c r="H857" s="668"/>
      <c r="I857" s="668"/>
      <c r="J857" s="668"/>
      <c r="K857" s="668"/>
      <c r="L857" s="666"/>
      <c r="M857" s="676"/>
      <c r="N857" s="148" t="s">
        <v>3124</v>
      </c>
    </row>
    <row r="858" spans="1:14" ht="16.5" customHeight="1">
      <c r="A858" s="123">
        <v>30</v>
      </c>
      <c r="B858" s="679"/>
      <c r="C858" s="684" t="s">
        <v>3121</v>
      </c>
      <c r="D858" s="665" t="s">
        <v>311</v>
      </c>
      <c r="E858" s="665" t="s">
        <v>320</v>
      </c>
      <c r="F858" s="667" t="s">
        <v>709</v>
      </c>
      <c r="G858" s="149" t="s">
        <v>3125</v>
      </c>
      <c r="H858" s="667" t="s">
        <v>640</v>
      </c>
      <c r="I858" s="667" t="s">
        <v>3126</v>
      </c>
      <c r="J858" s="667"/>
      <c r="K858" s="667" t="s">
        <v>692</v>
      </c>
      <c r="L858" s="665" t="s">
        <v>309</v>
      </c>
      <c r="M858" s="675" t="s">
        <v>1535</v>
      </c>
      <c r="N858" s="665" t="s">
        <v>1776</v>
      </c>
    </row>
    <row r="859" spans="1:14">
      <c r="A859" s="123">
        <v>30</v>
      </c>
      <c r="B859" s="679"/>
      <c r="C859" s="685"/>
      <c r="D859" s="666"/>
      <c r="E859" s="666"/>
      <c r="F859" s="668"/>
      <c r="G859" s="149">
        <v>2651</v>
      </c>
      <c r="H859" s="668"/>
      <c r="I859" s="668"/>
      <c r="J859" s="668"/>
      <c r="K859" s="668"/>
      <c r="L859" s="666"/>
      <c r="M859" s="676"/>
      <c r="N859" s="666"/>
    </row>
    <row r="860" spans="1:14">
      <c r="A860" s="123">
        <v>30</v>
      </c>
      <c r="B860" s="679"/>
      <c r="C860" s="684" t="s">
        <v>3127</v>
      </c>
      <c r="D860" s="665" t="s">
        <v>311</v>
      </c>
      <c r="E860" s="665" t="s">
        <v>320</v>
      </c>
      <c r="F860" s="667" t="s">
        <v>720</v>
      </c>
      <c r="G860" s="667" t="s">
        <v>1760</v>
      </c>
      <c r="H860" s="667" t="s">
        <v>347</v>
      </c>
      <c r="I860" s="149" t="s">
        <v>3128</v>
      </c>
      <c r="J860" s="667"/>
      <c r="K860" s="667" t="s">
        <v>3130</v>
      </c>
      <c r="L860" s="665" t="s">
        <v>309</v>
      </c>
      <c r="M860" s="675" t="s">
        <v>1937</v>
      </c>
      <c r="N860" s="665" t="s">
        <v>1206</v>
      </c>
    </row>
    <row r="861" spans="1:14">
      <c r="A861" s="123">
        <v>30</v>
      </c>
      <c r="B861" s="679"/>
      <c r="C861" s="685"/>
      <c r="D861" s="666"/>
      <c r="E861" s="666"/>
      <c r="F861" s="668"/>
      <c r="G861" s="668"/>
      <c r="H861" s="668"/>
      <c r="I861" s="149" t="s">
        <v>3129</v>
      </c>
      <c r="J861" s="668"/>
      <c r="K861" s="668"/>
      <c r="L861" s="666"/>
      <c r="M861" s="676"/>
      <c r="N861" s="666"/>
    </row>
    <row r="862" spans="1:14">
      <c r="A862" s="123">
        <v>30</v>
      </c>
      <c r="B862" s="679"/>
      <c r="C862" s="111" t="s">
        <v>3131</v>
      </c>
      <c r="D862" s="665" t="s">
        <v>311</v>
      </c>
      <c r="E862" s="665" t="s">
        <v>320</v>
      </c>
      <c r="F862" s="667" t="s">
        <v>690</v>
      </c>
      <c r="G862" s="667" t="s">
        <v>3070</v>
      </c>
      <c r="H862" s="667" t="s">
        <v>354</v>
      </c>
      <c r="I862" s="667" t="s">
        <v>3133</v>
      </c>
      <c r="J862" s="667" t="s">
        <v>638</v>
      </c>
      <c r="K862" s="667" t="s">
        <v>655</v>
      </c>
      <c r="L862" s="665" t="s">
        <v>309</v>
      </c>
      <c r="M862" s="675" t="s">
        <v>1535</v>
      </c>
      <c r="N862" s="665" t="s">
        <v>1206</v>
      </c>
    </row>
    <row r="863" spans="1:14">
      <c r="A863" s="123">
        <v>30</v>
      </c>
      <c r="B863" s="679"/>
      <c r="C863" s="111" t="s">
        <v>3132</v>
      </c>
      <c r="D863" s="666"/>
      <c r="E863" s="666"/>
      <c r="F863" s="668"/>
      <c r="G863" s="668"/>
      <c r="H863" s="668"/>
      <c r="I863" s="668"/>
      <c r="J863" s="668"/>
      <c r="K863" s="668"/>
      <c r="L863" s="666"/>
      <c r="M863" s="676"/>
      <c r="N863" s="666"/>
    </row>
    <row r="864" spans="1:14">
      <c r="A864" s="123">
        <v>30</v>
      </c>
      <c r="B864" s="679"/>
      <c r="C864" s="111" t="s">
        <v>3134</v>
      </c>
      <c r="D864" s="665" t="s">
        <v>311</v>
      </c>
      <c r="E864" s="665" t="s">
        <v>320</v>
      </c>
      <c r="F864" s="667" t="s">
        <v>337</v>
      </c>
      <c r="G864" s="667" t="s">
        <v>3076</v>
      </c>
      <c r="H864" s="667" t="s">
        <v>354</v>
      </c>
      <c r="I864" s="667" t="s">
        <v>3135</v>
      </c>
      <c r="J864" s="667" t="s">
        <v>638</v>
      </c>
      <c r="K864" s="667" t="s">
        <v>713</v>
      </c>
      <c r="L864" s="665" t="s">
        <v>309</v>
      </c>
      <c r="M864" s="675" t="s">
        <v>1814</v>
      </c>
      <c r="N864" s="665" t="s">
        <v>1206</v>
      </c>
    </row>
    <row r="865" spans="1:14">
      <c r="A865" s="123">
        <v>30</v>
      </c>
      <c r="B865" s="679"/>
      <c r="C865" s="111" t="s">
        <v>3111</v>
      </c>
      <c r="D865" s="666"/>
      <c r="E865" s="666"/>
      <c r="F865" s="668"/>
      <c r="G865" s="668"/>
      <c r="H865" s="668"/>
      <c r="I865" s="668"/>
      <c r="J865" s="668"/>
      <c r="K865" s="668"/>
      <c r="L865" s="666"/>
      <c r="M865" s="676"/>
      <c r="N865" s="666"/>
    </row>
    <row r="866" spans="1:14" ht="25.5">
      <c r="A866" s="123">
        <v>30</v>
      </c>
      <c r="B866" s="679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79"/>
      <c r="C867" s="684" t="s">
        <v>3115</v>
      </c>
      <c r="D867" s="665" t="s">
        <v>311</v>
      </c>
      <c r="E867" s="665" t="s">
        <v>675</v>
      </c>
      <c r="F867" s="667" t="s">
        <v>660</v>
      </c>
      <c r="G867" s="667" t="s">
        <v>661</v>
      </c>
      <c r="H867" s="667" t="s">
        <v>662</v>
      </c>
      <c r="I867" s="149" t="s">
        <v>3138</v>
      </c>
      <c r="J867" s="667" t="s">
        <v>638</v>
      </c>
      <c r="K867" s="667" t="s">
        <v>731</v>
      </c>
      <c r="L867" s="665" t="s">
        <v>309</v>
      </c>
      <c r="M867" s="675" t="s">
        <v>1832</v>
      </c>
      <c r="N867" s="665" t="s">
        <v>3140</v>
      </c>
    </row>
    <row r="868" spans="1:14">
      <c r="A868" s="123">
        <v>30</v>
      </c>
      <c r="B868" s="680"/>
      <c r="C868" s="685"/>
      <c r="D868" s="666"/>
      <c r="E868" s="666"/>
      <c r="F868" s="668"/>
      <c r="G868" s="668"/>
      <c r="H868" s="668"/>
      <c r="I868" s="149" t="s">
        <v>3139</v>
      </c>
      <c r="J868" s="668"/>
      <c r="K868" s="668"/>
      <c r="L868" s="666"/>
      <c r="M868" s="676"/>
      <c r="N868" s="666"/>
    </row>
    <row r="869" spans="1:14">
      <c r="A869" s="123">
        <v>31</v>
      </c>
      <c r="B869" s="678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79"/>
      <c r="C870" s="148" t="s">
        <v>3144</v>
      </c>
      <c r="D870" s="665" t="s">
        <v>306</v>
      </c>
      <c r="E870" s="665" t="s">
        <v>322</v>
      </c>
      <c r="F870" s="665" t="s">
        <v>307</v>
      </c>
      <c r="G870" s="667">
        <v>1566</v>
      </c>
      <c r="H870" s="665" t="s">
        <v>1915</v>
      </c>
      <c r="I870" s="667" t="s">
        <v>3146</v>
      </c>
      <c r="J870" s="665" t="s">
        <v>664</v>
      </c>
      <c r="K870" s="665" t="s">
        <v>3147</v>
      </c>
      <c r="L870" s="665"/>
      <c r="M870" s="675" t="s">
        <v>3148</v>
      </c>
      <c r="N870" s="665" t="s">
        <v>665</v>
      </c>
    </row>
    <row r="871" spans="1:14">
      <c r="A871" s="123">
        <v>31</v>
      </c>
      <c r="B871" s="679"/>
      <c r="C871" s="148" t="s">
        <v>3145</v>
      </c>
      <c r="D871" s="666"/>
      <c r="E871" s="666"/>
      <c r="F871" s="666"/>
      <c r="G871" s="668"/>
      <c r="H871" s="666"/>
      <c r="I871" s="668"/>
      <c r="J871" s="666"/>
      <c r="K871" s="666"/>
      <c r="L871" s="666"/>
      <c r="M871" s="676"/>
      <c r="N871" s="666"/>
    </row>
    <row r="872" spans="1:14">
      <c r="A872" s="123">
        <v>31</v>
      </c>
      <c r="B872" s="679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79"/>
      <c r="C873" s="401" t="s">
        <v>3144</v>
      </c>
      <c r="D873" s="665" t="s">
        <v>306</v>
      </c>
      <c r="E873" s="665" t="s">
        <v>322</v>
      </c>
      <c r="F873" s="665" t="s">
        <v>307</v>
      </c>
      <c r="G873" s="667" t="s">
        <v>3151</v>
      </c>
      <c r="H873" s="665" t="s">
        <v>3152</v>
      </c>
      <c r="I873" s="667" t="s">
        <v>332</v>
      </c>
      <c r="J873" s="665" t="s">
        <v>1534</v>
      </c>
      <c r="K873" s="665" t="s">
        <v>1157</v>
      </c>
      <c r="L873" s="665"/>
      <c r="M873" s="675" t="s">
        <v>3153</v>
      </c>
      <c r="N873" s="665" t="s">
        <v>425</v>
      </c>
    </row>
    <row r="874" spans="1:14">
      <c r="A874" s="123">
        <v>31</v>
      </c>
      <c r="B874" s="680"/>
      <c r="C874" s="401" t="s">
        <v>3150</v>
      </c>
      <c r="D874" s="666"/>
      <c r="E874" s="666"/>
      <c r="F874" s="666"/>
      <c r="G874" s="668"/>
      <c r="H874" s="666"/>
      <c r="I874" s="668"/>
      <c r="J874" s="666"/>
      <c r="K874" s="666"/>
      <c r="L874" s="666"/>
      <c r="M874" s="676"/>
      <c r="N874" s="666"/>
    </row>
    <row r="875" spans="1:14">
      <c r="A875" s="123">
        <v>31</v>
      </c>
      <c r="B875" s="678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79"/>
      <c r="C876" s="665" t="s">
        <v>3132</v>
      </c>
      <c r="D876" s="665" t="s">
        <v>311</v>
      </c>
      <c r="E876" s="665" t="s">
        <v>675</v>
      </c>
      <c r="F876" s="667" t="s">
        <v>660</v>
      </c>
      <c r="G876" s="667" t="s">
        <v>661</v>
      </c>
      <c r="H876" s="667" t="s">
        <v>662</v>
      </c>
      <c r="I876" s="149" t="s">
        <v>3138</v>
      </c>
      <c r="J876" s="667"/>
      <c r="K876" s="667" t="s">
        <v>698</v>
      </c>
      <c r="L876" s="665" t="s">
        <v>309</v>
      </c>
      <c r="M876" s="675" t="s">
        <v>3143</v>
      </c>
      <c r="N876" s="665" t="s">
        <v>3156</v>
      </c>
    </row>
    <row r="877" spans="1:14">
      <c r="A877" s="123">
        <v>31</v>
      </c>
      <c r="B877" s="679"/>
      <c r="C877" s="666"/>
      <c r="D877" s="666"/>
      <c r="E877" s="666"/>
      <c r="F877" s="668"/>
      <c r="G877" s="668"/>
      <c r="H877" s="668"/>
      <c r="I877" s="149" t="s">
        <v>3139</v>
      </c>
      <c r="J877" s="668"/>
      <c r="K877" s="668"/>
      <c r="L877" s="666"/>
      <c r="M877" s="676"/>
      <c r="N877" s="666"/>
    </row>
    <row r="878" spans="1:14" ht="16.5" customHeight="1">
      <c r="A878" s="123">
        <v>31</v>
      </c>
      <c r="B878" s="679"/>
      <c r="C878" s="148" t="s">
        <v>3157</v>
      </c>
      <c r="D878" s="665" t="s">
        <v>311</v>
      </c>
      <c r="E878" s="665" t="s">
        <v>320</v>
      </c>
      <c r="F878" s="667" t="s">
        <v>3072</v>
      </c>
      <c r="G878" s="667" t="s">
        <v>1923</v>
      </c>
      <c r="H878" s="667" t="s">
        <v>3073</v>
      </c>
      <c r="I878" s="667" t="s">
        <v>3158</v>
      </c>
      <c r="J878" s="667"/>
      <c r="K878" s="667" t="s">
        <v>3159</v>
      </c>
      <c r="L878" s="665" t="s">
        <v>309</v>
      </c>
      <c r="M878" s="675" t="s">
        <v>3160</v>
      </c>
      <c r="N878" s="665" t="s">
        <v>3155</v>
      </c>
    </row>
    <row r="879" spans="1:14">
      <c r="A879" s="123">
        <v>31</v>
      </c>
      <c r="B879" s="679"/>
      <c r="C879" s="148" t="s">
        <v>3115</v>
      </c>
      <c r="D879" s="666"/>
      <c r="E879" s="666"/>
      <c r="F879" s="668"/>
      <c r="G879" s="668"/>
      <c r="H879" s="668"/>
      <c r="I879" s="668"/>
      <c r="J879" s="668"/>
      <c r="K879" s="668"/>
      <c r="L879" s="666"/>
      <c r="M879" s="676"/>
      <c r="N879" s="666"/>
    </row>
    <row r="880" spans="1:14">
      <c r="A880" s="123">
        <v>31</v>
      </c>
      <c r="B880" s="679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79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79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79"/>
      <c r="C883" s="111" t="s">
        <v>3170</v>
      </c>
      <c r="D883" s="665" t="s">
        <v>311</v>
      </c>
      <c r="E883" s="665" t="s">
        <v>320</v>
      </c>
      <c r="F883" s="667" t="s">
        <v>337</v>
      </c>
      <c r="G883" s="667" t="s">
        <v>3172</v>
      </c>
      <c r="H883" s="667" t="s">
        <v>3173</v>
      </c>
      <c r="I883" s="667" t="s">
        <v>3174</v>
      </c>
      <c r="J883" s="667" t="s">
        <v>3175</v>
      </c>
      <c r="K883" s="667" t="s">
        <v>3176</v>
      </c>
      <c r="L883" s="665" t="s">
        <v>309</v>
      </c>
      <c r="M883" s="675" t="s">
        <v>3177</v>
      </c>
      <c r="N883" s="665" t="s">
        <v>3140</v>
      </c>
    </row>
    <row r="884" spans="1:14">
      <c r="A884" s="123">
        <v>31</v>
      </c>
      <c r="B884" s="680"/>
      <c r="C884" s="111" t="s">
        <v>3171</v>
      </c>
      <c r="D884" s="666"/>
      <c r="E884" s="666"/>
      <c r="F884" s="668"/>
      <c r="G884" s="668"/>
      <c r="H884" s="668"/>
      <c r="I884" s="668"/>
      <c r="J884" s="668"/>
      <c r="K884" s="668"/>
      <c r="L884" s="666"/>
      <c r="M884" s="676"/>
      <c r="N884" s="666"/>
    </row>
    <row r="885" spans="1:14" ht="27">
      <c r="A885" s="123">
        <v>32</v>
      </c>
      <c r="B885" s="672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673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673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674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672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673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673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674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672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673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674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672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673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674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70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70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71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69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70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70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70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70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70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70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69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70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70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70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70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71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69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70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70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70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70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70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70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70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71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7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77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77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77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77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77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77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77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77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77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77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7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7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77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77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77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77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77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77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77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77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77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77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77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77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77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77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77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77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77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77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77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77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77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77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77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77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77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77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77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77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77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77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77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77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77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77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77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77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7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77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77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77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77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77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77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77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77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77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77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77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77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7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77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77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77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77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77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77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7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77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77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77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77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77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77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77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77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77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7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7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77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77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77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77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77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77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77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77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77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77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77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77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77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77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7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77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77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77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77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77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77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77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77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77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77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77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77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77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77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77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77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77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77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77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77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77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77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77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77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77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77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77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77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77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77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77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77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77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77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77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77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77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77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77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77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77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77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77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77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77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77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77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77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77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77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77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77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77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77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77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77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77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77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77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77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77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77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77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77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77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77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77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77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77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77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77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77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77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77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77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77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77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77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77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77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77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77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77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77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77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77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77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77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77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77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77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77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77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77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77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77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77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77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77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77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77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77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77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77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77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77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77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77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77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77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77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77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77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77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77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77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77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77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77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77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77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77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77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77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77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77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77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77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77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77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77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77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77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77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77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77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77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77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77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77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77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77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77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77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77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77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77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77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77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77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77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77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77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77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77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77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77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77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77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77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77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77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77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77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77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77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64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64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64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64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64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64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64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64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64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64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64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64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64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64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64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64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64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64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64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64"/>
      <c r="C1208" s="811" t="s">
        <v>5017</v>
      </c>
      <c r="D1208" s="809" t="s">
        <v>311</v>
      </c>
      <c r="E1208" s="809" t="s">
        <v>675</v>
      </c>
      <c r="F1208" s="811" t="s">
        <v>337</v>
      </c>
      <c r="G1208" s="811" t="s">
        <v>353</v>
      </c>
      <c r="H1208" s="811" t="s">
        <v>5018</v>
      </c>
      <c r="I1208" s="529" t="s">
        <v>5019</v>
      </c>
      <c r="J1208" s="811" t="s">
        <v>638</v>
      </c>
      <c r="K1208" s="811" t="s">
        <v>713</v>
      </c>
      <c r="L1208" s="809" t="s">
        <v>309</v>
      </c>
      <c r="M1208" s="810">
        <v>250000</v>
      </c>
      <c r="N1208" s="809" t="s">
        <v>5000</v>
      </c>
    </row>
    <row r="1209" spans="1:14">
      <c r="A1209" s="527">
        <v>2</v>
      </c>
      <c r="B1209" s="664"/>
      <c r="C1209" s="811"/>
      <c r="D1209" s="809"/>
      <c r="E1209" s="809"/>
      <c r="F1209" s="811"/>
      <c r="G1209" s="811"/>
      <c r="H1209" s="811"/>
      <c r="I1209" s="529" t="s">
        <v>5020</v>
      </c>
      <c r="J1209" s="811"/>
      <c r="K1209" s="811"/>
      <c r="L1209" s="809"/>
      <c r="M1209" s="810"/>
      <c r="N1209" s="809"/>
    </row>
    <row r="1210" spans="1:14">
      <c r="A1210" s="527">
        <v>2</v>
      </c>
      <c r="B1210" s="664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64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64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64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64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64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64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64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64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64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64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64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64"/>
      <c r="C1222" s="811" t="s">
        <v>5043</v>
      </c>
      <c r="D1222" s="809" t="s">
        <v>311</v>
      </c>
      <c r="E1222" s="809" t="s">
        <v>675</v>
      </c>
      <c r="F1222" s="520" t="s">
        <v>5044</v>
      </c>
      <c r="G1222" s="520" t="s">
        <v>5046</v>
      </c>
      <c r="H1222" s="811" t="s">
        <v>347</v>
      </c>
      <c r="I1222" s="520" t="s">
        <v>5048</v>
      </c>
      <c r="J1222" s="811"/>
      <c r="K1222" s="811" t="s">
        <v>705</v>
      </c>
      <c r="L1222" s="809" t="s">
        <v>309</v>
      </c>
      <c r="M1222" s="810">
        <v>500000</v>
      </c>
      <c r="N1222" s="809" t="s">
        <v>5042</v>
      </c>
    </row>
    <row r="1223" spans="1:14">
      <c r="A1223" s="527">
        <v>3</v>
      </c>
      <c r="B1223" s="664"/>
      <c r="C1223" s="811"/>
      <c r="D1223" s="809"/>
      <c r="E1223" s="809"/>
      <c r="F1223" s="520" t="s">
        <v>5045</v>
      </c>
      <c r="G1223" s="520" t="s">
        <v>5047</v>
      </c>
      <c r="H1223" s="811"/>
      <c r="I1223" s="520" t="s">
        <v>5049</v>
      </c>
      <c r="J1223" s="811"/>
      <c r="K1223" s="811"/>
      <c r="L1223" s="809"/>
      <c r="M1223" s="810"/>
      <c r="N1223" s="809"/>
    </row>
    <row r="1224" spans="1:14">
      <c r="A1224" s="527">
        <v>3</v>
      </c>
      <c r="B1224" s="664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64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64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64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64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64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64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64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64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64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64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64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64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64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64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64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64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64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64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64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64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64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64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64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64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64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64"/>
      <c r="C1250" s="811" t="s">
        <v>5108</v>
      </c>
      <c r="D1250" s="809" t="s">
        <v>311</v>
      </c>
      <c r="E1250" s="809" t="s">
        <v>675</v>
      </c>
      <c r="F1250" s="809" t="s">
        <v>4996</v>
      </c>
      <c r="G1250" s="809">
        <v>1017</v>
      </c>
      <c r="H1250" s="809" t="s">
        <v>347</v>
      </c>
      <c r="I1250" s="520" t="s">
        <v>5109</v>
      </c>
      <c r="J1250" s="811"/>
      <c r="K1250" s="811" t="s">
        <v>692</v>
      </c>
      <c r="L1250" s="809" t="s">
        <v>309</v>
      </c>
      <c r="M1250" s="810">
        <v>500000</v>
      </c>
      <c r="N1250" s="809" t="s">
        <v>5042</v>
      </c>
    </row>
    <row r="1251" spans="1:14">
      <c r="A1251" s="527">
        <v>5</v>
      </c>
      <c r="B1251" s="664"/>
      <c r="C1251" s="811"/>
      <c r="D1251" s="809"/>
      <c r="E1251" s="809"/>
      <c r="F1251" s="809"/>
      <c r="G1251" s="809"/>
      <c r="H1251" s="809"/>
      <c r="I1251" s="520" t="s">
        <v>5110</v>
      </c>
      <c r="J1251" s="811"/>
      <c r="K1251" s="811"/>
      <c r="L1251" s="809"/>
      <c r="M1251" s="810"/>
      <c r="N1251" s="809"/>
    </row>
    <row r="1252" spans="1:14">
      <c r="A1252" s="527">
        <v>5</v>
      </c>
      <c r="B1252" s="664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64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64"/>
      <c r="C1254" s="811" t="s">
        <v>5113</v>
      </c>
      <c r="D1254" s="809" t="s">
        <v>311</v>
      </c>
      <c r="E1254" s="809" t="s">
        <v>675</v>
      </c>
      <c r="F1254" s="811" t="s">
        <v>5080</v>
      </c>
      <c r="G1254" s="811">
        <v>3006</v>
      </c>
      <c r="H1254" s="811" t="s">
        <v>347</v>
      </c>
      <c r="I1254" s="529" t="s">
        <v>5114</v>
      </c>
      <c r="J1254" s="811"/>
      <c r="K1254" s="811" t="s">
        <v>705</v>
      </c>
      <c r="L1254" s="809" t="s">
        <v>309</v>
      </c>
      <c r="M1254" s="810">
        <v>500000</v>
      </c>
      <c r="N1254" s="809" t="s">
        <v>5042</v>
      </c>
    </row>
    <row r="1255" spans="1:14">
      <c r="A1255" s="527">
        <v>5</v>
      </c>
      <c r="B1255" s="664"/>
      <c r="C1255" s="811"/>
      <c r="D1255" s="809"/>
      <c r="E1255" s="809"/>
      <c r="F1255" s="811"/>
      <c r="G1255" s="811"/>
      <c r="H1255" s="811"/>
      <c r="I1255" s="529" t="s">
        <v>5115</v>
      </c>
      <c r="J1255" s="811"/>
      <c r="K1255" s="811"/>
      <c r="L1255" s="809"/>
      <c r="M1255" s="810"/>
      <c r="N1255" s="809"/>
    </row>
    <row r="1256" spans="1:14">
      <c r="A1256" s="527">
        <v>5</v>
      </c>
      <c r="B1256" s="664"/>
      <c r="C1256" s="811" t="s">
        <v>5113</v>
      </c>
      <c r="D1256" s="809" t="s">
        <v>311</v>
      </c>
      <c r="E1256" s="809" t="s">
        <v>675</v>
      </c>
      <c r="F1256" s="811" t="s">
        <v>5080</v>
      </c>
      <c r="G1256" s="811">
        <v>3006</v>
      </c>
      <c r="H1256" s="811" t="s">
        <v>347</v>
      </c>
      <c r="I1256" s="529" t="s">
        <v>5114</v>
      </c>
      <c r="J1256" s="811"/>
      <c r="K1256" s="811" t="s">
        <v>4946</v>
      </c>
      <c r="L1256" s="809" t="s">
        <v>309</v>
      </c>
      <c r="M1256" s="810">
        <v>600000</v>
      </c>
      <c r="N1256" s="809" t="s">
        <v>5042</v>
      </c>
    </row>
    <row r="1257" spans="1:14">
      <c r="A1257" s="527">
        <v>5</v>
      </c>
      <c r="B1257" s="664"/>
      <c r="C1257" s="811"/>
      <c r="D1257" s="809"/>
      <c r="E1257" s="809"/>
      <c r="F1257" s="811"/>
      <c r="G1257" s="811"/>
      <c r="H1257" s="811"/>
      <c r="I1257" s="529" t="s">
        <v>5115</v>
      </c>
      <c r="J1257" s="811"/>
      <c r="K1257" s="811"/>
      <c r="L1257" s="809"/>
      <c r="M1257" s="810"/>
      <c r="N1257" s="809"/>
    </row>
    <row r="1258" spans="1:14">
      <c r="A1258" s="527">
        <v>5</v>
      </c>
      <c r="B1258" s="664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64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64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64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64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64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64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64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64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64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64"/>
      <c r="C1268" s="811" t="s">
        <v>5132</v>
      </c>
      <c r="D1268" s="809" t="s">
        <v>311</v>
      </c>
      <c r="E1268" s="809" t="s">
        <v>675</v>
      </c>
      <c r="F1268" s="520" t="s">
        <v>5133</v>
      </c>
      <c r="G1268" s="528" t="s">
        <v>5135</v>
      </c>
      <c r="H1268" s="402" t="s">
        <v>347</v>
      </c>
      <c r="I1268" s="811" t="s">
        <v>5138</v>
      </c>
      <c r="J1268" s="811" t="s">
        <v>638</v>
      </c>
      <c r="K1268" s="811" t="s">
        <v>692</v>
      </c>
      <c r="L1268" s="809" t="s">
        <v>309</v>
      </c>
      <c r="M1268" s="810">
        <v>500000</v>
      </c>
      <c r="N1268" s="809" t="s">
        <v>1776</v>
      </c>
    </row>
    <row r="1269" spans="1:14">
      <c r="A1269" s="527">
        <v>6</v>
      </c>
      <c r="B1269" s="664"/>
      <c r="C1269" s="811"/>
      <c r="D1269" s="809"/>
      <c r="E1269" s="809"/>
      <c r="F1269" s="520" t="s">
        <v>5134</v>
      </c>
      <c r="G1269" s="528" t="s">
        <v>5136</v>
      </c>
      <c r="H1269" s="402" t="s">
        <v>5137</v>
      </c>
      <c r="I1269" s="811"/>
      <c r="J1269" s="811"/>
      <c r="K1269" s="811"/>
      <c r="L1269" s="809"/>
      <c r="M1269" s="810"/>
      <c r="N1269" s="809"/>
    </row>
    <row r="1270" spans="1:14" ht="24">
      <c r="A1270" s="527">
        <v>6</v>
      </c>
      <c r="B1270" s="664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64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64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64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64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64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64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64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64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64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64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64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64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64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64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64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64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64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64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64"/>
      <c r="C1289" s="812" t="s">
        <v>5168</v>
      </c>
      <c r="D1289" s="813" t="s">
        <v>311</v>
      </c>
      <c r="E1289" s="813" t="s">
        <v>675</v>
      </c>
      <c r="F1289" s="577" t="s">
        <v>5133</v>
      </c>
      <c r="G1289" s="578" t="s">
        <v>5135</v>
      </c>
      <c r="H1289" s="578" t="s">
        <v>347</v>
      </c>
      <c r="I1289" s="812" t="s">
        <v>5138</v>
      </c>
      <c r="J1289" s="812"/>
      <c r="K1289" s="812" t="s">
        <v>692</v>
      </c>
      <c r="L1289" s="813" t="s">
        <v>309</v>
      </c>
      <c r="M1289" s="814">
        <v>500000</v>
      </c>
      <c r="N1289" s="809" t="s">
        <v>5042</v>
      </c>
    </row>
    <row r="1290" spans="1:14" ht="19.5">
      <c r="A1290" s="527">
        <v>8</v>
      </c>
      <c r="B1290" s="664"/>
      <c r="C1290" s="811"/>
      <c r="D1290" s="809"/>
      <c r="E1290" s="809"/>
      <c r="F1290" s="520" t="s">
        <v>5134</v>
      </c>
      <c r="G1290" s="528" t="s">
        <v>5136</v>
      </c>
      <c r="H1290" s="530" t="s">
        <v>5137</v>
      </c>
      <c r="I1290" s="811"/>
      <c r="J1290" s="811"/>
      <c r="K1290" s="811"/>
      <c r="L1290" s="809"/>
      <c r="M1290" s="810"/>
      <c r="N1290" s="809"/>
    </row>
    <row r="1291" spans="1:14">
      <c r="A1291" s="527">
        <v>8</v>
      </c>
      <c r="B1291" s="664"/>
      <c r="C1291" s="812" t="s">
        <v>5169</v>
      </c>
      <c r="D1291" s="813" t="s">
        <v>311</v>
      </c>
      <c r="E1291" s="813" t="s">
        <v>320</v>
      </c>
      <c r="F1291" s="815" t="s">
        <v>709</v>
      </c>
      <c r="G1291" s="812" t="s">
        <v>3102</v>
      </c>
      <c r="H1291" s="812" t="s">
        <v>3103</v>
      </c>
      <c r="I1291" s="577" t="s">
        <v>5345</v>
      </c>
      <c r="J1291" s="812" t="s">
        <v>638</v>
      </c>
      <c r="K1291" s="812" t="s">
        <v>713</v>
      </c>
      <c r="L1291" s="813" t="s">
        <v>309</v>
      </c>
      <c r="M1291" s="814">
        <v>250000</v>
      </c>
      <c r="N1291" s="809" t="s">
        <v>5042</v>
      </c>
    </row>
    <row r="1292" spans="1:14">
      <c r="A1292" s="527">
        <v>8</v>
      </c>
      <c r="B1292" s="664"/>
      <c r="C1292" s="811"/>
      <c r="D1292" s="809"/>
      <c r="E1292" s="809"/>
      <c r="F1292" s="816"/>
      <c r="G1292" s="811"/>
      <c r="H1292" s="811"/>
      <c r="I1292" s="520" t="s">
        <v>5170</v>
      </c>
      <c r="J1292" s="811"/>
      <c r="K1292" s="811"/>
      <c r="L1292" s="809"/>
      <c r="M1292" s="810"/>
      <c r="N1292" s="809"/>
    </row>
    <row r="1293" spans="1:14">
      <c r="A1293" s="527">
        <v>8</v>
      </c>
      <c r="B1293" s="664"/>
      <c r="C1293" s="812" t="s">
        <v>5171</v>
      </c>
      <c r="D1293" s="813" t="s">
        <v>311</v>
      </c>
      <c r="E1293" s="813" t="s">
        <v>320</v>
      </c>
      <c r="F1293" s="812" t="s">
        <v>337</v>
      </c>
      <c r="G1293" s="812" t="s">
        <v>3172</v>
      </c>
      <c r="H1293" s="812" t="s">
        <v>3061</v>
      </c>
      <c r="I1293" s="577" t="s">
        <v>5346</v>
      </c>
      <c r="J1293" s="812" t="s">
        <v>638</v>
      </c>
      <c r="K1293" s="812" t="s">
        <v>692</v>
      </c>
      <c r="L1293" s="813" t="s">
        <v>309</v>
      </c>
      <c r="M1293" s="814">
        <v>500000</v>
      </c>
      <c r="N1293" s="809" t="s">
        <v>1206</v>
      </c>
    </row>
    <row r="1294" spans="1:14">
      <c r="A1294" s="527">
        <v>8</v>
      </c>
      <c r="B1294" s="664"/>
      <c r="C1294" s="811"/>
      <c r="D1294" s="809"/>
      <c r="E1294" s="809"/>
      <c r="F1294" s="811"/>
      <c r="G1294" s="811"/>
      <c r="H1294" s="811"/>
      <c r="I1294" s="520" t="s">
        <v>5172</v>
      </c>
      <c r="J1294" s="811"/>
      <c r="K1294" s="811"/>
      <c r="L1294" s="809"/>
      <c r="M1294" s="810"/>
      <c r="N1294" s="809"/>
    </row>
    <row r="1295" spans="1:14">
      <c r="A1295" s="527">
        <v>9</v>
      </c>
      <c r="B1295" s="664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64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64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64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64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64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64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64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5347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64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64"/>
      <c r="C1304" s="812" t="s">
        <v>5185</v>
      </c>
      <c r="D1304" s="813" t="s">
        <v>311</v>
      </c>
      <c r="E1304" s="813" t="s">
        <v>320</v>
      </c>
      <c r="F1304" s="812" t="s">
        <v>337</v>
      </c>
      <c r="G1304" s="812" t="s">
        <v>3172</v>
      </c>
      <c r="H1304" s="812" t="s">
        <v>3061</v>
      </c>
      <c r="I1304" s="581" t="s">
        <v>5186</v>
      </c>
      <c r="J1304" s="812" t="s">
        <v>638</v>
      </c>
      <c r="K1304" s="812" t="s">
        <v>713</v>
      </c>
      <c r="L1304" s="813" t="s">
        <v>309</v>
      </c>
      <c r="M1304" s="814">
        <v>250000</v>
      </c>
      <c r="N1304" s="809" t="s">
        <v>5042</v>
      </c>
    </row>
    <row r="1305" spans="1:14">
      <c r="A1305" s="527">
        <v>9</v>
      </c>
      <c r="B1305" s="664"/>
      <c r="C1305" s="811"/>
      <c r="D1305" s="809"/>
      <c r="E1305" s="809"/>
      <c r="F1305" s="811"/>
      <c r="G1305" s="811"/>
      <c r="H1305" s="811"/>
      <c r="I1305" s="529" t="s">
        <v>5187</v>
      </c>
      <c r="J1305" s="811"/>
      <c r="K1305" s="811"/>
      <c r="L1305" s="809"/>
      <c r="M1305" s="810"/>
      <c r="N1305" s="809"/>
    </row>
    <row r="1306" spans="1:14">
      <c r="A1306" s="527">
        <v>9</v>
      </c>
      <c r="B1306" s="664"/>
      <c r="C1306" s="812" t="s">
        <v>5185</v>
      </c>
      <c r="D1306" s="813" t="s">
        <v>311</v>
      </c>
      <c r="E1306" s="813" t="s">
        <v>320</v>
      </c>
      <c r="F1306" s="812" t="s">
        <v>5188</v>
      </c>
      <c r="G1306" s="577" t="s">
        <v>689</v>
      </c>
      <c r="H1306" s="812" t="s">
        <v>5190</v>
      </c>
      <c r="I1306" s="577" t="s">
        <v>5348</v>
      </c>
      <c r="J1306" s="812"/>
      <c r="K1306" s="812" t="s">
        <v>713</v>
      </c>
      <c r="L1306" s="813" t="s">
        <v>309</v>
      </c>
      <c r="M1306" s="814">
        <v>250000</v>
      </c>
      <c r="N1306" s="809" t="s">
        <v>5042</v>
      </c>
    </row>
    <row r="1307" spans="1:14">
      <c r="A1307" s="527">
        <v>9</v>
      </c>
      <c r="B1307" s="664"/>
      <c r="C1307" s="811"/>
      <c r="D1307" s="809"/>
      <c r="E1307" s="809"/>
      <c r="F1307" s="811"/>
      <c r="G1307" s="520" t="s">
        <v>5189</v>
      </c>
      <c r="H1307" s="811"/>
      <c r="I1307" s="520" t="s">
        <v>5191</v>
      </c>
      <c r="J1307" s="811"/>
      <c r="K1307" s="811"/>
      <c r="L1307" s="809"/>
      <c r="M1307" s="810"/>
      <c r="N1307" s="809"/>
    </row>
    <row r="1308" spans="1:14">
      <c r="A1308" s="527">
        <v>9</v>
      </c>
      <c r="B1308" s="664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64"/>
      <c r="C1309" s="812" t="s">
        <v>5193</v>
      </c>
      <c r="D1309" s="813" t="s">
        <v>311</v>
      </c>
      <c r="E1309" s="813" t="s">
        <v>320</v>
      </c>
      <c r="F1309" s="812" t="s">
        <v>337</v>
      </c>
      <c r="G1309" s="577" t="s">
        <v>3405</v>
      </c>
      <c r="H1309" s="812" t="s">
        <v>5039</v>
      </c>
      <c r="I1309" s="812" t="s">
        <v>5349</v>
      </c>
      <c r="J1309" s="812"/>
      <c r="K1309" s="812" t="s">
        <v>692</v>
      </c>
      <c r="L1309" s="813" t="s">
        <v>309</v>
      </c>
      <c r="M1309" s="814">
        <v>500000</v>
      </c>
      <c r="N1309" s="809" t="s">
        <v>5042</v>
      </c>
    </row>
    <row r="1310" spans="1:14">
      <c r="A1310" s="527">
        <v>9</v>
      </c>
      <c r="B1310" s="664"/>
      <c r="C1310" s="811"/>
      <c r="D1310" s="809"/>
      <c r="E1310" s="809"/>
      <c r="F1310" s="811"/>
      <c r="G1310" s="520" t="s">
        <v>5194</v>
      </c>
      <c r="H1310" s="811"/>
      <c r="I1310" s="811"/>
      <c r="J1310" s="811"/>
      <c r="K1310" s="811"/>
      <c r="L1310" s="809"/>
      <c r="M1310" s="810"/>
      <c r="N1310" s="809"/>
    </row>
    <row r="1311" spans="1:14" ht="24">
      <c r="A1311" s="527">
        <v>9</v>
      </c>
      <c r="B1311" s="664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64"/>
      <c r="C1312" s="812" t="s">
        <v>5197</v>
      </c>
      <c r="D1312" s="813" t="s">
        <v>311</v>
      </c>
      <c r="E1312" s="813" t="s">
        <v>675</v>
      </c>
      <c r="F1312" s="812" t="s">
        <v>5198</v>
      </c>
      <c r="G1312" s="578" t="s">
        <v>1923</v>
      </c>
      <c r="H1312" s="812" t="s">
        <v>347</v>
      </c>
      <c r="I1312" s="812" t="s">
        <v>5352</v>
      </c>
      <c r="J1312" s="812"/>
      <c r="K1312" s="812" t="s">
        <v>692</v>
      </c>
      <c r="L1312" s="813" t="s">
        <v>309</v>
      </c>
      <c r="M1312" s="817">
        <v>500000</v>
      </c>
      <c r="N1312" s="809" t="s">
        <v>1929</v>
      </c>
    </row>
    <row r="1313" spans="1:14">
      <c r="A1313" s="527">
        <v>9</v>
      </c>
      <c r="B1313" s="664"/>
      <c r="C1313" s="811"/>
      <c r="D1313" s="809"/>
      <c r="E1313" s="809"/>
      <c r="F1313" s="811"/>
      <c r="G1313" s="528" t="s">
        <v>5199</v>
      </c>
      <c r="H1313" s="811"/>
      <c r="I1313" s="811"/>
      <c r="J1313" s="811"/>
      <c r="K1313" s="811"/>
      <c r="L1313" s="809"/>
      <c r="M1313" s="818"/>
      <c r="N1313" s="809"/>
    </row>
    <row r="1314" spans="1:14">
      <c r="A1314" s="527">
        <v>10</v>
      </c>
      <c r="B1314" s="664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64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64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64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64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64"/>
      <c r="C1319" s="577" t="s">
        <v>5350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5351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64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64"/>
      <c r="C1321" s="811" t="s">
        <v>5211</v>
      </c>
      <c r="D1321" s="809" t="s">
        <v>311</v>
      </c>
      <c r="E1321" s="809" t="s">
        <v>320</v>
      </c>
      <c r="F1321" s="811" t="s">
        <v>337</v>
      </c>
      <c r="G1321" s="811" t="s">
        <v>3172</v>
      </c>
      <c r="H1321" s="811" t="s">
        <v>3061</v>
      </c>
      <c r="I1321" s="529" t="s">
        <v>5186</v>
      </c>
      <c r="J1321" s="811" t="s">
        <v>638</v>
      </c>
      <c r="K1321" s="811" t="s">
        <v>705</v>
      </c>
      <c r="L1321" s="809" t="s">
        <v>309</v>
      </c>
      <c r="M1321" s="810">
        <v>500000</v>
      </c>
      <c r="N1321" s="809" t="s">
        <v>1206</v>
      </c>
    </row>
    <row r="1322" spans="1:14">
      <c r="A1322" s="527">
        <v>10</v>
      </c>
      <c r="B1322" s="664"/>
      <c r="C1322" s="811"/>
      <c r="D1322" s="809"/>
      <c r="E1322" s="809"/>
      <c r="F1322" s="811"/>
      <c r="G1322" s="811"/>
      <c r="H1322" s="811"/>
      <c r="I1322" s="529" t="s">
        <v>5187</v>
      </c>
      <c r="J1322" s="811"/>
      <c r="K1322" s="811"/>
      <c r="L1322" s="809"/>
      <c r="M1322" s="810"/>
      <c r="N1322" s="809"/>
    </row>
    <row r="1323" spans="1:14">
      <c r="A1323" s="527">
        <v>10</v>
      </c>
      <c r="B1323" s="664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64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5353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64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64"/>
      <c r="C1326" s="811" t="s">
        <v>5212</v>
      </c>
      <c r="D1326" s="809" t="s">
        <v>311</v>
      </c>
      <c r="E1326" s="809" t="s">
        <v>320</v>
      </c>
      <c r="F1326" s="811" t="s">
        <v>337</v>
      </c>
      <c r="G1326" s="811" t="s">
        <v>3172</v>
      </c>
      <c r="H1326" s="811" t="s">
        <v>3061</v>
      </c>
      <c r="I1326" s="529" t="s">
        <v>5186</v>
      </c>
      <c r="J1326" s="811"/>
      <c r="K1326" s="811" t="s">
        <v>705</v>
      </c>
      <c r="L1326" s="809" t="s">
        <v>309</v>
      </c>
      <c r="M1326" s="810">
        <v>500000</v>
      </c>
      <c r="N1326" s="809" t="s">
        <v>1206</v>
      </c>
    </row>
    <row r="1327" spans="1:14">
      <c r="A1327" s="527">
        <v>10</v>
      </c>
      <c r="B1327" s="664"/>
      <c r="C1327" s="811"/>
      <c r="D1327" s="809"/>
      <c r="E1327" s="809"/>
      <c r="F1327" s="811"/>
      <c r="G1327" s="811"/>
      <c r="H1327" s="811"/>
      <c r="I1327" s="529" t="s">
        <v>5187</v>
      </c>
      <c r="J1327" s="811"/>
      <c r="K1327" s="811"/>
      <c r="L1327" s="809"/>
      <c r="M1327" s="810"/>
      <c r="N1327" s="809"/>
    </row>
    <row r="1328" spans="1:14" ht="25.5">
      <c r="A1328" s="527">
        <v>10</v>
      </c>
      <c r="B1328" s="664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64"/>
      <c r="C1329" s="812" t="s">
        <v>5219</v>
      </c>
      <c r="D1329" s="813" t="s">
        <v>311</v>
      </c>
      <c r="E1329" s="813" t="s">
        <v>675</v>
      </c>
      <c r="F1329" s="577" t="s">
        <v>5220</v>
      </c>
      <c r="G1329" s="812" t="s">
        <v>5222</v>
      </c>
      <c r="H1329" s="812" t="s">
        <v>662</v>
      </c>
      <c r="I1329" s="812" t="s">
        <v>5354</v>
      </c>
      <c r="J1329" s="812" t="s">
        <v>638</v>
      </c>
      <c r="K1329" s="812" t="s">
        <v>713</v>
      </c>
      <c r="L1329" s="813" t="s">
        <v>309</v>
      </c>
      <c r="M1329" s="814">
        <v>250000</v>
      </c>
      <c r="N1329" s="809" t="s">
        <v>5042</v>
      </c>
    </row>
    <row r="1330" spans="1:14">
      <c r="A1330" s="527">
        <v>10</v>
      </c>
      <c r="B1330" s="664"/>
      <c r="C1330" s="811"/>
      <c r="D1330" s="809"/>
      <c r="E1330" s="809"/>
      <c r="F1330" s="520" t="s">
        <v>5221</v>
      </c>
      <c r="G1330" s="811"/>
      <c r="H1330" s="811"/>
      <c r="I1330" s="811"/>
      <c r="J1330" s="811"/>
      <c r="K1330" s="811"/>
      <c r="L1330" s="809"/>
      <c r="M1330" s="810"/>
      <c r="N1330" s="809"/>
    </row>
    <row r="1331" spans="1:14">
      <c r="A1331" s="527">
        <v>10</v>
      </c>
      <c r="B1331" s="664"/>
      <c r="C1331" s="812" t="s">
        <v>5223</v>
      </c>
      <c r="D1331" s="813" t="s">
        <v>311</v>
      </c>
      <c r="E1331" s="813" t="s">
        <v>675</v>
      </c>
      <c r="F1331" s="812" t="s">
        <v>5224</v>
      </c>
      <c r="G1331" s="578" t="s">
        <v>5136</v>
      </c>
      <c r="H1331" s="819" t="s">
        <v>347</v>
      </c>
      <c r="I1331" s="577" t="s">
        <v>5355</v>
      </c>
      <c r="J1331" s="812"/>
      <c r="K1331" s="812" t="s">
        <v>692</v>
      </c>
      <c r="L1331" s="813" t="s">
        <v>309</v>
      </c>
      <c r="M1331" s="814">
        <v>500000</v>
      </c>
      <c r="N1331" s="809" t="s">
        <v>5042</v>
      </c>
    </row>
    <row r="1332" spans="1:14">
      <c r="A1332" s="527">
        <v>10</v>
      </c>
      <c r="B1332" s="664"/>
      <c r="C1332" s="811"/>
      <c r="D1332" s="809"/>
      <c r="E1332" s="809"/>
      <c r="F1332" s="811"/>
      <c r="G1332" s="528" t="s">
        <v>5225</v>
      </c>
      <c r="H1332" s="820"/>
      <c r="I1332" s="520" t="s">
        <v>5227</v>
      </c>
      <c r="J1332" s="811"/>
      <c r="K1332" s="811"/>
      <c r="L1332" s="809"/>
      <c r="M1332" s="810"/>
      <c r="N1332" s="809"/>
    </row>
    <row r="1333" spans="1:14">
      <c r="A1333" s="527">
        <v>11</v>
      </c>
      <c r="B1333" s="664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64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64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5360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64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64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64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64" t="s">
        <v>5173</v>
      </c>
      <c r="C1339" s="819" t="s">
        <v>5228</v>
      </c>
      <c r="D1339" s="821" t="s">
        <v>311</v>
      </c>
      <c r="E1339" s="821" t="s">
        <v>675</v>
      </c>
      <c r="F1339" s="819" t="s">
        <v>5224</v>
      </c>
      <c r="G1339" s="581" t="s">
        <v>5136</v>
      </c>
      <c r="H1339" s="819" t="s">
        <v>347</v>
      </c>
      <c r="I1339" s="581" t="s">
        <v>5226</v>
      </c>
      <c r="J1339" s="819"/>
      <c r="K1339" s="819" t="s">
        <v>692</v>
      </c>
      <c r="L1339" s="821" t="s">
        <v>309</v>
      </c>
      <c r="M1339" s="823">
        <v>500000</v>
      </c>
      <c r="N1339" s="820" t="s">
        <v>5235</v>
      </c>
    </row>
    <row r="1340" spans="1:14">
      <c r="A1340" s="527">
        <v>11</v>
      </c>
      <c r="B1340" s="664"/>
      <c r="C1340" s="820"/>
      <c r="D1340" s="822"/>
      <c r="E1340" s="822"/>
      <c r="F1340" s="820"/>
      <c r="G1340" s="529" t="s">
        <v>5225</v>
      </c>
      <c r="H1340" s="820"/>
      <c r="I1340" s="529" t="s">
        <v>5227</v>
      </c>
      <c r="J1340" s="820"/>
      <c r="K1340" s="820"/>
      <c r="L1340" s="822"/>
      <c r="M1340" s="824"/>
      <c r="N1340" s="820"/>
    </row>
    <row r="1341" spans="1:14">
      <c r="A1341" s="527">
        <v>11</v>
      </c>
      <c r="B1341" s="664"/>
      <c r="C1341" s="603" t="s">
        <v>5356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5357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64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64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5358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64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64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5359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64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64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5342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64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64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64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64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64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64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64" t="s">
        <v>5341</v>
      </c>
      <c r="C1354" s="412">
        <v>46106</v>
      </c>
      <c r="D1354" s="558" t="s">
        <v>124</v>
      </c>
      <c r="E1354" s="558" t="s">
        <v>151</v>
      </c>
      <c r="F1354" s="558" t="s">
        <v>5264</v>
      </c>
      <c r="G1354" s="504">
        <v>594</v>
      </c>
      <c r="H1354" s="505" t="s">
        <v>264</v>
      </c>
      <c r="I1354" s="257" t="s">
        <v>5265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64"/>
      <c r="C1355" s="412">
        <v>46107</v>
      </c>
      <c r="D1355" s="558" t="s">
        <v>124</v>
      </c>
      <c r="E1355" s="558" t="s">
        <v>151</v>
      </c>
      <c r="F1355" s="558" t="s">
        <v>5264</v>
      </c>
      <c r="G1355" s="504" t="s">
        <v>3593</v>
      </c>
      <c r="H1355" s="505" t="s">
        <v>34</v>
      </c>
      <c r="I1355" s="257" t="s">
        <v>5300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64"/>
      <c r="C1356" s="412">
        <v>46107</v>
      </c>
      <c r="D1356" s="558" t="s">
        <v>49</v>
      </c>
      <c r="E1356" s="558" t="s">
        <v>151</v>
      </c>
      <c r="F1356" s="558" t="s">
        <v>5264</v>
      </c>
      <c r="G1356" s="504" t="s">
        <v>5301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  <c r="N1356" s="26"/>
    </row>
    <row r="1357" spans="1:14">
      <c r="A1357" s="527">
        <v>13</v>
      </c>
      <c r="B1357" s="664"/>
      <c r="C1357" s="412">
        <v>46108</v>
      </c>
      <c r="D1357" s="558" t="s">
        <v>49</v>
      </c>
      <c r="E1357" s="558" t="s">
        <v>151</v>
      </c>
      <c r="F1357" s="558" t="s">
        <v>5264</v>
      </c>
      <c r="G1357" s="504" t="s">
        <v>3593</v>
      </c>
      <c r="H1357" s="505" t="s">
        <v>34</v>
      </c>
      <c r="I1357" s="257" t="s">
        <v>5300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64"/>
      <c r="C1358" s="574" t="s">
        <v>5324</v>
      </c>
      <c r="D1358" s="570" t="s">
        <v>49</v>
      </c>
      <c r="E1358" s="570" t="s">
        <v>151</v>
      </c>
      <c r="F1358" s="570" t="s">
        <v>5264</v>
      </c>
      <c r="G1358" s="571" t="s">
        <v>4949</v>
      </c>
      <c r="H1358" s="572" t="s">
        <v>482</v>
      </c>
      <c r="I1358" s="573" t="s">
        <v>5325</v>
      </c>
      <c r="J1358" s="570" t="s">
        <v>126</v>
      </c>
      <c r="K1358" s="570" t="s">
        <v>5343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64"/>
      <c r="C1359" s="412" t="s">
        <v>5326</v>
      </c>
      <c r="D1359" s="558" t="s">
        <v>49</v>
      </c>
      <c r="E1359" s="558" t="s">
        <v>151</v>
      </c>
      <c r="F1359" s="558" t="s">
        <v>5264</v>
      </c>
      <c r="G1359" s="504" t="s">
        <v>4949</v>
      </c>
      <c r="H1359" s="505" t="s">
        <v>482</v>
      </c>
      <c r="I1359" s="257" t="s">
        <v>5327</v>
      </c>
      <c r="J1359" s="558" t="s">
        <v>1952</v>
      </c>
      <c r="K1359" s="558" t="s">
        <v>3255</v>
      </c>
      <c r="L1359" s="558"/>
      <c r="M1359" s="506">
        <f>250000*5</f>
        <v>1250000</v>
      </c>
      <c r="N1359" s="26"/>
    </row>
    <row r="1360" spans="1:14" ht="27">
      <c r="A1360" s="527">
        <v>13</v>
      </c>
      <c r="B1360" s="664"/>
      <c r="C1360" s="412" t="s">
        <v>5328</v>
      </c>
      <c r="D1360" s="558" t="s">
        <v>49</v>
      </c>
      <c r="E1360" s="558" t="s">
        <v>151</v>
      </c>
      <c r="F1360" s="558" t="s">
        <v>5264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  <c r="N1360" s="26"/>
    </row>
    <row r="1361" spans="1:14" ht="27">
      <c r="A1361" s="527">
        <v>13</v>
      </c>
      <c r="B1361" s="664"/>
      <c r="C1361" s="412" t="s">
        <v>5329</v>
      </c>
      <c r="D1361" s="558" t="s">
        <v>49</v>
      </c>
      <c r="E1361" s="558" t="s">
        <v>151</v>
      </c>
      <c r="F1361" s="558" t="s">
        <v>5264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5337</v>
      </c>
      <c r="L1361" s="558"/>
      <c r="M1361" s="506">
        <f>250000*4</f>
        <v>1000000</v>
      </c>
      <c r="N1361" s="26"/>
    </row>
    <row r="1362" spans="1:14" ht="27">
      <c r="A1362" s="527">
        <v>13</v>
      </c>
      <c r="B1362" s="664"/>
      <c r="C1362" s="575" t="s">
        <v>5330</v>
      </c>
      <c r="D1362" s="570" t="s">
        <v>49</v>
      </c>
      <c r="E1362" s="570" t="s">
        <v>151</v>
      </c>
      <c r="F1362" s="570" t="s">
        <v>5264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5344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64" t="s">
        <v>5340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  <c r="N1363" s="26"/>
    </row>
    <row r="1364" spans="1:14" ht="27">
      <c r="A1364" s="527">
        <v>13</v>
      </c>
      <c r="B1364" s="664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5315</v>
      </c>
      <c r="J1364" s="479" t="s">
        <v>90</v>
      </c>
      <c r="K1364" s="479" t="s">
        <v>41</v>
      </c>
      <c r="L1364" s="125" t="s">
        <v>15</v>
      </c>
      <c r="M1364" s="509">
        <v>250000</v>
      </c>
      <c r="N1364" s="26"/>
    </row>
    <row r="1365" spans="1:14" ht="27">
      <c r="A1365" s="527">
        <v>13</v>
      </c>
      <c r="B1365" s="664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905" t="s">
        <v>487</v>
      </c>
      <c r="L1365" s="136" t="s">
        <v>15</v>
      </c>
      <c r="M1365" s="509">
        <v>500000</v>
      </c>
      <c r="N1365" s="26"/>
    </row>
    <row r="1366" spans="1:14" ht="27">
      <c r="A1366" s="527">
        <v>13</v>
      </c>
      <c r="B1366" s="664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906" t="s">
        <v>487</v>
      </c>
      <c r="L1366" s="555" t="s">
        <v>15</v>
      </c>
      <c r="M1366" s="509">
        <v>500000</v>
      </c>
      <c r="N1366" s="26"/>
    </row>
    <row r="1367" spans="1:14">
      <c r="A1367" s="527">
        <v>13</v>
      </c>
      <c r="B1367" s="664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5313</v>
      </c>
      <c r="J1367" s="480" t="s">
        <v>90</v>
      </c>
      <c r="K1367" s="907" t="s">
        <v>5299</v>
      </c>
      <c r="L1367" s="136" t="s">
        <v>15</v>
      </c>
      <c r="M1367" s="509">
        <f>450000+250000</f>
        <v>700000</v>
      </c>
      <c r="N1367" s="26"/>
    </row>
    <row r="1368" spans="1:14">
      <c r="A1368" s="527">
        <v>13</v>
      </c>
      <c r="B1368" s="664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5323</v>
      </c>
      <c r="J1368" s="479" t="s">
        <v>202</v>
      </c>
      <c r="K1368" s="905" t="s">
        <v>487</v>
      </c>
      <c r="L1368" s="555" t="s">
        <v>15</v>
      </c>
      <c r="M1368" s="509">
        <f>250000*2</f>
        <v>500000</v>
      </c>
      <c r="N1368" s="26"/>
    </row>
    <row r="1369" spans="1:14">
      <c r="A1369" s="527">
        <v>14</v>
      </c>
      <c r="B1369" s="903" t="s">
        <v>307</v>
      </c>
      <c r="C1369" s="134" t="s">
        <v>5500</v>
      </c>
      <c r="D1369" s="129" t="s">
        <v>306</v>
      </c>
      <c r="E1369" s="129" t="s">
        <v>322</v>
      </c>
      <c r="F1369" s="130" t="s">
        <v>5448</v>
      </c>
      <c r="G1369" s="130" t="s">
        <v>4948</v>
      </c>
      <c r="H1369" s="130" t="s">
        <v>1915</v>
      </c>
      <c r="I1369" s="898" t="s">
        <v>5449</v>
      </c>
      <c r="J1369" s="899" t="s">
        <v>1111</v>
      </c>
      <c r="K1369" s="908" t="s">
        <v>3109</v>
      </c>
      <c r="L1369" s="650"/>
      <c r="M1369" s="651">
        <v>250000</v>
      </c>
      <c r="N1369" s="822" t="s">
        <v>5501</v>
      </c>
    </row>
    <row r="1370" spans="1:14">
      <c r="A1370" s="527">
        <v>14</v>
      </c>
      <c r="B1370" s="902"/>
      <c r="C1370" s="157" t="s">
        <v>5500</v>
      </c>
      <c r="D1370" s="129" t="s">
        <v>306</v>
      </c>
      <c r="E1370" s="129" t="s">
        <v>322</v>
      </c>
      <c r="F1370" s="130" t="s">
        <v>5448</v>
      </c>
      <c r="G1370" s="900" t="s">
        <v>4974</v>
      </c>
      <c r="H1370" s="900" t="s">
        <v>347</v>
      </c>
      <c r="I1370" s="900" t="s">
        <v>4925</v>
      </c>
      <c r="J1370" s="899" t="s">
        <v>1534</v>
      </c>
      <c r="K1370" s="908" t="s">
        <v>713</v>
      </c>
      <c r="L1370" s="650"/>
      <c r="M1370" s="651">
        <v>250000</v>
      </c>
      <c r="N1370" s="822"/>
    </row>
    <row r="1371" spans="1:14">
      <c r="A1371" s="527">
        <v>14</v>
      </c>
      <c r="B1371" s="902"/>
      <c r="C1371" s="901" t="s">
        <v>5502</v>
      </c>
      <c r="D1371" s="129" t="s">
        <v>306</v>
      </c>
      <c r="E1371" s="129" t="s">
        <v>322</v>
      </c>
      <c r="F1371" s="130" t="s">
        <v>5448</v>
      </c>
      <c r="G1371" s="900" t="s">
        <v>4948</v>
      </c>
      <c r="H1371" s="900" t="s">
        <v>1915</v>
      </c>
      <c r="I1371" s="900" t="s">
        <v>5450</v>
      </c>
      <c r="J1371" s="899" t="s">
        <v>1111</v>
      </c>
      <c r="K1371" s="908" t="s">
        <v>5503</v>
      </c>
      <c r="L1371" s="650"/>
      <c r="M1371" s="651">
        <v>2500000</v>
      </c>
      <c r="N1371" s="910"/>
    </row>
    <row r="1372" spans="1:14">
      <c r="A1372" s="527">
        <v>14</v>
      </c>
      <c r="B1372" s="902"/>
      <c r="C1372" s="130" t="s">
        <v>5504</v>
      </c>
      <c r="D1372" s="899" t="s">
        <v>306</v>
      </c>
      <c r="E1372" s="899" t="s">
        <v>322</v>
      </c>
      <c r="F1372" s="899" t="s">
        <v>5448</v>
      </c>
      <c r="G1372" s="900" t="s">
        <v>4948</v>
      </c>
      <c r="H1372" s="900" t="s">
        <v>1915</v>
      </c>
      <c r="I1372" s="900" t="s">
        <v>5505</v>
      </c>
      <c r="J1372" s="899" t="s">
        <v>5506</v>
      </c>
      <c r="K1372" s="908" t="s">
        <v>4953</v>
      </c>
      <c r="L1372" s="650"/>
      <c r="M1372" s="651">
        <v>750000</v>
      </c>
      <c r="N1372" s="910"/>
    </row>
    <row r="1373" spans="1:14">
      <c r="A1373" s="527">
        <v>14</v>
      </c>
      <c r="B1373" s="902"/>
      <c r="C1373" s="130" t="s">
        <v>5507</v>
      </c>
      <c r="D1373" s="129" t="s">
        <v>306</v>
      </c>
      <c r="E1373" s="129" t="s">
        <v>322</v>
      </c>
      <c r="F1373" s="130" t="s">
        <v>5448</v>
      </c>
      <c r="G1373" s="900" t="s">
        <v>5508</v>
      </c>
      <c r="H1373" s="900" t="s">
        <v>662</v>
      </c>
      <c r="I1373" s="900" t="s">
        <v>5509</v>
      </c>
      <c r="J1373" s="899" t="s">
        <v>1534</v>
      </c>
      <c r="K1373" s="908" t="s">
        <v>713</v>
      </c>
      <c r="L1373" s="650"/>
      <c r="M1373" s="651">
        <v>250000</v>
      </c>
      <c r="N1373" s="910"/>
    </row>
    <row r="1374" spans="1:14">
      <c r="A1374" s="527">
        <v>14</v>
      </c>
      <c r="B1374" s="902"/>
      <c r="C1374" s="130" t="s">
        <v>5510</v>
      </c>
      <c r="D1374" s="129" t="s">
        <v>306</v>
      </c>
      <c r="E1374" s="129" t="s">
        <v>322</v>
      </c>
      <c r="F1374" s="130" t="s">
        <v>5448</v>
      </c>
      <c r="G1374" s="900" t="s">
        <v>5102</v>
      </c>
      <c r="H1374" s="900" t="s">
        <v>347</v>
      </c>
      <c r="I1374" s="900" t="s">
        <v>5511</v>
      </c>
      <c r="J1374" s="899" t="s">
        <v>1534</v>
      </c>
      <c r="K1374" s="908" t="s">
        <v>1054</v>
      </c>
      <c r="L1374" s="650"/>
      <c r="M1374" s="651">
        <v>1000000</v>
      </c>
      <c r="N1374" s="910"/>
    </row>
    <row r="1375" spans="1:14">
      <c r="A1375" s="527">
        <v>14</v>
      </c>
      <c r="B1375" s="902"/>
      <c r="C1375" s="130" t="s">
        <v>5512</v>
      </c>
      <c r="D1375" s="899" t="s">
        <v>306</v>
      </c>
      <c r="E1375" s="899" t="s">
        <v>322</v>
      </c>
      <c r="F1375" s="899" t="s">
        <v>5448</v>
      </c>
      <c r="G1375" s="900" t="s">
        <v>5513</v>
      </c>
      <c r="H1375" s="900" t="s">
        <v>3117</v>
      </c>
      <c r="I1375" s="900" t="s">
        <v>5514</v>
      </c>
      <c r="J1375" s="899" t="s">
        <v>5506</v>
      </c>
      <c r="K1375" s="908" t="s">
        <v>3105</v>
      </c>
      <c r="L1375" s="650"/>
      <c r="M1375" s="651">
        <v>500000</v>
      </c>
      <c r="N1375" s="650"/>
    </row>
    <row r="1376" spans="1:14">
      <c r="A1376" s="527">
        <v>14</v>
      </c>
      <c r="B1376" s="902"/>
      <c r="C1376" s="652" t="s">
        <v>5515</v>
      </c>
      <c r="D1376" s="129" t="s">
        <v>5516</v>
      </c>
      <c r="E1376" s="129" t="s">
        <v>322</v>
      </c>
      <c r="F1376" s="130" t="s">
        <v>5448</v>
      </c>
      <c r="G1376" s="900" t="s">
        <v>4948</v>
      </c>
      <c r="H1376" s="900" t="s">
        <v>3117</v>
      </c>
      <c r="I1376" s="900" t="s">
        <v>5517</v>
      </c>
      <c r="J1376" s="899" t="s">
        <v>702</v>
      </c>
      <c r="K1376" s="908" t="s">
        <v>705</v>
      </c>
      <c r="L1376" s="650"/>
      <c r="M1376" s="651">
        <v>500000</v>
      </c>
      <c r="N1376" s="26"/>
    </row>
    <row r="1377" spans="1:14">
      <c r="A1377" s="527">
        <v>14</v>
      </c>
      <c r="B1377" s="911" t="s">
        <v>311</v>
      </c>
      <c r="C1377" s="134" t="s">
        <v>5518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898" t="s">
        <v>5519</v>
      </c>
      <c r="J1377" s="899" t="s">
        <v>638</v>
      </c>
      <c r="K1377" s="908" t="s">
        <v>713</v>
      </c>
      <c r="L1377" s="650" t="s">
        <v>309</v>
      </c>
      <c r="M1377" s="651">
        <v>250000</v>
      </c>
      <c r="N1377" s="649" t="s">
        <v>5520</v>
      </c>
    </row>
    <row r="1378" spans="1:14" ht="36">
      <c r="A1378" s="527">
        <v>14</v>
      </c>
      <c r="B1378" s="911"/>
      <c r="C1378" s="901" t="s">
        <v>5521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900" t="s">
        <v>5522</v>
      </c>
      <c r="J1378" s="130" t="s">
        <v>638</v>
      </c>
      <c r="K1378" s="909" t="s">
        <v>713</v>
      </c>
      <c r="L1378" s="648" t="s">
        <v>309</v>
      </c>
      <c r="M1378" s="545">
        <v>250000</v>
      </c>
      <c r="N1378" s="649" t="s">
        <v>5523</v>
      </c>
    </row>
    <row r="1379" spans="1:14">
      <c r="A1379" s="527">
        <v>14</v>
      </c>
      <c r="B1379" s="911"/>
      <c r="C1379" s="130" t="s">
        <v>5521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5524</v>
      </c>
      <c r="K1379" s="909" t="s">
        <v>692</v>
      </c>
      <c r="L1379" s="648" t="s">
        <v>309</v>
      </c>
      <c r="M1379" s="545">
        <v>500000</v>
      </c>
      <c r="N1379" s="649" t="s">
        <v>5525</v>
      </c>
    </row>
    <row r="1380" spans="1:14">
      <c r="A1380" s="527">
        <v>14</v>
      </c>
      <c r="B1380" s="911"/>
      <c r="C1380" s="130" t="s">
        <v>5526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5524</v>
      </c>
      <c r="K1380" s="909" t="s">
        <v>692</v>
      </c>
      <c r="L1380" s="648" t="s">
        <v>309</v>
      </c>
      <c r="M1380" s="545">
        <v>500000</v>
      </c>
      <c r="N1380" s="649" t="s">
        <v>5525</v>
      </c>
    </row>
    <row r="1381" spans="1:14" ht="22.5">
      <c r="A1381" s="527">
        <v>14</v>
      </c>
      <c r="B1381" s="911"/>
      <c r="C1381" s="130" t="s">
        <v>5527</v>
      </c>
      <c r="D1381" s="129" t="s">
        <v>311</v>
      </c>
      <c r="E1381" s="129" t="s">
        <v>320</v>
      </c>
      <c r="F1381" s="904" t="s">
        <v>5528</v>
      </c>
      <c r="G1381" s="130" t="s">
        <v>5070</v>
      </c>
      <c r="H1381" s="130" t="s">
        <v>354</v>
      </c>
      <c r="I1381" s="130" t="s">
        <v>310</v>
      </c>
      <c r="J1381" s="130" t="s">
        <v>5524</v>
      </c>
      <c r="K1381" s="909" t="s">
        <v>692</v>
      </c>
      <c r="L1381" s="648" t="s">
        <v>309</v>
      </c>
      <c r="M1381" s="545">
        <v>500000</v>
      </c>
      <c r="N1381" s="649" t="s">
        <v>5525</v>
      </c>
    </row>
    <row r="1382" spans="1:14" ht="22.5">
      <c r="A1382" s="527">
        <v>14</v>
      </c>
      <c r="B1382" s="911"/>
      <c r="C1382" s="130" t="s">
        <v>5529</v>
      </c>
      <c r="D1382" s="129" t="s">
        <v>311</v>
      </c>
      <c r="E1382" s="129" t="s">
        <v>320</v>
      </c>
      <c r="F1382" s="904" t="s">
        <v>5528</v>
      </c>
      <c r="G1382" s="130" t="s">
        <v>5070</v>
      </c>
      <c r="H1382" s="130" t="s">
        <v>354</v>
      </c>
      <c r="I1382" s="130" t="s">
        <v>310</v>
      </c>
      <c r="J1382" s="130" t="s">
        <v>5524</v>
      </c>
      <c r="K1382" s="909" t="s">
        <v>692</v>
      </c>
      <c r="L1382" s="648" t="s">
        <v>309</v>
      </c>
      <c r="M1382" s="545">
        <v>500000</v>
      </c>
      <c r="N1382" s="649" t="s">
        <v>5525</v>
      </c>
    </row>
  </sheetData>
  <autoFilter ref="A1:N1368"/>
  <mergeCells count="1011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26" t="s">
        <v>4866</v>
      </c>
      <c r="D10" s="826"/>
    </row>
    <row r="11" spans="1:4">
      <c r="A11" s="495" t="s">
        <v>4867</v>
      </c>
      <c r="B11" s="495">
        <v>8</v>
      </c>
      <c r="C11" s="827">
        <f>'사전품의양식 (12)'!L12</f>
        <v>850000</v>
      </c>
      <c r="D11" s="827"/>
    </row>
    <row r="12" spans="1:4">
      <c r="A12" s="495" t="s">
        <v>4868</v>
      </c>
      <c r="B12" s="495">
        <v>4</v>
      </c>
      <c r="C12" s="827">
        <f>'사전품의양식 (12)'!L20</f>
        <v>850000</v>
      </c>
      <c r="D12" s="827"/>
    </row>
    <row r="13" spans="1:4">
      <c r="A13" s="500" t="s">
        <v>53</v>
      </c>
      <c r="B13" s="500">
        <f>SUM(B11:B12)</f>
        <v>12</v>
      </c>
      <c r="C13" s="828">
        <f>SUM(C11:C12)</f>
        <v>1700000</v>
      </c>
      <c r="D13" s="828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5451</v>
      </c>
      <c r="B17" s="497">
        <v>500000</v>
      </c>
      <c r="C17" s="497">
        <f>'사전품의양식 (12)'!L13</f>
        <v>600000</v>
      </c>
      <c r="D17" s="499">
        <f>SUM(B17:C17)</f>
        <v>1100000</v>
      </c>
    </row>
    <row r="18" spans="1:5">
      <c r="A18" s="496" t="s">
        <v>4500</v>
      </c>
      <c r="B18" s="497">
        <f>C11-B17</f>
        <v>350000</v>
      </c>
      <c r="C18" s="497">
        <f>C12-C17</f>
        <v>250000</v>
      </c>
      <c r="D18" s="497">
        <f>SUM(B18:C18)</f>
        <v>600000</v>
      </c>
    </row>
    <row r="19" spans="1:5">
      <c r="A19" s="500" t="s">
        <v>4870</v>
      </c>
      <c r="B19" s="547">
        <f t="shared" ref="B19:C19" si="0">SUM(B17:B18)</f>
        <v>850000</v>
      </c>
      <c r="C19" s="547">
        <f t="shared" si="0"/>
        <v>850000</v>
      </c>
      <c r="D19" s="547">
        <f>SUM(D17:D18)</f>
        <v>1700000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26" t="s">
        <v>4881</v>
      </c>
      <c r="D24" s="826"/>
      <c r="E24" s="826"/>
    </row>
    <row r="25" spans="1:5">
      <c r="A25" s="546" t="s">
        <v>4882</v>
      </c>
      <c r="B25" s="546" t="s">
        <v>4883</v>
      </c>
      <c r="C25" s="825" t="s">
        <v>4884</v>
      </c>
      <c r="D25" s="826"/>
      <c r="E25" s="826"/>
    </row>
    <row r="26" spans="1:5">
      <c r="A26" s="546" t="s">
        <v>5331</v>
      </c>
      <c r="B26" s="546" t="s">
        <v>5334</v>
      </c>
      <c r="C26" s="825" t="s">
        <v>5335</v>
      </c>
      <c r="D26" s="826"/>
      <c r="E26" s="826"/>
    </row>
    <row r="27" spans="1:5">
      <c r="A27" s="546" t="s">
        <v>5332</v>
      </c>
      <c r="B27" s="546" t="s">
        <v>5333</v>
      </c>
      <c r="C27" s="825" t="s">
        <v>5335</v>
      </c>
      <c r="D27" s="826"/>
      <c r="E27" s="826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8"/>
  <sheetViews>
    <sheetView topLeftCell="A2" zoomScale="85" zoomScaleNormal="85" zoomScaleSheetLayoutView="55" workbookViewId="0">
      <selection activeCell="I19" sqref="I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37" t="s">
        <v>5496</v>
      </c>
      <c r="B2" s="837" t="s">
        <v>1</v>
      </c>
      <c r="C2" s="837" t="s">
        <v>2</v>
      </c>
      <c r="D2" s="837" t="s">
        <v>3</v>
      </c>
      <c r="E2" s="502" t="s">
        <v>2627</v>
      </c>
      <c r="F2" s="837" t="s">
        <v>5</v>
      </c>
      <c r="G2" s="837" t="s">
        <v>6</v>
      </c>
      <c r="H2" s="837" t="s">
        <v>2628</v>
      </c>
      <c r="I2" s="837" t="s">
        <v>55</v>
      </c>
      <c r="J2" s="837" t="s">
        <v>9</v>
      </c>
      <c r="K2" s="838" t="s">
        <v>56</v>
      </c>
      <c r="L2" s="837" t="s">
        <v>57</v>
      </c>
      <c r="M2" s="837" t="s">
        <v>58</v>
      </c>
    </row>
    <row r="3" spans="1:13">
      <c r="A3" s="837"/>
      <c r="B3" s="837"/>
      <c r="C3" s="837"/>
      <c r="D3" s="837"/>
      <c r="E3" s="503" t="s">
        <v>1728</v>
      </c>
      <c r="F3" s="837"/>
      <c r="G3" s="837"/>
      <c r="H3" s="837"/>
      <c r="I3" s="837"/>
      <c r="J3" s="837"/>
      <c r="K3" s="838"/>
      <c r="L3" s="837"/>
      <c r="M3" s="837"/>
    </row>
    <row r="4" spans="1:13" s="498" customFormat="1">
      <c r="A4" s="834" t="s">
        <v>20</v>
      </c>
      <c r="B4" s="412" t="s">
        <v>5555</v>
      </c>
      <c r="C4" s="129" t="s">
        <v>306</v>
      </c>
      <c r="D4" s="129" t="s">
        <v>322</v>
      </c>
      <c r="E4" s="130" t="s">
        <v>5448</v>
      </c>
      <c r="F4" s="130" t="s">
        <v>5553</v>
      </c>
      <c r="G4" s="130" t="s">
        <v>5552</v>
      </c>
      <c r="H4" s="898" t="s">
        <v>5554</v>
      </c>
      <c r="I4" s="899" t="s">
        <v>1111</v>
      </c>
      <c r="J4" s="908" t="s">
        <v>5556</v>
      </c>
      <c r="K4" s="650"/>
      <c r="L4" s="651">
        <v>600000</v>
      </c>
      <c r="M4" s="508" t="s">
        <v>5551</v>
      </c>
    </row>
    <row r="5" spans="1:13" ht="16.5" customHeight="1">
      <c r="A5" s="835"/>
      <c r="B5" s="412">
        <v>46123</v>
      </c>
      <c r="C5" s="129" t="s">
        <v>306</v>
      </c>
      <c r="D5" s="129" t="s">
        <v>322</v>
      </c>
      <c r="E5" s="130" t="s">
        <v>5448</v>
      </c>
      <c r="F5" s="130" t="s">
        <v>4948</v>
      </c>
      <c r="G5" s="130" t="s">
        <v>1915</v>
      </c>
      <c r="H5" s="898" t="s">
        <v>5449</v>
      </c>
      <c r="I5" s="899" t="s">
        <v>1111</v>
      </c>
      <c r="J5" s="908" t="s">
        <v>3109</v>
      </c>
      <c r="K5" s="650"/>
      <c r="L5" s="651">
        <v>250000</v>
      </c>
      <c r="M5" s="508" t="s">
        <v>5499</v>
      </c>
    </row>
    <row r="6" spans="1:13">
      <c r="A6" s="835"/>
      <c r="B6" s="377"/>
      <c r="C6" s="4"/>
      <c r="D6" s="4"/>
      <c r="E6" s="630"/>
      <c r="F6" s="504"/>
      <c r="G6" s="505"/>
      <c r="H6" s="257"/>
      <c r="I6" s="549"/>
      <c r="J6" s="549"/>
      <c r="K6" s="549"/>
      <c r="L6" s="506"/>
      <c r="M6" s="639"/>
    </row>
    <row r="7" spans="1:13">
      <c r="A7" s="835"/>
      <c r="B7" s="377"/>
      <c r="C7" s="631"/>
      <c r="D7" s="631"/>
      <c r="E7" s="631"/>
      <c r="F7" s="504"/>
      <c r="G7" s="505"/>
      <c r="H7" s="257"/>
      <c r="I7" s="631"/>
      <c r="J7" s="631"/>
      <c r="K7" s="549"/>
      <c r="L7" s="506"/>
      <c r="M7" s="639"/>
    </row>
    <row r="8" spans="1:13">
      <c r="A8" s="835"/>
      <c r="B8" s="377"/>
      <c r="C8" s="4"/>
      <c r="D8" s="4"/>
      <c r="E8" s="630"/>
      <c r="F8" s="504"/>
      <c r="G8" s="505"/>
      <c r="H8" s="257"/>
      <c r="I8" s="631"/>
      <c r="J8" s="631"/>
      <c r="K8" s="549"/>
      <c r="L8" s="506"/>
      <c r="M8" s="639"/>
    </row>
    <row r="9" spans="1:13">
      <c r="A9" s="835"/>
      <c r="B9" s="377"/>
      <c r="C9" s="4"/>
      <c r="D9" s="4"/>
      <c r="E9" s="630"/>
      <c r="F9" s="504"/>
      <c r="G9" s="505"/>
      <c r="H9" s="257"/>
      <c r="I9" s="549"/>
      <c r="J9" s="549"/>
      <c r="K9" s="549"/>
      <c r="L9" s="506"/>
      <c r="M9" s="639"/>
    </row>
    <row r="10" spans="1:13">
      <c r="A10" s="835"/>
      <c r="B10" s="377"/>
      <c r="C10" s="631"/>
      <c r="D10" s="631"/>
      <c r="E10" s="631"/>
      <c r="F10" s="504"/>
      <c r="G10" s="505"/>
      <c r="H10" s="257"/>
      <c r="I10" s="631"/>
      <c r="J10" s="631"/>
      <c r="K10" s="549"/>
      <c r="L10" s="506"/>
      <c r="M10" s="560"/>
    </row>
    <row r="11" spans="1:13">
      <c r="A11" s="835"/>
      <c r="B11" s="412"/>
      <c r="C11" s="4"/>
      <c r="D11" s="4"/>
      <c r="E11" s="630"/>
      <c r="F11" s="504"/>
      <c r="G11" s="505"/>
      <c r="H11" s="257"/>
      <c r="I11" s="549"/>
      <c r="J11" s="549"/>
      <c r="K11" s="549"/>
      <c r="L11" s="506"/>
      <c r="M11" s="560"/>
    </row>
    <row r="12" spans="1:13">
      <c r="A12" s="836"/>
      <c r="B12" s="832" t="s">
        <v>1136</v>
      </c>
      <c r="C12" s="832"/>
      <c r="D12" s="832"/>
      <c r="E12" s="832"/>
      <c r="F12" s="832"/>
      <c r="G12" s="832"/>
      <c r="H12" s="832"/>
      <c r="I12" s="832"/>
      <c r="J12" s="832"/>
      <c r="K12" s="832"/>
      <c r="L12" s="506">
        <f>SUM(L4:L11)</f>
        <v>850000</v>
      </c>
      <c r="M12" s="549"/>
    </row>
    <row r="13" spans="1:13">
      <c r="A13" s="834" t="s">
        <v>21</v>
      </c>
      <c r="B13" s="412">
        <v>46097</v>
      </c>
      <c r="C13" s="4" t="s">
        <v>21</v>
      </c>
      <c r="D13" s="4" t="s">
        <v>4891</v>
      </c>
      <c r="E13" s="298" t="s">
        <v>4892</v>
      </c>
      <c r="F13" s="653" t="s">
        <v>2920</v>
      </c>
      <c r="G13" s="485" t="s">
        <v>4893</v>
      </c>
      <c r="H13" s="655" t="s">
        <v>4896</v>
      </c>
      <c r="I13" s="653"/>
      <c r="J13" s="653" t="s">
        <v>4894</v>
      </c>
      <c r="K13" s="125" t="s">
        <v>4895</v>
      </c>
      <c r="L13" s="506">
        <v>600000</v>
      </c>
      <c r="M13" s="508" t="s">
        <v>5551</v>
      </c>
    </row>
    <row r="14" spans="1:13">
      <c r="A14" s="835"/>
      <c r="B14" s="377">
        <v>46120</v>
      </c>
      <c r="C14" s="550" t="s">
        <v>21</v>
      </c>
      <c r="D14" s="550" t="s">
        <v>14</v>
      </c>
      <c r="E14" s="551" t="s">
        <v>107</v>
      </c>
      <c r="F14" s="551" t="s">
        <v>2963</v>
      </c>
      <c r="G14" s="553" t="s">
        <v>143</v>
      </c>
      <c r="H14" s="554" t="s">
        <v>5452</v>
      </c>
      <c r="I14" s="551"/>
      <c r="J14" s="551" t="s">
        <v>5497</v>
      </c>
      <c r="K14" s="656" t="s">
        <v>5498</v>
      </c>
      <c r="L14" s="506">
        <v>250000</v>
      </c>
      <c r="M14" s="508" t="s">
        <v>5499</v>
      </c>
    </row>
    <row r="15" spans="1:13">
      <c r="A15" s="835"/>
      <c r="B15" s="412"/>
      <c r="C15" s="4"/>
      <c r="D15" s="4"/>
      <c r="E15" s="298"/>
      <c r="F15" s="653"/>
      <c r="G15" s="485"/>
      <c r="H15" s="655"/>
      <c r="I15" s="653"/>
      <c r="J15" s="653"/>
      <c r="K15" s="125"/>
      <c r="L15" s="509"/>
      <c r="M15" s="508"/>
    </row>
    <row r="16" spans="1:13">
      <c r="A16" s="835"/>
      <c r="B16" s="377"/>
      <c r="C16" s="550"/>
      <c r="D16" s="550"/>
      <c r="E16" s="551"/>
      <c r="F16" s="551"/>
      <c r="G16" s="553"/>
      <c r="H16" s="554"/>
      <c r="I16" s="551"/>
      <c r="J16" s="551"/>
      <c r="K16" s="555"/>
      <c r="L16" s="509"/>
      <c r="M16" s="508"/>
    </row>
    <row r="17" spans="1:19">
      <c r="A17" s="835"/>
      <c r="B17" s="377"/>
      <c r="C17" s="550"/>
      <c r="D17" s="550"/>
      <c r="E17" s="551"/>
      <c r="F17" s="551"/>
      <c r="G17" s="553"/>
      <c r="H17" s="554"/>
      <c r="I17" s="551"/>
      <c r="J17" s="551"/>
      <c r="K17" s="555"/>
      <c r="L17" s="509"/>
      <c r="M17" s="508"/>
    </row>
    <row r="18" spans="1:19">
      <c r="A18" s="835"/>
      <c r="B18" s="377"/>
      <c r="C18" s="4"/>
      <c r="D18" s="4"/>
      <c r="E18" s="298"/>
      <c r="F18" s="630"/>
      <c r="G18" s="16"/>
      <c r="H18" s="632"/>
      <c r="I18" s="630"/>
      <c r="J18" s="630"/>
      <c r="K18" s="125"/>
      <c r="L18" s="509"/>
      <c r="M18" s="508"/>
    </row>
    <row r="19" spans="1:19">
      <c r="A19" s="835"/>
      <c r="B19" s="377"/>
      <c r="C19" s="4"/>
      <c r="D19" s="4"/>
      <c r="E19" s="298"/>
      <c r="F19" s="630"/>
      <c r="G19" s="16"/>
      <c r="H19" s="632"/>
      <c r="I19" s="630"/>
      <c r="J19" s="630"/>
      <c r="K19" s="125"/>
      <c r="L19" s="509"/>
      <c r="M19" s="508"/>
    </row>
    <row r="20" spans="1:19">
      <c r="A20" s="836"/>
      <c r="B20" s="832" t="s">
        <v>4888</v>
      </c>
      <c r="C20" s="832"/>
      <c r="D20" s="832"/>
      <c r="E20" s="832"/>
      <c r="F20" s="832"/>
      <c r="G20" s="832"/>
      <c r="H20" s="832"/>
      <c r="I20" s="832"/>
      <c r="J20" s="832"/>
      <c r="K20" s="832"/>
      <c r="L20" s="506">
        <f>SUM(L13:L19)</f>
        <v>850000</v>
      </c>
      <c r="M20" s="549"/>
    </row>
    <row r="21" spans="1:19" s="501" customFormat="1" ht="25.5" customHeight="1">
      <c r="A21" s="833" t="s">
        <v>62</v>
      </c>
      <c r="B21" s="833"/>
      <c r="C21" s="833"/>
      <c r="D21" s="833"/>
      <c r="E21" s="833"/>
      <c r="F21" s="833"/>
      <c r="G21" s="833"/>
      <c r="H21" s="833"/>
      <c r="I21" s="833"/>
      <c r="J21" s="833"/>
      <c r="K21" s="833"/>
      <c r="L21" s="384">
        <f>L12+L20</f>
        <v>1700000</v>
      </c>
      <c r="M21" s="38"/>
    </row>
    <row r="22" spans="1:19" ht="26.25" customHeight="1"/>
    <row r="23" spans="1:19" ht="26.25" customHeight="1"/>
    <row r="24" spans="1:19" ht="26.25" customHeight="1">
      <c r="A24" s="415"/>
      <c r="B24" s="415"/>
      <c r="C24" s="415"/>
      <c r="D24" s="415"/>
      <c r="E24" s="415"/>
      <c r="F24" s="415"/>
      <c r="G24" s="415"/>
      <c r="H24" s="415"/>
      <c r="I24" s="415"/>
      <c r="J24" s="415"/>
      <c r="K24" s="415"/>
      <c r="L24" s="395"/>
      <c r="M24" s="396"/>
    </row>
    <row r="25" spans="1:19" ht="26.25" hidden="1" customHeight="1">
      <c r="N25" s="17"/>
      <c r="O25" s="17"/>
      <c r="P25" s="17"/>
      <c r="Q25" s="17"/>
      <c r="R25" s="17"/>
    </row>
    <row r="26" spans="1:19" ht="25.5" hidden="1" customHeight="1">
      <c r="B26" s="150" t="s">
        <v>1144</v>
      </c>
      <c r="C26" s="151"/>
      <c r="D26" s="151"/>
      <c r="E26" s="151"/>
      <c r="F26" s="151"/>
      <c r="G26" s="151"/>
      <c r="H26" s="151"/>
      <c r="I26" s="151"/>
      <c r="N26" s="17"/>
      <c r="O26" s="17"/>
      <c r="P26" s="17"/>
      <c r="Q26" s="17"/>
      <c r="R26" s="17"/>
    </row>
    <row r="27" spans="1:19" ht="25.5" hidden="1" customHeight="1">
      <c r="B27" s="152" t="s">
        <v>1140</v>
      </c>
      <c r="C27" s="153">
        <v>45282</v>
      </c>
      <c r="D27" s="151" t="s">
        <v>1151</v>
      </c>
      <c r="E27" s="151"/>
      <c r="F27" s="151"/>
      <c r="G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1141</v>
      </c>
      <c r="C28" s="153">
        <v>45282</v>
      </c>
      <c r="D28" s="151" t="s">
        <v>1143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5.5" hidden="1" customHeight="1">
      <c r="B29" s="152" t="s">
        <v>1145</v>
      </c>
      <c r="C29" s="154" t="s">
        <v>1142</v>
      </c>
      <c r="D29" s="151" t="s">
        <v>1152</v>
      </c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20.100000000000001" hidden="1" customHeight="1">
      <c r="B30" s="151"/>
      <c r="C30" s="151" t="s">
        <v>1146</v>
      </c>
      <c r="D30" s="151"/>
      <c r="E30" s="151"/>
      <c r="F30" s="151"/>
      <c r="G30" s="151"/>
      <c r="H30" s="151"/>
      <c r="I30" s="151"/>
      <c r="N30" s="17"/>
      <c r="O30" s="17"/>
      <c r="P30" s="17"/>
      <c r="Q30" s="17"/>
      <c r="R30" s="17"/>
      <c r="S30" s="17"/>
    </row>
    <row r="31" spans="1:19" ht="16.5" hidden="1" customHeight="1">
      <c r="N31" s="17"/>
      <c r="O31" s="17"/>
      <c r="P31" s="17"/>
      <c r="Q31" s="17"/>
      <c r="R31" s="17"/>
      <c r="S31" s="17"/>
    </row>
    <row r="32" spans="1:19" ht="20.100000000000001" hidden="1" customHeight="1">
      <c r="J32" s="151"/>
      <c r="N32" s="17"/>
      <c r="O32" s="17"/>
      <c r="P32" s="17"/>
      <c r="Q32" s="17"/>
      <c r="R32" s="17"/>
      <c r="S32" s="17"/>
    </row>
    <row r="33" spans="1:19">
      <c r="N33" s="17"/>
      <c r="O33" s="17"/>
      <c r="P33" s="17"/>
      <c r="Q33" s="17"/>
      <c r="R33" s="17"/>
      <c r="S33" s="17"/>
    </row>
    <row r="35" spans="1:19" ht="28.5" customHeight="1">
      <c r="A35" s="330" t="s">
        <v>0</v>
      </c>
      <c r="B35" s="331" t="s">
        <v>1</v>
      </c>
      <c r="C35" s="330" t="s">
        <v>2</v>
      </c>
      <c r="D35" s="330" t="s">
        <v>3</v>
      </c>
      <c r="E35" s="330" t="s">
        <v>4</v>
      </c>
      <c r="F35" s="330" t="s">
        <v>5</v>
      </c>
      <c r="G35" s="330" t="s">
        <v>6</v>
      </c>
      <c r="H35" s="332" t="s">
        <v>7</v>
      </c>
      <c r="I35" s="330" t="s">
        <v>8</v>
      </c>
      <c r="J35" s="330" t="s">
        <v>9</v>
      </c>
      <c r="K35" s="333" t="s">
        <v>10</v>
      </c>
      <c r="L35" s="330" t="s">
        <v>12</v>
      </c>
      <c r="M35" s="330" t="s">
        <v>63</v>
      </c>
    </row>
    <row r="36" spans="1:19" s="17" customFormat="1" ht="33" customHeight="1">
      <c r="A36" s="829"/>
      <c r="B36" s="377"/>
      <c r="C36" s="3"/>
      <c r="D36" s="3"/>
      <c r="E36" s="480"/>
      <c r="F36" s="480"/>
      <c r="G36" s="485"/>
      <c r="H36" s="479"/>
      <c r="I36" s="630"/>
      <c r="J36" s="630"/>
      <c r="K36" s="125"/>
      <c r="L36" s="8"/>
      <c r="M36" s="8"/>
    </row>
    <row r="37" spans="1:19" s="17" customFormat="1" ht="33" customHeight="1">
      <c r="A37" s="829"/>
      <c r="B37" s="377"/>
      <c r="C37" s="550"/>
      <c r="D37" s="550"/>
      <c r="E37" s="554"/>
      <c r="F37" s="551"/>
      <c r="G37" s="553"/>
      <c r="H37" s="633"/>
      <c r="I37" s="551"/>
      <c r="J37" s="551"/>
      <c r="K37" s="555"/>
      <c r="L37" s="556"/>
      <c r="M37" s="556"/>
    </row>
    <row r="38" spans="1:19" s="17" customFormat="1" ht="33" customHeight="1">
      <c r="A38" s="829"/>
      <c r="B38" s="377"/>
      <c r="C38" s="3"/>
      <c r="D38" s="3"/>
      <c r="E38" s="480"/>
      <c r="F38" s="480"/>
      <c r="G38" s="485"/>
      <c r="H38" s="479"/>
      <c r="I38" s="479"/>
      <c r="J38" s="479"/>
      <c r="K38" s="136"/>
      <c r="L38" s="481"/>
      <c r="M38" s="481"/>
    </row>
    <row r="39" spans="1:19" s="17" customFormat="1" ht="33" customHeight="1">
      <c r="A39" s="829"/>
      <c r="B39" s="377"/>
      <c r="C39" s="550"/>
      <c r="D39" s="550"/>
      <c r="E39" s="551"/>
      <c r="F39" s="551"/>
      <c r="G39" s="553"/>
      <c r="H39" s="554"/>
      <c r="I39" s="551"/>
      <c r="J39" s="551"/>
      <c r="K39" s="555"/>
      <c r="L39" s="8"/>
      <c r="M39" s="8"/>
    </row>
    <row r="40" spans="1:19" s="17" customFormat="1" ht="33" customHeight="1">
      <c r="A40" s="829"/>
      <c r="B40" s="377"/>
      <c r="C40" s="550"/>
      <c r="D40" s="550"/>
      <c r="E40" s="551"/>
      <c r="F40" s="551"/>
      <c r="G40" s="553"/>
      <c r="H40" s="554"/>
      <c r="I40" s="554"/>
      <c r="J40" s="554"/>
      <c r="K40" s="555"/>
      <c r="L40" s="481"/>
      <c r="M40" s="481"/>
    </row>
    <row r="41" spans="1:19" s="17" customFormat="1" ht="33" customHeight="1">
      <c r="A41" s="829"/>
      <c r="B41" s="377"/>
      <c r="C41" s="550"/>
      <c r="D41" s="550"/>
      <c r="E41" s="551"/>
      <c r="F41" s="551"/>
      <c r="G41" s="553"/>
      <c r="H41" s="554"/>
      <c r="I41" s="551"/>
      <c r="J41" s="551"/>
      <c r="K41" s="555"/>
      <c r="L41" s="8"/>
      <c r="M41" s="8"/>
    </row>
    <row r="42" spans="1:19" s="17" customFormat="1" ht="33" customHeight="1">
      <c r="A42" s="829"/>
      <c r="B42" s="377"/>
      <c r="C42" s="3"/>
      <c r="D42" s="3"/>
      <c r="E42" s="484"/>
      <c r="F42" s="484"/>
      <c r="G42" s="485"/>
      <c r="H42" s="479"/>
      <c r="I42" s="479"/>
      <c r="J42" s="479"/>
      <c r="K42" s="136"/>
      <c r="L42" s="8"/>
      <c r="M42" s="8"/>
    </row>
    <row r="43" spans="1:19" s="17" customFormat="1" ht="33" customHeight="1">
      <c r="A43" s="829"/>
      <c r="B43" s="377"/>
      <c r="C43" s="4"/>
      <c r="D43" s="4"/>
      <c r="E43" s="298"/>
      <c r="F43" s="630"/>
      <c r="G43" s="16"/>
      <c r="H43" s="632"/>
      <c r="I43" s="630"/>
      <c r="J43" s="630"/>
      <c r="K43" s="125"/>
      <c r="L43" s="8"/>
      <c r="M43" s="8"/>
    </row>
    <row r="44" spans="1:19" s="17" customFormat="1" ht="33" customHeight="1">
      <c r="A44" s="829"/>
      <c r="B44" s="377"/>
      <c r="C44" s="4"/>
      <c r="D44" s="4"/>
      <c r="E44" s="298"/>
      <c r="F44" s="630"/>
      <c r="G44" s="16"/>
      <c r="H44" s="632"/>
      <c r="I44" s="630"/>
      <c r="J44" s="630"/>
      <c r="K44" s="125"/>
      <c r="L44" s="8"/>
      <c r="M44" s="8"/>
    </row>
    <row r="45" spans="1:19">
      <c r="A45" s="829"/>
      <c r="B45" s="377"/>
      <c r="C45" s="3"/>
      <c r="D45" s="3"/>
      <c r="E45" s="480"/>
      <c r="F45" s="480"/>
      <c r="G45" s="485"/>
      <c r="H45" s="479"/>
      <c r="I45" s="479"/>
      <c r="J45" s="479"/>
      <c r="K45" s="136"/>
      <c r="L45" s="481"/>
      <c r="M45" s="481"/>
    </row>
    <row r="46" spans="1:19">
      <c r="A46" s="829"/>
      <c r="B46" s="377"/>
      <c r="C46" s="3"/>
      <c r="D46" s="3"/>
      <c r="E46" s="480"/>
      <c r="F46" s="480"/>
      <c r="G46" s="485"/>
      <c r="H46" s="479"/>
      <c r="I46" s="479"/>
      <c r="J46" s="479"/>
      <c r="K46" s="136"/>
      <c r="L46" s="481"/>
      <c r="M46" s="481"/>
    </row>
    <row r="47" spans="1:19">
      <c r="A47" s="829"/>
      <c r="B47" s="377"/>
      <c r="C47" s="4"/>
      <c r="D47" s="4"/>
      <c r="E47" s="298"/>
      <c r="F47" s="630"/>
      <c r="G47" s="16"/>
      <c r="H47" s="632"/>
      <c r="I47" s="830"/>
      <c r="J47" s="830"/>
      <c r="K47" s="125"/>
      <c r="L47" s="831"/>
      <c r="M47" s="696"/>
    </row>
    <row r="48" spans="1:19">
      <c r="A48" s="829"/>
      <c r="B48" s="377"/>
      <c r="C48" s="3"/>
      <c r="D48" s="3"/>
      <c r="E48" s="480"/>
      <c r="F48" s="479"/>
      <c r="G48" s="485"/>
      <c r="H48" s="479"/>
      <c r="I48" s="830"/>
      <c r="J48" s="830"/>
      <c r="K48" s="136"/>
      <c r="L48" s="831"/>
      <c r="M48" s="697"/>
    </row>
  </sheetData>
  <mergeCells count="22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1:K21"/>
    <mergeCell ref="B20:K20"/>
    <mergeCell ref="A4:A12"/>
    <mergeCell ref="A13:A20"/>
    <mergeCell ref="A36:A48"/>
    <mergeCell ref="I47:I48"/>
    <mergeCell ref="J47:J48"/>
    <mergeCell ref="L47:L48"/>
    <mergeCell ref="M47:M4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4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64" t="s">
        <v>53</v>
      </c>
      <c r="B21" s="664"/>
      <c r="C21" s="664"/>
      <c r="D21" s="664"/>
      <c r="E21" s="664"/>
      <c r="F21" s="664"/>
      <c r="G21" s="664"/>
      <c r="H21" s="664"/>
      <c r="I21" s="66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52" t="s">
        <v>53</v>
      </c>
      <c r="B26" s="853"/>
      <c r="C26" s="853"/>
      <c r="D26" s="853"/>
      <c r="E26" s="853"/>
      <c r="F26" s="853"/>
      <c r="G26" s="853"/>
      <c r="H26" s="853"/>
      <c r="I26" s="85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52" t="s">
        <v>53</v>
      </c>
      <c r="B35" s="853"/>
      <c r="C35" s="853"/>
      <c r="D35" s="853"/>
      <c r="E35" s="853"/>
      <c r="F35" s="853"/>
      <c r="G35" s="853"/>
      <c r="H35" s="853"/>
      <c r="I35" s="85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4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52" t="s">
        <v>53</v>
      </c>
      <c r="B42" s="853"/>
      <c r="C42" s="853"/>
      <c r="D42" s="853"/>
      <c r="E42" s="853"/>
      <c r="F42" s="853"/>
      <c r="G42" s="853"/>
      <c r="H42" s="853"/>
      <c r="I42" s="85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52" t="s">
        <v>53</v>
      </c>
      <c r="B48" s="853"/>
      <c r="C48" s="853"/>
      <c r="D48" s="853"/>
      <c r="E48" s="853"/>
      <c r="F48" s="853"/>
      <c r="G48" s="853"/>
      <c r="H48" s="853"/>
      <c r="I48" s="85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52" t="s">
        <v>53</v>
      </c>
      <c r="B54" s="853"/>
      <c r="C54" s="853"/>
      <c r="D54" s="853"/>
      <c r="E54" s="853"/>
      <c r="F54" s="853"/>
      <c r="G54" s="853"/>
      <c r="H54" s="853"/>
      <c r="I54" s="85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4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0"/>
      <c r="B61" s="88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0"/>
      <c r="B62" s="88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0"/>
      <c r="B63" s="88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52" t="s">
        <v>53</v>
      </c>
      <c r="B64" s="853"/>
      <c r="C64" s="853"/>
      <c r="D64" s="853"/>
      <c r="E64" s="853"/>
      <c r="F64" s="853"/>
      <c r="G64" s="853"/>
      <c r="H64" s="853"/>
      <c r="I64" s="85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8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8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52" t="s">
        <v>53</v>
      </c>
      <c r="B70" s="853"/>
      <c r="C70" s="853"/>
      <c r="D70" s="853"/>
      <c r="E70" s="853"/>
      <c r="F70" s="853"/>
      <c r="G70" s="853"/>
      <c r="H70" s="853"/>
      <c r="I70" s="85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4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64" t="s">
        <v>53</v>
      </c>
      <c r="B78" s="664"/>
      <c r="C78" s="664"/>
      <c r="D78" s="664"/>
      <c r="E78" s="664"/>
      <c r="F78" s="664"/>
      <c r="G78" s="664"/>
      <c r="H78" s="664"/>
      <c r="I78" s="66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52" t="s">
        <v>53</v>
      </c>
      <c r="B86" s="853"/>
      <c r="C86" s="853"/>
      <c r="D86" s="853"/>
      <c r="E86" s="853"/>
      <c r="F86" s="853"/>
      <c r="G86" s="853"/>
      <c r="H86" s="853"/>
      <c r="I86" s="85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52" t="s">
        <v>53</v>
      </c>
      <c r="B92" s="853"/>
      <c r="C92" s="853"/>
      <c r="D92" s="853"/>
      <c r="E92" s="853"/>
      <c r="F92" s="853"/>
      <c r="G92" s="853"/>
      <c r="H92" s="853"/>
      <c r="I92" s="85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52" t="s">
        <v>53</v>
      </c>
      <c r="B101" s="853"/>
      <c r="C101" s="853"/>
      <c r="D101" s="853"/>
      <c r="E101" s="853"/>
      <c r="F101" s="853"/>
      <c r="G101" s="853"/>
      <c r="H101" s="853"/>
      <c r="I101" s="85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4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0"/>
      <c r="B107" s="87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0"/>
      <c r="B108" s="87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64" t="s">
        <v>53</v>
      </c>
      <c r="B112" s="664"/>
      <c r="C112" s="664"/>
      <c r="D112" s="664"/>
      <c r="E112" s="664"/>
      <c r="F112" s="664"/>
      <c r="G112" s="664"/>
      <c r="H112" s="664"/>
      <c r="I112" s="66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8" t="s">
        <v>954</v>
      </c>
      <c r="B119" s="6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79"/>
      <c r="B120" s="6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64" t="s">
        <v>53</v>
      </c>
      <c r="B121" s="664"/>
      <c r="C121" s="664"/>
      <c r="D121" s="664"/>
      <c r="E121" s="664"/>
      <c r="F121" s="664"/>
      <c r="G121" s="664"/>
      <c r="H121" s="664"/>
      <c r="I121" s="66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7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7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9"/>
      <c r="B129" s="88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2" t="s">
        <v>90</v>
      </c>
      <c r="J129" s="870">
        <v>2</v>
      </c>
      <c r="K129" s="25" t="s">
        <v>52</v>
      </c>
      <c r="L129" s="25" t="s">
        <v>51</v>
      </c>
    </row>
    <row r="130" spans="1:12">
      <c r="A130" s="679"/>
      <c r="B130" s="88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2"/>
      <c r="J130" s="871"/>
      <c r="K130" s="25" t="s">
        <v>52</v>
      </c>
      <c r="L130" s="25" t="s">
        <v>51</v>
      </c>
    </row>
    <row r="131" spans="1:12">
      <c r="A131" s="67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79"/>
      <c r="B133" s="75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00" t="s">
        <v>1277</v>
      </c>
      <c r="J133" s="870">
        <v>1</v>
      </c>
      <c r="K133" s="25" t="s">
        <v>52</v>
      </c>
      <c r="L133" s="25" t="s">
        <v>51</v>
      </c>
    </row>
    <row r="134" spans="1:12">
      <c r="A134" s="679"/>
      <c r="B134" s="7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66"/>
      <c r="J134" s="871"/>
      <c r="K134" s="25" t="s">
        <v>52</v>
      </c>
      <c r="L134" s="25" t="s">
        <v>51</v>
      </c>
    </row>
    <row r="135" spans="1:12">
      <c r="A135" s="67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64" t="s">
        <v>53</v>
      </c>
      <c r="B137" s="664"/>
      <c r="C137" s="664"/>
      <c r="D137" s="664"/>
      <c r="E137" s="664"/>
      <c r="F137" s="664"/>
      <c r="G137" s="664"/>
      <c r="H137" s="664"/>
      <c r="I137" s="66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9" t="s">
        <v>1007</v>
      </c>
      <c r="B142" s="75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79"/>
      <c r="B143" s="7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7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64" t="s">
        <v>53</v>
      </c>
      <c r="B145" s="664"/>
      <c r="C145" s="664"/>
      <c r="D145" s="664"/>
      <c r="E145" s="664"/>
      <c r="F145" s="664"/>
      <c r="G145" s="664"/>
      <c r="H145" s="664"/>
      <c r="I145" s="66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8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87"/>
      <c r="B150" s="6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87"/>
      <c r="B151" s="6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8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8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0" t="s">
        <v>53</v>
      </c>
      <c r="B154" s="830"/>
      <c r="C154" s="830"/>
      <c r="D154" s="830"/>
      <c r="E154" s="830"/>
      <c r="F154" s="830"/>
      <c r="G154" s="830"/>
      <c r="H154" s="830"/>
      <c r="I154" s="83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7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7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7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64" t="s">
        <v>53</v>
      </c>
      <c r="B163" s="664"/>
      <c r="C163" s="664"/>
      <c r="D163" s="664"/>
      <c r="E163" s="664"/>
      <c r="F163" s="664"/>
      <c r="G163" s="664"/>
      <c r="H163" s="664"/>
      <c r="I163" s="66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0" t="s">
        <v>53</v>
      </c>
      <c r="B167" s="830"/>
      <c r="C167" s="830"/>
      <c r="D167" s="830"/>
      <c r="E167" s="830"/>
      <c r="F167" s="830"/>
      <c r="G167" s="830"/>
      <c r="H167" s="830"/>
      <c r="I167" s="83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7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7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7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7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7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7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7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7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64" t="s">
        <v>53</v>
      </c>
      <c r="B183" s="664"/>
      <c r="C183" s="664"/>
      <c r="D183" s="664"/>
      <c r="E183" s="664"/>
      <c r="F183" s="664"/>
      <c r="G183" s="664"/>
      <c r="H183" s="664"/>
      <c r="I183" s="66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3" t="s">
        <v>1061</v>
      </c>
      <c r="B189" s="6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14"/>
      <c r="B190" s="6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14"/>
      <c r="B191" s="6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14"/>
      <c r="B192" s="6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64" t="s">
        <v>53</v>
      </c>
      <c r="B193" s="664"/>
      <c r="C193" s="664"/>
      <c r="D193" s="664"/>
      <c r="E193" s="664"/>
      <c r="F193" s="664"/>
      <c r="G193" s="664"/>
      <c r="H193" s="664"/>
      <c r="I193" s="66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8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9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9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9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0" t="s">
        <v>53</v>
      </c>
      <c r="B203" s="830"/>
      <c r="C203" s="830"/>
      <c r="D203" s="830"/>
      <c r="E203" s="830"/>
      <c r="F203" s="830"/>
      <c r="G203" s="830"/>
      <c r="H203" s="830"/>
      <c r="I203" s="83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0" t="s">
        <v>53</v>
      </c>
      <c r="B214" s="830"/>
      <c r="C214" s="830"/>
      <c r="D214" s="830"/>
      <c r="E214" s="830"/>
      <c r="F214" s="830"/>
      <c r="G214" s="830"/>
      <c r="H214" s="830"/>
      <c r="I214" s="83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0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3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0" t="s">
        <v>1458</v>
      </c>
      <c r="B226" s="830"/>
      <c r="C226" s="830"/>
      <c r="D226" s="830"/>
      <c r="E226" s="830"/>
      <c r="F226" s="830"/>
      <c r="G226" s="830"/>
      <c r="H226" s="830"/>
      <c r="I226" s="83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0" t="s">
        <v>1499</v>
      </c>
      <c r="B236" s="830"/>
      <c r="C236" s="830"/>
      <c r="D236" s="830"/>
      <c r="E236" s="830"/>
      <c r="F236" s="830"/>
      <c r="G236" s="830"/>
      <c r="H236" s="830"/>
      <c r="I236" s="83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52" t="s">
        <v>53</v>
      </c>
      <c r="B244" s="853"/>
      <c r="C244" s="853"/>
      <c r="D244" s="853"/>
      <c r="E244" s="853"/>
      <c r="F244" s="853"/>
      <c r="G244" s="853"/>
      <c r="H244" s="853"/>
      <c r="I244" s="85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52" t="s">
        <v>53</v>
      </c>
      <c r="B250" s="853"/>
      <c r="C250" s="853"/>
      <c r="D250" s="853"/>
      <c r="E250" s="853"/>
      <c r="F250" s="853"/>
      <c r="G250" s="853"/>
      <c r="H250" s="853"/>
      <c r="I250" s="85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52" t="s">
        <v>53</v>
      </c>
      <c r="B257" s="853"/>
      <c r="C257" s="853"/>
      <c r="D257" s="853"/>
      <c r="E257" s="853"/>
      <c r="F257" s="853"/>
      <c r="G257" s="853"/>
      <c r="H257" s="853"/>
      <c r="I257" s="85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9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9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52" t="s">
        <v>53</v>
      </c>
      <c r="B262" s="853"/>
      <c r="C262" s="853"/>
      <c r="D262" s="853"/>
      <c r="E262" s="853"/>
      <c r="F262" s="853"/>
      <c r="G262" s="853"/>
      <c r="H262" s="853"/>
      <c r="I262" s="85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4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7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7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52" t="s">
        <v>53</v>
      </c>
      <c r="B271" s="853"/>
      <c r="C271" s="853"/>
      <c r="D271" s="853"/>
      <c r="E271" s="853"/>
      <c r="F271" s="853"/>
      <c r="G271" s="853"/>
      <c r="H271" s="853"/>
      <c r="I271" s="85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52" t="s">
        <v>53</v>
      </c>
      <c r="B275" s="853"/>
      <c r="C275" s="853"/>
      <c r="D275" s="853"/>
      <c r="E275" s="853"/>
      <c r="F275" s="853"/>
      <c r="G275" s="853"/>
      <c r="H275" s="853"/>
      <c r="I275" s="854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7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7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7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7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7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69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69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69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69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69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69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69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69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52" t="s">
        <v>1650</v>
      </c>
      <c r="B296" s="853"/>
      <c r="C296" s="853"/>
      <c r="D296" s="853"/>
      <c r="E296" s="853"/>
      <c r="F296" s="853"/>
      <c r="G296" s="853"/>
      <c r="H296" s="853"/>
      <c r="I296" s="853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0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0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0" t="s">
        <v>1663</v>
      </c>
      <c r="B305" s="830"/>
      <c r="C305" s="830"/>
      <c r="D305" s="830"/>
      <c r="E305" s="830"/>
      <c r="F305" s="830"/>
      <c r="G305" s="830"/>
      <c r="H305" s="830"/>
      <c r="I305" s="83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0" t="s">
        <v>53</v>
      </c>
      <c r="B309" s="830"/>
      <c r="C309" s="830"/>
      <c r="D309" s="830"/>
      <c r="E309" s="830"/>
      <c r="F309" s="830"/>
      <c r="G309" s="830"/>
      <c r="H309" s="830"/>
      <c r="I309" s="83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0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0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0" t="s">
        <v>1663</v>
      </c>
      <c r="B314" s="830"/>
      <c r="C314" s="830"/>
      <c r="D314" s="830"/>
      <c r="E314" s="830"/>
      <c r="F314" s="830"/>
      <c r="G314" s="830"/>
      <c r="H314" s="830"/>
      <c r="I314" s="83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0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0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0" t="s">
        <v>1663</v>
      </c>
      <c r="B321" s="830"/>
      <c r="C321" s="830"/>
      <c r="D321" s="830"/>
      <c r="E321" s="830"/>
      <c r="F321" s="830"/>
      <c r="G321" s="830"/>
      <c r="H321" s="830"/>
      <c r="I321" s="83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0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0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0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0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0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0" t="s">
        <v>1663</v>
      </c>
      <c r="B330" s="830"/>
      <c r="C330" s="830"/>
      <c r="D330" s="830"/>
      <c r="E330" s="830"/>
      <c r="F330" s="830"/>
      <c r="G330" s="830"/>
      <c r="H330" s="830"/>
      <c r="I330" s="830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7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7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7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7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7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30" t="s">
        <v>1663</v>
      </c>
      <c r="B338" s="830"/>
      <c r="C338" s="830"/>
      <c r="D338" s="830"/>
      <c r="E338" s="830"/>
      <c r="F338" s="830"/>
      <c r="G338" s="830"/>
      <c r="H338" s="830"/>
      <c r="I338" s="83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2" t="s">
        <v>1521</v>
      </c>
      <c r="B343" s="128" t="s">
        <v>1531</v>
      </c>
      <c r="C343" s="795" t="s">
        <v>306</v>
      </c>
      <c r="D343" s="795" t="s">
        <v>322</v>
      </c>
      <c r="E343" s="665" t="s">
        <v>307</v>
      </c>
      <c r="F343" s="895">
        <v>4266</v>
      </c>
      <c r="G343" s="795" t="s">
        <v>640</v>
      </c>
      <c r="H343" s="895" t="s">
        <v>1533</v>
      </c>
      <c r="I343" s="795" t="s">
        <v>1534</v>
      </c>
      <c r="J343" s="665">
        <v>2</v>
      </c>
      <c r="K343" s="849" t="s">
        <v>50</v>
      </c>
      <c r="L343" s="849" t="s">
        <v>51</v>
      </c>
    </row>
    <row r="344" spans="1:14">
      <c r="A344" s="893"/>
      <c r="B344" s="129" t="s">
        <v>1532</v>
      </c>
      <c r="C344" s="666"/>
      <c r="D344" s="666"/>
      <c r="E344" s="666"/>
      <c r="F344" s="668"/>
      <c r="G344" s="666"/>
      <c r="H344" s="668"/>
      <c r="I344" s="666"/>
      <c r="J344" s="666"/>
      <c r="K344" s="851"/>
      <c r="L344" s="851"/>
    </row>
    <row r="345" spans="1:14">
      <c r="A345" s="893"/>
      <c r="B345" s="128" t="s">
        <v>1536</v>
      </c>
      <c r="C345" s="665" t="s">
        <v>306</v>
      </c>
      <c r="D345" s="665" t="s">
        <v>322</v>
      </c>
      <c r="E345" s="665" t="s">
        <v>307</v>
      </c>
      <c r="F345" s="667">
        <v>3306</v>
      </c>
      <c r="G345" s="665" t="s">
        <v>1153</v>
      </c>
      <c r="H345" s="667" t="s">
        <v>1538</v>
      </c>
      <c r="I345" s="665" t="s">
        <v>1534</v>
      </c>
      <c r="J345" s="665">
        <v>2</v>
      </c>
      <c r="K345" s="849" t="s">
        <v>50</v>
      </c>
      <c r="L345" s="849" t="s">
        <v>51</v>
      </c>
    </row>
    <row r="346" spans="1:14">
      <c r="A346" s="894"/>
      <c r="B346" s="129" t="s">
        <v>1537</v>
      </c>
      <c r="C346" s="666"/>
      <c r="D346" s="666"/>
      <c r="E346" s="666"/>
      <c r="F346" s="668"/>
      <c r="G346" s="666"/>
      <c r="H346" s="668"/>
      <c r="I346" s="666"/>
      <c r="J346" s="666"/>
      <c r="K346" s="851"/>
      <c r="L346" s="851"/>
    </row>
    <row r="347" spans="1:14">
      <c r="A347" s="852" t="s">
        <v>53</v>
      </c>
      <c r="B347" s="853"/>
      <c r="C347" s="853"/>
      <c r="D347" s="853"/>
      <c r="E347" s="853"/>
      <c r="F347" s="853"/>
      <c r="G347" s="853"/>
      <c r="H347" s="853"/>
      <c r="I347" s="85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7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7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7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7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7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7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64" t="s">
        <v>53</v>
      </c>
      <c r="B357" s="664"/>
      <c r="C357" s="664"/>
      <c r="D357" s="664"/>
      <c r="E357" s="664"/>
      <c r="F357" s="664"/>
      <c r="G357" s="664"/>
      <c r="H357" s="664"/>
      <c r="I357" s="66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0" t="s">
        <v>1458</v>
      </c>
      <c r="B361" s="830"/>
      <c r="C361" s="830"/>
      <c r="D361" s="830"/>
      <c r="E361" s="830"/>
      <c r="F361" s="830"/>
      <c r="G361" s="830"/>
      <c r="H361" s="830"/>
      <c r="I361" s="83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8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0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0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0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0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0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0" t="s">
        <v>1663</v>
      </c>
      <c r="B370" s="830"/>
      <c r="C370" s="830"/>
      <c r="D370" s="830"/>
      <c r="E370" s="830"/>
      <c r="F370" s="830"/>
      <c r="G370" s="830"/>
      <c r="H370" s="830"/>
      <c r="I370" s="830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64" t="s">
        <v>1650</v>
      </c>
      <c r="B378" s="664"/>
      <c r="C378" s="664"/>
      <c r="D378" s="664"/>
      <c r="E378" s="664"/>
      <c r="F378" s="664"/>
      <c r="G378" s="664"/>
      <c r="H378" s="664"/>
      <c r="I378" s="664"/>
      <c r="J378" s="664"/>
      <c r="K378" s="4">
        <v>25</v>
      </c>
      <c r="L378" s="55"/>
    </row>
    <row r="381" spans="1:13">
      <c r="B381" s="875" t="s">
        <v>1</v>
      </c>
      <c r="C381" s="875" t="s">
        <v>2</v>
      </c>
      <c r="D381" s="875" t="s">
        <v>3</v>
      </c>
      <c r="E381" s="36" t="s">
        <v>54</v>
      </c>
      <c r="F381" s="875" t="s">
        <v>5</v>
      </c>
      <c r="G381" s="875" t="s">
        <v>6</v>
      </c>
      <c r="H381" s="875" t="s">
        <v>7</v>
      </c>
      <c r="I381" s="875" t="s">
        <v>55</v>
      </c>
      <c r="J381" s="875" t="s">
        <v>9</v>
      </c>
      <c r="K381" s="877" t="s">
        <v>56</v>
      </c>
      <c r="L381" s="875" t="s">
        <v>57</v>
      </c>
    </row>
    <row r="382" spans="1:13">
      <c r="B382" s="876"/>
      <c r="C382" s="876"/>
      <c r="D382" s="876"/>
      <c r="E382" s="37" t="s">
        <v>59</v>
      </c>
      <c r="F382" s="876"/>
      <c r="G382" s="876"/>
      <c r="H382" s="876"/>
      <c r="I382" s="876"/>
      <c r="J382" s="876"/>
      <c r="K382" s="878"/>
      <c r="L382" s="87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0" t="s">
        <v>53</v>
      </c>
      <c r="B394" s="830"/>
      <c r="C394" s="830"/>
      <c r="D394" s="830"/>
      <c r="E394" s="830"/>
      <c r="F394" s="830"/>
      <c r="G394" s="830"/>
      <c r="H394" s="830"/>
      <c r="I394" s="830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7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7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7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30" t="s">
        <v>53</v>
      </c>
      <c r="B401" s="830"/>
      <c r="C401" s="830"/>
      <c r="D401" s="830"/>
      <c r="E401" s="830"/>
      <c r="F401" s="830"/>
      <c r="G401" s="830"/>
      <c r="H401" s="830"/>
      <c r="I401" s="83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7" t="s">
        <v>229</v>
      </c>
      <c r="B405" s="860" t="s">
        <v>1809</v>
      </c>
      <c r="C405" s="860" t="s">
        <v>700</v>
      </c>
      <c r="D405" s="856" t="s">
        <v>675</v>
      </c>
      <c r="E405" s="860" t="s">
        <v>1810</v>
      </c>
      <c r="F405" s="860" t="s">
        <v>1811</v>
      </c>
      <c r="G405" s="860" t="s">
        <v>662</v>
      </c>
      <c r="H405" s="861" t="s">
        <v>1812</v>
      </c>
      <c r="I405" s="856"/>
      <c r="J405" s="861">
        <v>1</v>
      </c>
      <c r="K405" s="849" t="s">
        <v>631</v>
      </c>
      <c r="L405" s="672" t="s">
        <v>51</v>
      </c>
      <c r="M405">
        <v>19</v>
      </c>
    </row>
    <row r="406" spans="1:13" ht="13.5" customHeight="1">
      <c r="A406" s="867"/>
      <c r="B406" s="860"/>
      <c r="C406" s="860"/>
      <c r="D406" s="856"/>
      <c r="E406" s="860"/>
      <c r="F406" s="860"/>
      <c r="G406" s="860"/>
      <c r="H406" s="861"/>
      <c r="I406" s="856"/>
      <c r="J406" s="861"/>
      <c r="K406" s="851"/>
      <c r="L406" s="674"/>
      <c r="M406">
        <v>18</v>
      </c>
    </row>
    <row r="407" spans="1:13" ht="27" customHeight="1">
      <c r="A407" s="867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67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67" t="s">
        <v>1650</v>
      </c>
      <c r="B409" s="867"/>
      <c r="C409" s="867"/>
      <c r="D409" s="867"/>
      <c r="E409" s="867"/>
      <c r="F409" s="867"/>
      <c r="G409" s="867"/>
      <c r="H409" s="867"/>
      <c r="I409" s="86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7" t="s">
        <v>2012</v>
      </c>
      <c r="B412" s="872" t="s">
        <v>2013</v>
      </c>
      <c r="C412" s="849" t="s">
        <v>21</v>
      </c>
      <c r="D412" s="752" t="s">
        <v>14</v>
      </c>
      <c r="E412" s="849" t="s">
        <v>78</v>
      </c>
      <c r="F412" s="860" t="s">
        <v>2014</v>
      </c>
      <c r="G412" s="860" t="s">
        <v>40</v>
      </c>
      <c r="H412" s="861" t="s">
        <v>614</v>
      </c>
      <c r="I412" s="856"/>
      <c r="J412" s="861">
        <v>1</v>
      </c>
      <c r="K412" s="849" t="s">
        <v>2015</v>
      </c>
      <c r="L412" s="672" t="s">
        <v>2001</v>
      </c>
      <c r="M412">
        <v>19</v>
      </c>
    </row>
    <row r="413" spans="1:13" ht="20.100000000000001" customHeight="1">
      <c r="A413" s="867"/>
      <c r="B413" s="860"/>
      <c r="C413" s="851"/>
      <c r="D413" s="754"/>
      <c r="E413" s="851"/>
      <c r="F413" s="860"/>
      <c r="G413" s="860"/>
      <c r="H413" s="861"/>
      <c r="I413" s="856"/>
      <c r="J413" s="861"/>
      <c r="K413" s="851"/>
      <c r="L413" s="674"/>
      <c r="M413">
        <v>18</v>
      </c>
    </row>
    <row r="414" spans="1:13" ht="20.100000000000001" customHeight="1">
      <c r="A414" s="867" t="s">
        <v>1650</v>
      </c>
      <c r="B414" s="867"/>
      <c r="C414" s="867"/>
      <c r="D414" s="867"/>
      <c r="E414" s="867"/>
      <c r="F414" s="867"/>
      <c r="G414" s="867"/>
      <c r="H414" s="867"/>
      <c r="I414" s="86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673"/>
      <c r="B418" s="78" t="s">
        <v>1752</v>
      </c>
      <c r="C418" s="856" t="s">
        <v>306</v>
      </c>
      <c r="D418" s="856" t="s">
        <v>322</v>
      </c>
      <c r="E418" s="856" t="s">
        <v>307</v>
      </c>
      <c r="F418" s="861">
        <v>3306</v>
      </c>
      <c r="G418" s="856" t="s">
        <v>1153</v>
      </c>
      <c r="H418" s="861" t="s">
        <v>1753</v>
      </c>
      <c r="I418" s="856" t="s">
        <v>664</v>
      </c>
      <c r="J418" s="856">
        <v>4</v>
      </c>
      <c r="K418" s="849" t="s">
        <v>631</v>
      </c>
      <c r="L418" s="672" t="s">
        <v>51</v>
      </c>
      <c r="M418">
        <v>18</v>
      </c>
    </row>
    <row r="419" spans="1:13" ht="13.5" customHeight="1">
      <c r="A419" s="673"/>
      <c r="B419" s="79" t="s">
        <v>1755</v>
      </c>
      <c r="C419" s="856"/>
      <c r="D419" s="856"/>
      <c r="E419" s="856"/>
      <c r="F419" s="861"/>
      <c r="G419" s="856"/>
      <c r="H419" s="861"/>
      <c r="I419" s="856"/>
      <c r="J419" s="856"/>
      <c r="K419" s="851"/>
      <c r="L419" s="674"/>
    </row>
    <row r="420" spans="1:13" ht="13.5" customHeight="1">
      <c r="A420" s="673"/>
      <c r="B420" s="78" t="s">
        <v>1804</v>
      </c>
      <c r="C420" s="856" t="s">
        <v>306</v>
      </c>
      <c r="D420" s="856" t="s">
        <v>322</v>
      </c>
      <c r="E420" s="856" t="s">
        <v>307</v>
      </c>
      <c r="F420" s="861" t="s">
        <v>1805</v>
      </c>
      <c r="G420" s="856" t="s">
        <v>1806</v>
      </c>
      <c r="H420" s="861" t="s">
        <v>1807</v>
      </c>
      <c r="I420" s="856" t="s">
        <v>664</v>
      </c>
      <c r="J420" s="856">
        <v>5</v>
      </c>
      <c r="K420" s="849" t="s">
        <v>631</v>
      </c>
      <c r="L420" s="672" t="s">
        <v>51</v>
      </c>
      <c r="M420">
        <v>19</v>
      </c>
    </row>
    <row r="421" spans="1:13" ht="13.5" customHeight="1">
      <c r="A421" s="673"/>
      <c r="B421" s="79" t="s">
        <v>1799</v>
      </c>
      <c r="C421" s="856"/>
      <c r="D421" s="856"/>
      <c r="E421" s="856"/>
      <c r="F421" s="861"/>
      <c r="G421" s="856"/>
      <c r="H421" s="861"/>
      <c r="I421" s="856"/>
      <c r="J421" s="856"/>
      <c r="K421" s="851"/>
      <c r="L421" s="674"/>
    </row>
    <row r="422" spans="1:13" ht="27" customHeight="1">
      <c r="A422" s="674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67" t="s">
        <v>1650</v>
      </c>
      <c r="B423" s="867"/>
      <c r="C423" s="867"/>
      <c r="D423" s="867"/>
      <c r="E423" s="867"/>
      <c r="F423" s="867"/>
      <c r="G423" s="867"/>
      <c r="H423" s="867"/>
      <c r="I423" s="86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6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6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6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6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0" t="s">
        <v>1650</v>
      </c>
      <c r="B431" s="830"/>
      <c r="C431" s="830"/>
      <c r="D431" s="830"/>
      <c r="E431" s="830"/>
      <c r="F431" s="830"/>
      <c r="G431" s="830"/>
      <c r="H431" s="830"/>
      <c r="I431" s="830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6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6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0" t="s">
        <v>1650</v>
      </c>
      <c r="B435" s="830"/>
      <c r="C435" s="830"/>
      <c r="D435" s="830"/>
      <c r="E435" s="830"/>
      <c r="F435" s="830"/>
      <c r="G435" s="830"/>
      <c r="H435" s="830"/>
      <c r="I435" s="83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691" t="s">
        <v>2031</v>
      </c>
      <c r="B438" s="259" t="s">
        <v>1764</v>
      </c>
      <c r="C438" s="757" t="s">
        <v>306</v>
      </c>
      <c r="D438" s="757" t="s">
        <v>322</v>
      </c>
      <c r="E438" s="757" t="s">
        <v>307</v>
      </c>
      <c r="F438" s="868" t="s">
        <v>1765</v>
      </c>
      <c r="G438" s="757" t="s">
        <v>329</v>
      </c>
      <c r="H438" s="870" t="s">
        <v>1766</v>
      </c>
      <c r="I438" s="740" t="s">
        <v>664</v>
      </c>
      <c r="J438" s="865">
        <v>2</v>
      </c>
      <c r="K438" s="849" t="s">
        <v>2000</v>
      </c>
      <c r="L438" s="849" t="s">
        <v>51</v>
      </c>
      <c r="M438">
        <v>18</v>
      </c>
    </row>
    <row r="439" spans="1:13" ht="13.5" customHeight="1">
      <c r="A439" s="692"/>
      <c r="B439" s="260" t="s">
        <v>2032</v>
      </c>
      <c r="C439" s="758"/>
      <c r="D439" s="758"/>
      <c r="E439" s="758"/>
      <c r="F439" s="869"/>
      <c r="G439" s="758"/>
      <c r="H439" s="871"/>
      <c r="I439" s="741"/>
      <c r="J439" s="866"/>
      <c r="K439" s="851"/>
      <c r="L439" s="851"/>
    </row>
    <row r="440" spans="1:13" ht="13.5" customHeight="1">
      <c r="A440" s="692"/>
      <c r="B440" s="261" t="s">
        <v>1798</v>
      </c>
      <c r="C440" s="809" t="s">
        <v>306</v>
      </c>
      <c r="D440" s="809" t="s">
        <v>322</v>
      </c>
      <c r="E440" s="809" t="s">
        <v>307</v>
      </c>
      <c r="F440" s="811" t="s">
        <v>1800</v>
      </c>
      <c r="G440" s="809" t="s">
        <v>1801</v>
      </c>
      <c r="H440" s="811" t="s">
        <v>1796</v>
      </c>
      <c r="I440" s="809" t="s">
        <v>664</v>
      </c>
      <c r="J440" s="665">
        <v>4</v>
      </c>
      <c r="K440" s="849" t="s">
        <v>631</v>
      </c>
      <c r="L440" s="849" t="s">
        <v>2001</v>
      </c>
      <c r="M440">
        <v>19</v>
      </c>
    </row>
    <row r="441" spans="1:13" ht="13.5" customHeight="1">
      <c r="A441" s="692"/>
      <c r="B441" s="262" t="s">
        <v>1799</v>
      </c>
      <c r="C441" s="809"/>
      <c r="D441" s="809"/>
      <c r="E441" s="809"/>
      <c r="F441" s="811"/>
      <c r="G441" s="809"/>
      <c r="H441" s="811"/>
      <c r="I441" s="809"/>
      <c r="J441" s="666"/>
      <c r="K441" s="851"/>
      <c r="L441" s="851"/>
    </row>
    <row r="442" spans="1:13" ht="20.100000000000001" customHeight="1">
      <c r="A442" s="692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692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692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692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692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692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692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693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52" t="s">
        <v>1650</v>
      </c>
      <c r="B450" s="853"/>
      <c r="C450" s="853"/>
      <c r="D450" s="853"/>
      <c r="E450" s="853"/>
      <c r="F450" s="853"/>
      <c r="G450" s="853"/>
      <c r="H450" s="853"/>
      <c r="I450" s="853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78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79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79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64" t="s">
        <v>2063</v>
      </c>
      <c r="B459" s="664"/>
      <c r="C459" s="664"/>
      <c r="D459" s="664"/>
      <c r="E459" s="664"/>
      <c r="F459" s="664"/>
      <c r="G459" s="664"/>
      <c r="H459" s="664"/>
      <c r="I459" s="66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63"/>
      <c r="B463" s="857" t="s">
        <v>1771</v>
      </c>
      <c r="C463" s="858" t="s">
        <v>311</v>
      </c>
      <c r="D463" s="858" t="s">
        <v>320</v>
      </c>
      <c r="E463" s="858" t="s">
        <v>709</v>
      </c>
      <c r="F463" s="858" t="s">
        <v>1772</v>
      </c>
      <c r="G463" s="857" t="s">
        <v>1773</v>
      </c>
      <c r="H463" s="265" t="s">
        <v>1774</v>
      </c>
      <c r="I463" s="858"/>
      <c r="J463" s="858">
        <v>1</v>
      </c>
      <c r="K463" s="752" t="s">
        <v>631</v>
      </c>
      <c r="L463" s="784" t="s">
        <v>51</v>
      </c>
      <c r="M463">
        <v>18</v>
      </c>
    </row>
    <row r="464" spans="1:13" ht="13.5" customHeight="1">
      <c r="A464" s="863"/>
      <c r="B464" s="857"/>
      <c r="C464" s="858"/>
      <c r="D464" s="858"/>
      <c r="E464" s="858"/>
      <c r="F464" s="858"/>
      <c r="G464" s="857"/>
      <c r="H464" s="266" t="s">
        <v>1777</v>
      </c>
      <c r="I464" s="858"/>
      <c r="J464" s="858"/>
      <c r="K464" s="754"/>
      <c r="L464" s="785"/>
    </row>
    <row r="465" spans="1:13" ht="13.5" customHeight="1">
      <c r="A465" s="863"/>
      <c r="B465" s="859" t="s">
        <v>1817</v>
      </c>
      <c r="C465" s="860" t="s">
        <v>700</v>
      </c>
      <c r="D465" s="856" t="s">
        <v>320</v>
      </c>
      <c r="E465" s="856" t="s">
        <v>337</v>
      </c>
      <c r="F465" s="860" t="s">
        <v>353</v>
      </c>
      <c r="G465" s="860" t="s">
        <v>1818</v>
      </c>
      <c r="H465" s="861" t="s">
        <v>1819</v>
      </c>
      <c r="I465" s="856" t="s">
        <v>638</v>
      </c>
      <c r="J465" s="861">
        <v>2</v>
      </c>
      <c r="K465" s="849" t="s">
        <v>631</v>
      </c>
      <c r="L465" s="849" t="s">
        <v>51</v>
      </c>
      <c r="M465">
        <v>19</v>
      </c>
    </row>
    <row r="466" spans="1:13" ht="13.5" customHeight="1">
      <c r="A466" s="863"/>
      <c r="B466" s="859"/>
      <c r="C466" s="860"/>
      <c r="D466" s="856"/>
      <c r="E466" s="856"/>
      <c r="F466" s="860"/>
      <c r="G466" s="860"/>
      <c r="H466" s="861"/>
      <c r="I466" s="856"/>
      <c r="J466" s="861"/>
      <c r="K466" s="851"/>
      <c r="L466" s="851"/>
    </row>
    <row r="467" spans="1:13" ht="27" customHeight="1">
      <c r="A467" s="86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63"/>
      <c r="B468" s="860" t="s">
        <v>1824</v>
      </c>
      <c r="C468" s="860" t="s">
        <v>700</v>
      </c>
      <c r="D468" s="856" t="s">
        <v>320</v>
      </c>
      <c r="E468" s="856" t="s">
        <v>709</v>
      </c>
      <c r="F468" s="856" t="s">
        <v>1772</v>
      </c>
      <c r="G468" s="860" t="s">
        <v>1825</v>
      </c>
      <c r="H468" s="268" t="s">
        <v>1826</v>
      </c>
      <c r="I468" s="856" t="s">
        <v>638</v>
      </c>
      <c r="J468" s="856">
        <v>2</v>
      </c>
      <c r="K468" s="849" t="s">
        <v>631</v>
      </c>
      <c r="L468" s="849" t="s">
        <v>51</v>
      </c>
      <c r="M468">
        <v>19</v>
      </c>
    </row>
    <row r="469" spans="1:13" ht="13.5" customHeight="1">
      <c r="A469" s="863"/>
      <c r="B469" s="860"/>
      <c r="C469" s="860"/>
      <c r="D469" s="856"/>
      <c r="E469" s="856"/>
      <c r="F469" s="856"/>
      <c r="G469" s="860"/>
      <c r="H469" s="269" t="s">
        <v>1827</v>
      </c>
      <c r="I469" s="856"/>
      <c r="J469" s="856"/>
      <c r="K469" s="851"/>
      <c r="L469" s="851"/>
    </row>
    <row r="470" spans="1:13" ht="27" customHeight="1">
      <c r="A470" s="86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64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0" t="s">
        <v>53</v>
      </c>
      <c r="B472" s="830"/>
      <c r="C472" s="830"/>
      <c r="D472" s="830"/>
      <c r="E472" s="830"/>
      <c r="F472" s="830"/>
      <c r="G472" s="830"/>
      <c r="H472" s="830"/>
      <c r="I472" s="83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0" t="s">
        <v>228</v>
      </c>
      <c r="B476" s="857" t="s">
        <v>1771</v>
      </c>
      <c r="C476" s="858" t="s">
        <v>311</v>
      </c>
      <c r="D476" s="858" t="s">
        <v>320</v>
      </c>
      <c r="E476" s="858" t="s">
        <v>709</v>
      </c>
      <c r="F476" s="858" t="s">
        <v>1772</v>
      </c>
      <c r="G476" s="857" t="s">
        <v>1773</v>
      </c>
      <c r="H476" s="265" t="s">
        <v>1774</v>
      </c>
      <c r="I476" s="858"/>
      <c r="J476" s="858">
        <v>1</v>
      </c>
      <c r="K476" s="752" t="s">
        <v>631</v>
      </c>
      <c r="L476" s="784" t="s">
        <v>51</v>
      </c>
      <c r="M476">
        <v>18</v>
      </c>
    </row>
    <row r="477" spans="1:13" ht="13.5" customHeight="1">
      <c r="A477" s="830"/>
      <c r="B477" s="857"/>
      <c r="C477" s="858"/>
      <c r="D477" s="858"/>
      <c r="E477" s="858"/>
      <c r="F477" s="858"/>
      <c r="G477" s="857"/>
      <c r="H477" s="266" t="s">
        <v>1777</v>
      </c>
      <c r="I477" s="858"/>
      <c r="J477" s="858"/>
      <c r="K477" s="754"/>
      <c r="L477" s="785"/>
    </row>
    <row r="478" spans="1:13" ht="27" customHeight="1">
      <c r="A478" s="83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0" t="s">
        <v>1650</v>
      </c>
      <c r="B479" s="830"/>
      <c r="C479" s="830"/>
      <c r="D479" s="830"/>
      <c r="E479" s="830"/>
      <c r="F479" s="830"/>
      <c r="G479" s="830"/>
      <c r="H479" s="830"/>
      <c r="I479" s="83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4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52" t="s">
        <v>53</v>
      </c>
      <c r="B487" s="853"/>
      <c r="C487" s="853"/>
      <c r="D487" s="853"/>
      <c r="E487" s="853"/>
      <c r="F487" s="853"/>
      <c r="G487" s="853"/>
      <c r="H487" s="853"/>
      <c r="I487" s="85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46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47"/>
      <c r="B494" s="848" t="s">
        <v>2186</v>
      </c>
      <c r="C494" s="848" t="s">
        <v>306</v>
      </c>
      <c r="D494" s="848" t="s">
        <v>322</v>
      </c>
      <c r="E494" s="848" t="s">
        <v>307</v>
      </c>
      <c r="F494" s="855" t="s">
        <v>1923</v>
      </c>
      <c r="G494" s="848" t="s">
        <v>662</v>
      </c>
      <c r="H494" s="855" t="s">
        <v>1924</v>
      </c>
      <c r="I494" s="848" t="s">
        <v>349</v>
      </c>
      <c r="J494" s="848">
        <v>2</v>
      </c>
      <c r="K494" s="860" t="s">
        <v>50</v>
      </c>
      <c r="L494" s="229">
        <v>23</v>
      </c>
    </row>
    <row r="495" spans="1:13" ht="12.6" customHeight="1">
      <c r="A495" s="847"/>
      <c r="B495" s="848"/>
      <c r="C495" s="848"/>
      <c r="D495" s="848"/>
      <c r="E495" s="848"/>
      <c r="F495" s="855"/>
      <c r="G495" s="848"/>
      <c r="H495" s="855"/>
      <c r="I495" s="848"/>
      <c r="J495" s="848"/>
      <c r="K495" s="860"/>
    </row>
    <row r="496" spans="1:13" ht="24.95" customHeight="1">
      <c r="A496" s="84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4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4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47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30" t="s">
        <v>53</v>
      </c>
      <c r="B500" s="830"/>
      <c r="C500" s="830"/>
      <c r="D500" s="830"/>
      <c r="E500" s="830"/>
      <c r="F500" s="830"/>
      <c r="G500" s="830"/>
      <c r="H500" s="830"/>
      <c r="I500" s="830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6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6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6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6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6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30" t="s">
        <v>2221</v>
      </c>
      <c r="B511" s="830"/>
      <c r="C511" s="830"/>
      <c r="D511" s="830"/>
      <c r="E511" s="830"/>
      <c r="F511" s="830"/>
      <c r="G511" s="830"/>
      <c r="H511" s="830"/>
      <c r="I511" s="830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6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6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6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6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6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6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6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64" t="s">
        <v>2237</v>
      </c>
      <c r="B522" s="664"/>
      <c r="C522" s="664"/>
      <c r="D522" s="664"/>
      <c r="E522" s="664"/>
      <c r="F522" s="664"/>
      <c r="G522" s="664"/>
      <c r="H522" s="664"/>
      <c r="I522" s="66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0" t="s">
        <v>2242</v>
      </c>
      <c r="B528" s="830"/>
      <c r="C528" s="830"/>
      <c r="D528" s="830"/>
      <c r="E528" s="830"/>
      <c r="F528" s="830"/>
      <c r="G528" s="830"/>
      <c r="H528" s="830"/>
      <c r="I528" s="830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64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6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6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30" t="s">
        <v>2237</v>
      </c>
      <c r="B535" s="830"/>
      <c r="C535" s="830"/>
      <c r="D535" s="830"/>
      <c r="E535" s="830"/>
      <c r="F535" s="830"/>
      <c r="G535" s="830"/>
      <c r="H535" s="830"/>
      <c r="I535" s="830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52" t="s">
        <v>2242</v>
      </c>
      <c r="B540" s="853"/>
      <c r="C540" s="853"/>
      <c r="D540" s="853"/>
      <c r="E540" s="853"/>
      <c r="F540" s="853"/>
      <c r="G540" s="853"/>
      <c r="H540" s="853"/>
      <c r="I540" s="85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0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30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67" t="s">
        <v>2237</v>
      </c>
      <c r="B546" s="867"/>
      <c r="C546" s="867"/>
      <c r="D546" s="867"/>
      <c r="E546" s="867"/>
      <c r="F546" s="867"/>
      <c r="G546" s="867"/>
      <c r="H546" s="867"/>
      <c r="I546" s="86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30" t="s">
        <v>2237</v>
      </c>
      <c r="B550" s="830"/>
      <c r="C550" s="830"/>
      <c r="D550" s="830"/>
      <c r="E550" s="830"/>
      <c r="F550" s="830"/>
      <c r="G550" s="830"/>
      <c r="H550" s="830"/>
      <c r="I550" s="830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4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4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45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45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45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45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45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45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45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45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45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30" t="s">
        <v>2237</v>
      </c>
      <c r="B565" s="830"/>
      <c r="C565" s="830"/>
      <c r="D565" s="830"/>
      <c r="E565" s="830"/>
      <c r="F565" s="830"/>
      <c r="G565" s="830"/>
      <c r="H565" s="830"/>
      <c r="I565" s="830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700" t="s">
        <v>306</v>
      </c>
      <c r="D569" s="700" t="s">
        <v>322</v>
      </c>
      <c r="E569" s="700" t="s">
        <v>307</v>
      </c>
      <c r="F569" s="700">
        <v>3306</v>
      </c>
      <c r="G569" s="700" t="s">
        <v>1153</v>
      </c>
      <c r="H569" s="700" t="s">
        <v>1911</v>
      </c>
      <c r="I569" s="700" t="s">
        <v>1111</v>
      </c>
      <c r="J569" s="700" t="s">
        <v>692</v>
      </c>
      <c r="K569" s="896" t="s">
        <v>2295</v>
      </c>
    </row>
    <row r="570" spans="1:12">
      <c r="B570" s="250" t="s">
        <v>1913</v>
      </c>
      <c r="C570" s="701"/>
      <c r="D570" s="701"/>
      <c r="E570" s="701"/>
      <c r="F570" s="701"/>
      <c r="G570" s="701"/>
      <c r="H570" s="701"/>
      <c r="I570" s="701"/>
      <c r="J570" s="701"/>
      <c r="K570" s="89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4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47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4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47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47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4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4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30" t="s">
        <v>1458</v>
      </c>
      <c r="B582" s="830"/>
      <c r="C582" s="830"/>
      <c r="D582" s="830"/>
      <c r="E582" s="830"/>
      <c r="F582" s="830"/>
      <c r="G582" s="830"/>
      <c r="H582" s="830"/>
      <c r="I582" s="830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6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6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30" t="s">
        <v>2397</v>
      </c>
      <c r="B588" s="830"/>
      <c r="C588" s="830"/>
      <c r="D588" s="830"/>
      <c r="E588" s="830"/>
      <c r="F588" s="830"/>
      <c r="G588" s="830"/>
      <c r="H588" s="830"/>
      <c r="I588" s="830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64" t="s">
        <v>2410</v>
      </c>
      <c r="B592" s="664"/>
      <c r="C592" s="664"/>
      <c r="D592" s="664"/>
      <c r="E592" s="664"/>
      <c r="F592" s="664"/>
      <c r="G592" s="664"/>
      <c r="H592" s="664"/>
      <c r="I592" s="66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6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6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6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6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6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6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64" t="s">
        <v>2410</v>
      </c>
      <c r="B601" s="664"/>
      <c r="C601" s="664"/>
      <c r="D601" s="664"/>
      <c r="E601" s="664"/>
      <c r="F601" s="664"/>
      <c r="G601" s="664"/>
      <c r="H601" s="664"/>
      <c r="I601" s="66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0" t="s">
        <v>2441</v>
      </c>
      <c r="B606" s="830"/>
      <c r="C606" s="830"/>
      <c r="D606" s="830"/>
      <c r="E606" s="830"/>
      <c r="F606" s="830"/>
      <c r="G606" s="830"/>
      <c r="H606" s="830"/>
      <c r="I606" s="830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6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6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6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30" t="s">
        <v>2410</v>
      </c>
      <c r="B613" s="830"/>
      <c r="C613" s="830"/>
      <c r="D613" s="830"/>
      <c r="E613" s="830"/>
      <c r="F613" s="830"/>
      <c r="G613" s="830"/>
      <c r="H613" s="830"/>
      <c r="I613" s="830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4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45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4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4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4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45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45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4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4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4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30" t="s">
        <v>2410</v>
      </c>
      <c r="B627" s="830"/>
      <c r="C627" s="830"/>
      <c r="D627" s="830"/>
      <c r="E627" s="830"/>
      <c r="F627" s="830"/>
      <c r="G627" s="830"/>
      <c r="H627" s="830"/>
      <c r="I627" s="830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40" t="s">
        <v>5361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5364</v>
      </c>
      <c r="L633" s="595">
        <v>1250000</v>
      </c>
    </row>
    <row r="634" spans="1:12">
      <c r="A634" s="840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5365</v>
      </c>
      <c r="L634" s="595">
        <v>750000</v>
      </c>
    </row>
    <row r="635" spans="1:12">
      <c r="A635" s="840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5373</v>
      </c>
      <c r="I635" s="614" t="s">
        <v>664</v>
      </c>
      <c r="J635" s="614" t="s">
        <v>3105</v>
      </c>
      <c r="K635" s="614" t="s">
        <v>5366</v>
      </c>
      <c r="L635" s="595">
        <v>500000</v>
      </c>
    </row>
    <row r="636" spans="1:12">
      <c r="A636" s="840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5372</v>
      </c>
      <c r="I636" s="614" t="s">
        <v>664</v>
      </c>
      <c r="J636" s="614" t="s">
        <v>5363</v>
      </c>
      <c r="K636" s="614" t="s">
        <v>5366</v>
      </c>
      <c r="L636" s="595">
        <v>1000000</v>
      </c>
    </row>
    <row r="637" spans="1:12">
      <c r="A637" s="840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5366</v>
      </c>
      <c r="L637" s="595">
        <v>500000</v>
      </c>
    </row>
    <row r="638" spans="1:12" ht="22.5">
      <c r="A638" s="840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5375</v>
      </c>
      <c r="I638" s="614" t="s">
        <v>664</v>
      </c>
      <c r="J638" s="614" t="s">
        <v>3105</v>
      </c>
      <c r="K638" s="614" t="s">
        <v>5366</v>
      </c>
      <c r="L638" s="595">
        <v>500000</v>
      </c>
    </row>
    <row r="639" spans="1:12">
      <c r="A639" s="840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40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5374</v>
      </c>
      <c r="I640" s="614" t="s">
        <v>664</v>
      </c>
      <c r="J640" s="614" t="s">
        <v>3186</v>
      </c>
      <c r="K640" s="614" t="s">
        <v>5367</v>
      </c>
      <c r="L640" s="595">
        <v>1250000</v>
      </c>
    </row>
    <row r="641" spans="1:12">
      <c r="A641" s="840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5368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40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5376</v>
      </c>
      <c r="I642" s="614" t="s">
        <v>664</v>
      </c>
      <c r="J642" s="614" t="s">
        <v>2842</v>
      </c>
      <c r="K642" s="614" t="s">
        <v>5366</v>
      </c>
      <c r="L642" s="597">
        <v>500000</v>
      </c>
    </row>
    <row r="643" spans="1:12">
      <c r="A643" s="840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5365</v>
      </c>
      <c r="L643" s="597">
        <v>1250000</v>
      </c>
    </row>
    <row r="644" spans="1:12">
      <c r="A644" s="840"/>
      <c r="B644" s="613" t="s">
        <v>5369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5371</v>
      </c>
      <c r="I644" s="613" t="s">
        <v>1111</v>
      </c>
      <c r="J644" s="613" t="s">
        <v>5370</v>
      </c>
      <c r="K644" s="614" t="s">
        <v>52</v>
      </c>
      <c r="L644" s="587">
        <v>500000</v>
      </c>
    </row>
    <row r="645" spans="1:12">
      <c r="A645" s="840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5364</v>
      </c>
      <c r="L645" s="599">
        <v>250000</v>
      </c>
    </row>
    <row r="646" spans="1:12" ht="22.5">
      <c r="A646" s="840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5377</v>
      </c>
      <c r="I646" s="614" t="s">
        <v>168</v>
      </c>
      <c r="J646" s="614" t="s">
        <v>5362</v>
      </c>
      <c r="K646" s="614" t="s">
        <v>5366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41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5366</v>
      </c>
    </row>
    <row r="650" spans="1:12">
      <c r="A650" s="842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5366</v>
      </c>
    </row>
    <row r="651" spans="1:12">
      <c r="A651" s="842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5366</v>
      </c>
    </row>
    <row r="652" spans="1:12">
      <c r="A652" s="842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5366</v>
      </c>
    </row>
    <row r="653" spans="1:12">
      <c r="A653" s="842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5366</v>
      </c>
    </row>
    <row r="654" spans="1:12">
      <c r="A654" s="843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5366</v>
      </c>
    </row>
    <row r="655" spans="1:12">
      <c r="A655" s="844" t="s">
        <v>1650</v>
      </c>
      <c r="B655" s="844"/>
      <c r="C655" s="844"/>
      <c r="D655" s="844"/>
      <c r="E655" s="844"/>
      <c r="F655" s="844"/>
      <c r="G655" s="844"/>
      <c r="H655" s="844"/>
      <c r="I655" s="844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44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5366</v>
      </c>
    </row>
    <row r="661" spans="1:11">
      <c r="A661" s="844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5381</v>
      </c>
      <c r="I661" s="613" t="s">
        <v>638</v>
      </c>
      <c r="J661" s="613">
        <v>1</v>
      </c>
      <c r="K661" s="614" t="s">
        <v>5366</v>
      </c>
    </row>
    <row r="662" spans="1:11" ht="22.5">
      <c r="A662" s="844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5378</v>
      </c>
      <c r="I662" s="613" t="s">
        <v>638</v>
      </c>
      <c r="J662" s="613">
        <v>2</v>
      </c>
      <c r="K662" s="614" t="s">
        <v>5366</v>
      </c>
    </row>
    <row r="663" spans="1:11">
      <c r="A663" s="844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5379</v>
      </c>
      <c r="I663" s="613"/>
      <c r="J663" s="613">
        <v>2</v>
      </c>
      <c r="K663" s="614" t="s">
        <v>5366</v>
      </c>
    </row>
    <row r="664" spans="1:11">
      <c r="A664" s="844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5366</v>
      </c>
    </row>
    <row r="665" spans="1:11">
      <c r="A665" s="844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5382</v>
      </c>
      <c r="I665" s="613"/>
      <c r="J665" s="613">
        <v>1</v>
      </c>
      <c r="K665" s="614" t="s">
        <v>5366</v>
      </c>
    </row>
    <row r="666" spans="1:11">
      <c r="A666" s="844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5383</v>
      </c>
      <c r="I666" s="613"/>
      <c r="J666" s="613">
        <v>2</v>
      </c>
      <c r="K666" s="614" t="s">
        <v>5366</v>
      </c>
    </row>
    <row r="667" spans="1:11" ht="33.75">
      <c r="A667" s="844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5384</v>
      </c>
      <c r="I667" s="613"/>
      <c r="J667" s="613">
        <v>2</v>
      </c>
      <c r="K667" s="614" t="s">
        <v>5366</v>
      </c>
    </row>
    <row r="668" spans="1:11">
      <c r="A668" s="844"/>
      <c r="B668" s="613" t="s">
        <v>5385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5386</v>
      </c>
      <c r="I668" s="613" t="s">
        <v>638</v>
      </c>
      <c r="J668" s="613">
        <v>2</v>
      </c>
      <c r="K668" s="614" t="s">
        <v>5366</v>
      </c>
    </row>
    <row r="669" spans="1:11">
      <c r="A669" s="844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5380</v>
      </c>
      <c r="I669" s="613" t="s">
        <v>638</v>
      </c>
      <c r="J669" s="613">
        <v>1</v>
      </c>
      <c r="K669" s="614" t="s">
        <v>5366</v>
      </c>
    </row>
    <row r="670" spans="1:11">
      <c r="A670" s="844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5387</v>
      </c>
      <c r="I670" s="613" t="s">
        <v>638</v>
      </c>
      <c r="J670" s="613">
        <v>1</v>
      </c>
      <c r="K670" s="614" t="s">
        <v>5366</v>
      </c>
    </row>
    <row r="671" spans="1:11">
      <c r="A671" s="844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5388</v>
      </c>
      <c r="I671" s="613"/>
      <c r="J671" s="613">
        <v>2</v>
      </c>
      <c r="K671" s="614" t="s">
        <v>5366</v>
      </c>
    </row>
    <row r="672" spans="1:11">
      <c r="A672" s="844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5366</v>
      </c>
    </row>
    <row r="673" spans="1:11" ht="56.25">
      <c r="A673" s="844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5389</v>
      </c>
      <c r="I673" s="613" t="s">
        <v>638</v>
      </c>
      <c r="J673" s="613">
        <v>1</v>
      </c>
      <c r="K673" s="614" t="s">
        <v>5366</v>
      </c>
    </row>
    <row r="674" spans="1:11">
      <c r="A674" s="844" t="s">
        <v>1650</v>
      </c>
      <c r="B674" s="844"/>
      <c r="C674" s="844"/>
      <c r="D674" s="844"/>
      <c r="E674" s="844"/>
      <c r="F674" s="844"/>
      <c r="G674" s="844"/>
      <c r="H674" s="844"/>
      <c r="I674" s="844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44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5366</v>
      </c>
    </row>
    <row r="678" spans="1:11">
      <c r="A678" s="844"/>
      <c r="B678" s="613" t="s">
        <v>5390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5391</v>
      </c>
      <c r="I678" s="613" t="s">
        <v>1111</v>
      </c>
      <c r="J678" s="613">
        <v>1</v>
      </c>
      <c r="K678" s="614" t="s">
        <v>5366</v>
      </c>
    </row>
    <row r="679" spans="1:11">
      <c r="A679" s="844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5359</v>
      </c>
      <c r="I679" s="614" t="s">
        <v>1259</v>
      </c>
      <c r="J679" s="614">
        <v>2</v>
      </c>
      <c r="K679" s="614" t="s">
        <v>5366</v>
      </c>
    </row>
    <row r="680" spans="1:11">
      <c r="A680" s="844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5366</v>
      </c>
    </row>
    <row r="681" spans="1:11">
      <c r="A681" s="844" t="s">
        <v>1650</v>
      </c>
      <c r="B681" s="844"/>
      <c r="C681" s="844"/>
      <c r="D681" s="844"/>
      <c r="E681" s="844"/>
      <c r="F681" s="844"/>
      <c r="G681" s="844"/>
      <c r="H681" s="844"/>
      <c r="I681" s="844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39" t="s">
        <v>1115</v>
      </c>
      <c r="B686" s="624">
        <v>46107</v>
      </c>
      <c r="C686" s="233" t="s">
        <v>124</v>
      </c>
      <c r="D686" s="233" t="s">
        <v>151</v>
      </c>
      <c r="E686" s="233" t="s">
        <v>5264</v>
      </c>
      <c r="F686" s="622" t="s">
        <v>3593</v>
      </c>
      <c r="G686" s="623" t="s">
        <v>34</v>
      </c>
      <c r="H686" s="234" t="s">
        <v>5300</v>
      </c>
      <c r="I686" s="233"/>
      <c r="J686" s="233">
        <v>1</v>
      </c>
      <c r="K686" s="614" t="s">
        <v>5366</v>
      </c>
    </row>
    <row r="687" spans="1:11">
      <c r="A687" s="839"/>
      <c r="B687" s="624">
        <v>46108</v>
      </c>
      <c r="C687" s="233" t="s">
        <v>49</v>
      </c>
      <c r="D687" s="233" t="s">
        <v>151</v>
      </c>
      <c r="E687" s="233" t="s">
        <v>5264</v>
      </c>
      <c r="F687" s="622" t="s">
        <v>3593</v>
      </c>
      <c r="G687" s="623" t="s">
        <v>34</v>
      </c>
      <c r="H687" s="234" t="s">
        <v>5300</v>
      </c>
      <c r="I687" s="233"/>
      <c r="J687" s="233">
        <v>1</v>
      </c>
      <c r="K687" s="614" t="s">
        <v>5366</v>
      </c>
    </row>
    <row r="688" spans="1:11">
      <c r="A688" s="839" t="s">
        <v>1650</v>
      </c>
      <c r="B688" s="839"/>
      <c r="C688" s="839"/>
      <c r="D688" s="839"/>
      <c r="E688" s="839"/>
      <c r="F688" s="839"/>
      <c r="G688" s="839"/>
      <c r="H688" s="839"/>
      <c r="I688" s="839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40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5366</v>
      </c>
    </row>
    <row r="693" spans="1:12">
      <c r="A693" s="840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5366</v>
      </c>
    </row>
    <row r="694" spans="1:12">
      <c r="A694" s="840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5366</v>
      </c>
    </row>
    <row r="695" spans="1:12">
      <c r="A695" s="840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5366</v>
      </c>
    </row>
    <row r="696" spans="1:12">
      <c r="A696" s="840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5366</v>
      </c>
    </row>
    <row r="697" spans="1:12">
      <c r="A697" s="840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5366</v>
      </c>
    </row>
    <row r="698" spans="1:12">
      <c r="A698" s="840"/>
      <c r="B698" s="615">
        <v>46111</v>
      </c>
      <c r="C698" s="614" t="s">
        <v>49</v>
      </c>
      <c r="D698" s="614" t="s">
        <v>151</v>
      </c>
      <c r="E698" s="614" t="s">
        <v>5264</v>
      </c>
      <c r="F698" s="616" t="s">
        <v>4949</v>
      </c>
      <c r="G698" s="617" t="s">
        <v>482</v>
      </c>
      <c r="H698" s="613" t="s">
        <v>5325</v>
      </c>
      <c r="I698" s="614" t="s">
        <v>126</v>
      </c>
      <c r="J698" s="614">
        <v>1</v>
      </c>
      <c r="K698" s="614" t="s">
        <v>5366</v>
      </c>
      <c r="L698" s="626">
        <f>250000*7</f>
        <v>1750000</v>
      </c>
    </row>
    <row r="699" spans="1:12">
      <c r="A699" s="839" t="s">
        <v>1650</v>
      </c>
      <c r="B699" s="839"/>
      <c r="C699" s="839"/>
      <c r="D699" s="839"/>
      <c r="E699" s="839"/>
      <c r="F699" s="839"/>
      <c r="G699" s="839"/>
      <c r="H699" s="839"/>
      <c r="I699" s="839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5419</v>
      </c>
      <c r="D4" t="s">
        <v>5420</v>
      </c>
    </row>
    <row r="5" spans="2:13">
      <c r="B5" t="s">
        <v>5415</v>
      </c>
      <c r="C5" s="109">
        <v>160000</v>
      </c>
      <c r="D5" s="109"/>
    </row>
    <row r="6" spans="2:13">
      <c r="B6" t="s">
        <v>5416</v>
      </c>
      <c r="C6" s="109">
        <f>59500*2</f>
        <v>119000</v>
      </c>
      <c r="D6" s="109">
        <f>186000*2</f>
        <v>372000</v>
      </c>
      <c r="H6" t="s">
        <v>5435</v>
      </c>
    </row>
    <row r="7" spans="2:13">
      <c r="B7" t="s">
        <v>5417</v>
      </c>
      <c r="C7" s="109">
        <v>250000</v>
      </c>
      <c r="D7" s="109"/>
      <c r="H7" s="629" t="s">
        <v>162</v>
      </c>
      <c r="I7" s="629" t="s">
        <v>5424</v>
      </c>
      <c r="J7" s="629" t="s">
        <v>5425</v>
      </c>
      <c r="K7" s="629" t="s">
        <v>5431</v>
      </c>
      <c r="L7" s="629" t="s">
        <v>1458</v>
      </c>
      <c r="M7" s="629" t="s">
        <v>3324</v>
      </c>
    </row>
    <row r="8" spans="2:13">
      <c r="B8" t="s">
        <v>5418</v>
      </c>
      <c r="C8" s="109">
        <v>500000</v>
      </c>
      <c r="D8" s="109"/>
      <c r="H8" s="629" t="s">
        <v>5427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5440</v>
      </c>
    </row>
    <row r="9" spans="2:13">
      <c r="C9" s="109"/>
      <c r="D9" s="109"/>
      <c r="H9" s="629" t="s">
        <v>5428</v>
      </c>
      <c r="I9" s="381">
        <f>70000*2</f>
        <v>140000</v>
      </c>
      <c r="J9" s="381"/>
      <c r="K9" s="381"/>
      <c r="L9" s="381">
        <f>SUM(I9:J9)</f>
        <v>140000</v>
      </c>
      <c r="M9" s="629" t="s">
        <v>5439</v>
      </c>
    </row>
    <row r="10" spans="2:13">
      <c r="C10" s="109"/>
      <c r="D10" s="109"/>
      <c r="H10" s="629" t="s">
        <v>5421</v>
      </c>
      <c r="I10" s="636">
        <f>250000*6</f>
        <v>1500000</v>
      </c>
      <c r="J10" s="636"/>
      <c r="K10" s="636">
        <f t="shared" ref="K10" si="0">46875*13</f>
        <v>609375</v>
      </c>
      <c r="L10" s="381">
        <f>SUM(I10:K10)</f>
        <v>2109375</v>
      </c>
      <c r="M10" s="629" t="s">
        <v>5441</v>
      </c>
    </row>
    <row r="11" spans="2:13">
      <c r="C11" s="109"/>
      <c r="D11" s="109"/>
      <c r="H11" s="629" t="s">
        <v>5422</v>
      </c>
      <c r="I11" s="381">
        <v>550000</v>
      </c>
      <c r="J11" s="629"/>
      <c r="K11" s="636"/>
      <c r="L11" s="381">
        <f>SUM(I11:J11)</f>
        <v>550000</v>
      </c>
      <c r="M11" s="629" t="s">
        <v>5423</v>
      </c>
    </row>
    <row r="12" spans="2:13">
      <c r="C12" s="109"/>
      <c r="D12" s="109"/>
      <c r="H12" s="664" t="s">
        <v>5433</v>
      </c>
      <c r="I12" s="664"/>
      <c r="J12" s="664"/>
      <c r="K12" s="664"/>
      <c r="L12" s="637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5436</v>
      </c>
    </row>
    <row r="15" spans="2:13">
      <c r="H15" s="629" t="s">
        <v>162</v>
      </c>
      <c r="I15" s="629" t="s">
        <v>5424</v>
      </c>
      <c r="J15" s="629" t="s">
        <v>5425</v>
      </c>
      <c r="K15" s="629" t="s">
        <v>5432</v>
      </c>
      <c r="L15" s="629" t="s">
        <v>1458</v>
      </c>
      <c r="M15" s="629" t="s">
        <v>3324</v>
      </c>
    </row>
    <row r="16" spans="2:13">
      <c r="H16" s="629" t="s">
        <v>5427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5426</v>
      </c>
    </row>
    <row r="17" spans="8:13">
      <c r="H17" s="629" t="s">
        <v>5429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5438</v>
      </c>
    </row>
    <row r="18" spans="8:13">
      <c r="H18" s="629" t="s">
        <v>5421</v>
      </c>
      <c r="I18" s="636">
        <f>250000*8</f>
        <v>2000000</v>
      </c>
      <c r="J18" s="636"/>
      <c r="K18" s="636">
        <f>46875*4</f>
        <v>187500</v>
      </c>
      <c r="L18" s="381">
        <f>SUM(I18:K18)</f>
        <v>2187500</v>
      </c>
      <c r="M18" s="629" t="s">
        <v>5430</v>
      </c>
    </row>
    <row r="19" spans="8:13">
      <c r="H19" s="629" t="s">
        <v>5422</v>
      </c>
      <c r="I19" s="381">
        <v>550000</v>
      </c>
      <c r="J19" s="629"/>
      <c r="K19" s="629"/>
      <c r="L19" s="381">
        <f>SUM(I19:J19)</f>
        <v>550000</v>
      </c>
      <c r="M19" s="629" t="s">
        <v>5423</v>
      </c>
    </row>
    <row r="20" spans="8:13">
      <c r="H20" s="664" t="s">
        <v>5434</v>
      </c>
      <c r="I20" s="664"/>
      <c r="J20" s="664"/>
      <c r="K20" s="664"/>
      <c r="L20" s="637">
        <f>SUM(L16:L19)</f>
        <v>3647500</v>
      </c>
    </row>
    <row r="22" spans="8:13">
      <c r="H22" s="638" t="s">
        <v>5437</v>
      </c>
      <c r="I22" s="63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2026-04-10T02:53:43Z</dcterms:modified>
</cp:coreProperties>
</file>