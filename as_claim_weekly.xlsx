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99" i="4" l="1"/>
  <c r="L698" i="4"/>
  <c r="J688" i="4"/>
  <c r="J681" i="4"/>
  <c r="J674" i="4"/>
  <c r="J655" i="4"/>
  <c r="M1368" i="2" l="1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<sst xmlns="http://schemas.openxmlformats.org/spreadsheetml/2006/main" count="19884" uniqueCount="5503">
  <si>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</si>
  <si>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</si>
  <si>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</si>
  <si>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</si>
  <si>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</si>
  <si>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</si>
  <si>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</si>
  <si>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</si>
  <si>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</si>
  <si>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</si>
  <si>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</si>
  <si>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</si>
  <si>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</si>
  <si>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</si>
  <si>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</si>
  <si>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</si>
  <si>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</si>
  <si>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</si>
  <si>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</si>
  <si>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</si>
  <si>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</si>
  <si>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</si>
  <si>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</si>
  <si>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</si>
  <si>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</si>
  <si>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</si>
  <si>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</si>
  <si>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</si>
  <si>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</si>
  <si>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</si>
  <si>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</si>
  <si>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</si>
  <si>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</si>
  <si>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</si>
  <si>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</si>
  <si>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</si>
  <si>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</si>
  <si>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</si>
  <si>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</si>
  <si>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</si>
  <si>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</si>
  <si>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</si>
  <si>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</si>
  <si>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</si>
  <si>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</si>
  <si>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</si>
  <si>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</si>
  <si>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</si>
  <si>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</si>
  <si>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</si>
  <si>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</si>
  <si>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</si>
  <si>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</si>
  <si>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</si>
  <si>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</si>
  <si>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</si>
  <si>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</si>
  <si>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</si>
  <si>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</si>
  <si>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</si>
  <si>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</si>
  <si>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</si>
  <si>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</si>
  <si>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</si>
  <si>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</si>
  <si>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</si>
  <si>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</si>
  <si>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</si>
  <si>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</si>
  <si>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</si>
  <si>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</si>
  <si>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</si>
  <si>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</si>
  <si>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</si>
  <si>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</si>
  <si>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</si>
  <si>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</si>
  <si>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</si>
  <si>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</si>
  <si>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</si>
  <si>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</si>
  <si>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</si>
  <si>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</si>
  <si>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</si>
  <si>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</si>
  <si>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</si>
  <si>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</si>
  <si>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</si>
  <si>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</si>
  <si>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</si>
  <si>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</si>
  <si>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</si>
  <si>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</si>
  <si>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</si>
  <si>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</si>
  <si>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</si>
  <si>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</si>
  <si>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</si>
  <si>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</si>
  <si>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</si>
  <si>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</si>
  <si>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</si>
  <si>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</si>
  <si>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</si>
  <si>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</si>
  <si>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</si>
  <si>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</si>
  <si>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</si>
  <si>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</si>
  <si>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</si>
  <si>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</si>
  <si>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</si>
  <si>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</si>
  <si>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</si>
  <si>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</si>
  <si>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</si>
  <si>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</si>
  <si>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</si>
  <si>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</si>
  <si>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</si>
  <si>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</si>
  <si>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</si>
  <si>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</si>
  <si>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</si>
  <si>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</si>
  <si>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</si>
  <si>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</si>
  <si>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</si>
  <si>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</si>
  <si>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</si>
  <si>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</si>
  <si>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</si>
  <si>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</si>
  <si>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</si>
  <si>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</si>
  <si>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</si>
  <si>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</si>
  <si>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</si>
  <si>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</si>
  <si>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</si>
  <si>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</si>
  <si>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</si>
  <si>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</si>
  <si>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</si>
  <si>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</si>
  <si>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</si>
  <si>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</si>
  <si>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</si>
  <si>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</si>
  <si>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</si>
  <si>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</si>
  <si>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</si>
  <si>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</si>
  <si>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</si>
  <si>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</si>
  <si>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</si>
  <si>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</si>
  <si>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</si>
  <si>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</si>
  <si>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</si>
  <si>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</si>
  <si>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</si>
  <si>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</si>
  <si>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</si>
  <si>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</si>
  <si>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</si>
  <si>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</si>
  <si>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</si>
  <si>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</si>
  <si>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</si>
  <si>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</si>
  <si>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</si>
  <si>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</si>
  <si>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</si>
  <si>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</si>
  <si>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</si>
  <si>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</si>
  <si>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</si>
  <si>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</si>
  <si>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</si>
  <si>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</si>
  <si>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</si>
  <si>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</si>
  <si>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</si>
  <si>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</si>
  <si>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</si>
  <si>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</si>
  <si>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</si>
  <si>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</si>
  <si>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</si>
  <si>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</si>
  <si>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</si>
  <si>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</si>
  <si>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</si>
  <si>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</si>
  <si>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</si>
  <si>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</si>
  <si>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</si>
  <si>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</si>
  <si>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</si>
  <si>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</si>
  <si>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</si>
  <si>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</si>
  <si>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</si>
  <si>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</si>
  <si>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</si>
  <si>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</si>
  <si>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</si>
  <si>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</si>
  <si>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</si>
  <si>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</si>
  <si>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</si>
  <si>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</si>
  <si>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</si>
  <si>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</si>
  <si>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</si>
  <si>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</si>
  <si>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</si>
  <si>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</si>
  <si>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</si>
  <si>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</si>
  <si>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</si>
  <si>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</si>
  <si>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</si>
  <si>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</si>
  <si>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</si>
  <si>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</si>
  <si>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</si>
  <si>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</si>
  <si>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</si>
  <si>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</si>
  <si>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</si>
  <si>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</si>
  <si>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</si>
  <si>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</si>
  <si>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</si>
  <si>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</si>
  <si>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</si>
  <si>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</si>
  <si>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</si>
  <si>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</si>
  <si>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</si>
  <si>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</si>
  <si>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</si>
  <si>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</si>
  <si>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</si>
  <si>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</si>
  <si>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</si>
  <si>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</si>
  <si>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</si>
  <si>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</si>
  <si>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</si>
  <si>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</si>
  <si>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</si>
  <si>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</si>
  <si>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</si>
  <si>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</si>
  <si>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</si>
  <si>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</si>
  <si>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</si>
  <si>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</si>
  <si>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</si>
  <si>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</si>
  <si>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</si>
  <si>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</si>
  <si>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</si>
  <si>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</si>
  <si>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</si>
  <si>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</si>
  <si>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</si>
  <si>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</si>
  <si>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</si>
  <si>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</si>
  <si>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</si>
  <si>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</si>
  <si>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</si>
  <si>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</si>
  <si>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</si>
  <si>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</si>
  <si>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</si>
  <si>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</si>
  <si>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</si>
  <si>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</si>
  <si>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</si>
  <si>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</si>
  <si>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</si>
  <si>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</si>
  <si>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</si>
  <si>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</si>
  <si>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</si>
  <si>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</si>
  <si>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</si>
  <si>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</si>
  <si>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</si>
  <si>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</si>
  <si>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</si>
  <si>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</si>
  <si>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</si>
  <si>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</si>
  <si>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</si>
  <si>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</si>
  <si>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</si>
  <si>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</si>
  <si>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</si>
  <si>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</si>
  <si>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</si>
  <si>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</si>
  <si>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</si>
  <si>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</si>
  <si>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</si>
  <si>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</si>
  <si>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</si>
  <si>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</si>
  <si>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</si>
  <si>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</si>
  <si>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</si>
  <si>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</si>
  <si>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</si>
  <si>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</si>
  <si>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</si>
  <si>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</si>
  <si>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</si>
  <si>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</si>
  <si>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</si>
  <si>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</si>
  <si>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</si>
  <si>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</si>
  <si>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</si>
  <si>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</si>
  <si>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</si>
  <si>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</si>
  <si>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</si>
  <si>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</si>
  <si>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</si>
  <si>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</si>
  <si>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</si>
  <si>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</si>
  <si>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</si>
  <si>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</si>
  <si>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</si>
  <si>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</si>
  <si>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</si>
  <si>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</si>
  <si>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</si>
  <si>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</si>
  <si>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</si>
  <si>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</si>
  <si>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</si>
  <si>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</si>
  <si>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</si>
  <si>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</si>
  <si>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</si>
  <si>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</si>
  <si>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</si>
  <si>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</si>
  <si>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</si>
  <si>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</si>
  <si>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</si>
  <si>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</si>
  <si>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</si>
  <si>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</si>
  <si>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</si>
  <si>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</si>
  <si>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</si>
  <si>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</si>
  <si>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</si>
  <si>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</si>
  <si>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</si>
  <si>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</si>
  <si>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</si>
  <si>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</si>
  <si>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</si>
  <si>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</si>
  <si>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</si>
  <si>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</si>
  <si>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</si>
  <si>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</si>
  <si>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</si>
  <si>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</si>
  <si>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</si>
  <si>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</si>
  <si>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</si>
  <si>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</si>
  <si>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</si>
  <si>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</si>
  <si>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</si>
  <si>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</si>
  <si>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</si>
  <si>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</si>
  <si>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</si>
  <si>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</si>
  <si>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</si>
  <si>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</si>
  <si>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</si>
  <si>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</si>
  <si>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</si>
  <si>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</si>
  <si>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</si>
  <si>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</si>
  <si>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</si>
  <si>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</si>
  <si>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</si>
  <si>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</si>
  <si>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</si>
  <si>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</si>
  <si>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</si>
  <si>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</si>
  <si>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</si>
  <si>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</si>
  <si>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</si>
  <si>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</si>
  <si>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</si>
  <si>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</si>
  <si>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</si>
  <si>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</si>
  <si>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</si>
  <si>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</si>
  <si>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</si>
  <si>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</si>
  <si>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</si>
  <si>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</si>
  <si>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</si>
  <si>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</si>
  <si>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</si>
  <si>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</si>
  <si>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</si>
  <si>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</si>
  <si>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</si>
  <si>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</si>
  <si>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</si>
  <si>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</si>
  <si>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</si>
  <si>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</si>
  <si>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</si>
  <si>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</si>
  <si>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</si>
  <si>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</si>
  <si>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</si>
  <si>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</si>
  <si>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</si>
  <si>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</si>
  <si>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</si>
  <si>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</si>
  <si>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</si>
  <si>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</si>
  <si>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</si>
  <si>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</si>
  <si>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</si>
  <si>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</si>
  <si>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</si>
  <si>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</si>
  <si>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</si>
  <si>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</si>
  <si>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</si>
  <si>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</si>
  <si>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</si>
  <si>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</si>
  <si>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</si>
  <si>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</si>
  <si>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</si>
  <si>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</si>
  <si>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</si>
  <si>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</si>
  <si>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</si>
  <si>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</si>
  <si>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</si>
  <si>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</si>
  <si>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</si>
  <si>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</si>
  <si>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</si>
  <si>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</si>
  <si>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</si>
  <si>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</si>
  <si>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</si>
  <si>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</si>
  <si>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</si>
  <si>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</si>
  <si>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</si>
  <si>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</si>
  <si>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</si>
  <si>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</si>
  <si>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</si>
  <si>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</si>
  <si>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</si>
  <si>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</si>
  <si>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</si>
  <si>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</si>
  <si>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</si>
  <si>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</si>
  <si>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</si>
  <si>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</si>
  <si>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</si>
  <si>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</si>
  <si>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</si>
  <si>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</si>
  <si>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</si>
  <si>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</si>
  <si>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</si>
  <si>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</si>
  <si>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</si>
  <si>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</si>
  <si>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</si>
  <si>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</si>
  <si>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</si>
  <si>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</si>
  <si>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</si>
  <si>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</si>
  <si>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</si>
  <si>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</si>
  <si>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</si>
  <si>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</si>
  <si>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</si>
  <si>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</si>
  <si>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</si>
  <si>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</si>
  <si>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</si>
  <si>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</si>
  <si>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</si>
  <si>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</si>
  <si>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</si>
  <si>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</si>
  <si>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</si>
  <si>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</si>
  <si>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</si>
  <si>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</si>
  <si>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</si>
  <si>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</si>
  <si>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</si>
  <si>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</si>
  <si>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</si>
  <si>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</si>
  <si>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</si>
  <si>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</si>
  <si>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</si>
  <si>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</si>
  <si>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</si>
  <si>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</si>
  <si>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</si>
  <si>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</si>
  <si>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</si>
  <si>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</si>
  <si>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</si>
  <si>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</si>
  <si>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</si>
  <si>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</si>
  <si>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</si>
  <si>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</si>
  <si>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</si>
  <si>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</si>
  <si>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</si>
  <si>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</si>
  <si>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</si>
  <si>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</si>
  <si>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</si>
  <si>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</si>
  <si>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</si>
  <si>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</si>
  <si>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</si>
  <si>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</si>
  <si>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</si>
  <si>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</si>
  <si>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</si>
  <si>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</si>
  <si>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</si>
  <si>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</si>
  <si>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</si>
  <si>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</si>
  <si>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</si>
  <si>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</si>
  <si>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</si>
  <si>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</si>
  <si>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</si>
  <si>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</si>
  <si>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</si>
  <si>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</si>
  <si>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</si>
  <si>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</si>
  <si>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</si>
  <si>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</si>
  <si>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</si>
  <si>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</si>
  <si>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</si>
  <si>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</si>
  <si>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</si>
  <si>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</si>
  <si>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</si>
  <si>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</si>
  <si>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</si>
  <si>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</si>
  <si>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</si>
  <si>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</si>
  <si>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</si>
  <si>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</si>
  <si>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</si>
  <si>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</si>
  <si>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</si>
  <si>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</si>
  <si>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</si>
  <si>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</si>
  <si>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</si>
  <si>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</si>
  <si>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</si>
  <si>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</si>
  <si>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</si>
  <si>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</si>
  <si>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</si>
  <si>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</si>
  <si>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</si>
  <si>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</si>
  <si>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</si>
  <si>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</si>
  <si>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</si>
  <si>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</si>
  <si>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</si>
  <si>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</si>
  <si>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</si>
  <si>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</si>
  <si>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</si>
  <si>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</si>
  <si>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</si>
  <si>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</si>
  <si>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</si>
  <si>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</si>
  <si>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</si>
  <si>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</si>
  <si>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</si>
  <si>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</si>
  <si>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</si>
  <si>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</si>
  <si>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</si>
  <si>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</si>
  <si>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</si>
  <si>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</si>
  <si>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</si>
  <si>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</si>
  <si>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</si>
  <si>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</si>
  <si>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</si>
  <si>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</si>
  <si>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</si>
  <si>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</si>
  <si>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</si>
  <si>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</si>
  <si>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</si>
  <si>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</si>
  <si>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</si>
  <si>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</si>
  <si>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</si>
  <si>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</si>
  <si>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</si>
  <si>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</si>
  <si>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</si>
  <si>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</si>
  <si>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</si>
  <si>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</si>
  <si>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</si>
  <si>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</si>
  <si>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</si>
  <si>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</si>
  <si>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</si>
  <si>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</si>
  <si>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</si>
  <si>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</si>
  <si>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</si>
  <si>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</si>
  <si>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</si>
  <si>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</si>
  <si>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</si>
  <si>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</si>
  <si>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</si>
  <si>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</si>
  <si>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</si>
  <si>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</si>
  <si>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</si>
  <si>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</si>
  <si>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</si>
  <si>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</si>
  <si>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</si>
  <si>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</si>
  <si>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</si>
  <si>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</si>
  <si>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</si>
  <si>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</si>
  <si>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</si>
  <si>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</si>
  <si>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</si>
  <si>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</si>
  <si>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</si>
  <si>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</si>
  <si>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</si>
  <si>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</si>
  <si>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</si>
  <si>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</si>
  <si>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</si>
  <si>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</si>
  <si>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</si>
  <si>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</si>
  <si>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</si>
  <si>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</si>
  <si>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</si>
  <si>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</si>
  <si>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</si>
  <si>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</si>
  <si>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</si>
  <si>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</si>
  <si>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</si>
  <si>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</si>
  <si>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</si>
  <si>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</si>
  <si>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</si>
  <si>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</si>
  <si>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</si>
  <si>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</si>
  <si>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</si>
  <si>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</si>
  <si>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</si>
  <si>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</si>
  <si>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</si>
  <si>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</si>
  <si>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</si>
  <si>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</si>
  <si>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</si>
  <si>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</si>
  <si>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</si>
  <si>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</si>
  <si>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</si>
  <si>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</si>
  <si>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</si>
  <si>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</si>
  <si>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</si>
  <si>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</si>
  <si>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</si>
  <si>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</si>
  <si>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</si>
  <si>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</si>
  <si>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</si>
  <si>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</si>
  <si>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</si>
  <si>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</si>
  <si>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</si>
  <si>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</si>
  <si>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</si>
  <si>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</si>
  <si>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</si>
  <si>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</si>
  <si>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</si>
  <si>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</si>
  <si>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</si>
  <si>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</si>
  <si>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</si>
  <si>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</si>
  <si>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</si>
  <si>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</si>
  <si>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</si>
  <si>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</si>
  <si>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</si>
  <si>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</si>
  <si>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</si>
  <si>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</si>
  <si>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</si>
  <si>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</si>
  <si>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</si>
  <si>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</si>
  <si>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</si>
  <si>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</si>
  <si>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</si>
  <si>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</si>
  <si>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</si>
  <si>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</si>
  <si>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</si>
  <si>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</si>
  <si>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</si>
  <si>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</si>
  <si>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</si>
  <si>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</si>
  <si>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</si>
  <si>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</si>
  <si>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</si>
  <si>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</si>
  <si>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</si>
  <si>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</si>
  <si>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</si>
  <si>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</si>
  <si>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</si>
  <si>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</si>
  <si>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</si>
  <si>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</si>
  <si>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</si>
  <si>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</si>
  <si>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</si>
  <si>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</si>
  <si>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</si>
  <si>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</si>
  <si>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</si>
  <si>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</si>
  <si>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</si>
  <si>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</si>
  <si>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</si>
  <si>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</si>
  <si>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</si>
  <si>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</si>
  <si>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</si>
  <si>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</si>
  <si>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</si>
  <si>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</si>
  <si>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</si>
  <si>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</si>
  <si>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</si>
  <si>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</si>
  <si>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</si>
  <si>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</si>
  <si>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</si>
  <si>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</si>
  <si>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</si>
  <si>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</si>
  <si>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</si>
  <si>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</si>
  <si>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</si>
  <si>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</si>
  <si>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</si>
  <si>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</si>
  <si>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</si>
  <si>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</si>
  <si>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</si>
  <si>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</si>
  <si>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</si>
  <si>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</si>
  <si>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</si>
  <si>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</si>
  <si>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</si>
  <si>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</si>
  <si>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</si>
  <si>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</si>
  <si>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</si>
  <si>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</si>
  <si>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</si>
  <si>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</si>
  <si>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</si>
  <si>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</si>
  <si>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</si>
  <si>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</si>
  <si>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</si>
  <si>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</si>
  <si>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</si>
  <si>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</si>
  <si>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</si>
  <si>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</si>
  <si>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</si>
  <si>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</si>
  <si>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</si>
  <si>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</si>
  <si>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</si>
  <si>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</si>
  <si>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</si>
  <si>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</si>
  <si>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</si>
  <si>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</si>
  <si>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</si>
  <si>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</si>
  <si>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</si>
  <si>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</si>
  <si>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</si>
  <si>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</si>
  <si>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</si>
  <si>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</si>
  <si>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</si>
  <si>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</si>
  <si>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</si>
  <si>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</si>
  <si>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</si>
  <si>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</si>
  <si>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</si>
  <si>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</si>
  <si>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</si>
  <si>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</si>
  <si>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</si>
  <si>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</si>
  <si>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</si>
  <si>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</si>
  <si>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</si>
  <si>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</si>
  <si>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</si>
  <si>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</si>
  <si>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</si>
  <si>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</si>
  <si>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</si>
  <si>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</si>
  <si>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</si>
  <si>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</si>
  <si>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</si>
  <si>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</si>
  <si>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</si>
  <si>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</si>
  <si>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</si>
  <si>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</si>
  <si>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</si>
  <si>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</si>
  <si>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</si>
  <si>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</si>
  <si>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</si>
  <si>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</si>
  <si>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</si>
  <si>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</si>
  <si>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</si>
  <si>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</si>
  <si>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</si>
  <si>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</si>
  <si>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</si>
  <si>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</si>
  <si>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</si>
  <si>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</si>
  <si>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</si>
  <si>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</si>
  <si>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</si>
  <si>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</si>
  <si>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</si>
  <si>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</si>
  <si>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</si>
  <si>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</si>
  <si>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</si>
  <si>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</si>
  <si>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</si>
  <si>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</si>
  <si>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</si>
  <si>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</si>
  <si>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</si>
  <si>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</si>
  <si>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</si>
  <si>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</si>
  <si>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</si>
  <si>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</si>
  <si>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</si>
  <si>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</si>
  <si>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</si>
  <si>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</si>
  <si>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</si>
  <si>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</si>
  <si>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</si>
  <si>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</si>
  <si>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</si>
  <si>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</si>
  <si>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</si>
  <si>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</si>
  <si>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</si>
  <si>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</si>
  <si>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</si>
  <si>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</si>
  <si>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</si>
  <si>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</si>
  <si>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</si>
  <si>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</si>
  <si>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</si>
  <si>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</si>
  <si>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</si>
  <si>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</si>
  <si>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</si>
  <si>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</si>
  <si>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</si>
  <si>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</si>
  <si>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</si>
  <si>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</si>
  <si>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</si>
  <si>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</si>
  <si>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</si>
  <si>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</si>
  <si>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</si>
  <si>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</si>
  <si>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</si>
  <si>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</si>
  <si>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</si>
  <si>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</si>
  <si>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</si>
  <si>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</si>
  <si>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</si>
  <si>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</si>
  <si>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</si>
  <si>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</si>
  <si>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</si>
  <si>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</si>
  <si>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</si>
  <si>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</si>
  <si>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</si>
  <si>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</si>
  <si>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</si>
  <si>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</si>
  <si>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</si>
  <si>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</si>
  <si>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</si>
  <si>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</si>
  <si>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</si>
  <si>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</si>
  <si>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</si>
  <si>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</si>
  <si>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</si>
  <si>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</si>
  <si>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</si>
  <si>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</si>
  <si>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</si>
  <si>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</si>
  <si>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</si>
  <si>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</si>
  <si>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</si>
  <si>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</si>
  <si>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</si>
  <si>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</si>
  <si>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</si>
  <si>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</si>
  <si>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</si>
  <si>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</si>
  <si>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</si>
  <si>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</si>
  <si>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</si>
  <si>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</si>
  <si>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</si>
  <si>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</si>
  <si>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</si>
  <si>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</si>
  <si>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</si>
  <si>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</si>
  <si>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</si>
  <si>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</si>
  <si>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</si>
  <si>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</si>
  <si>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</si>
  <si>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</si>
  <si>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</si>
  <si>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</si>
  <si>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</si>
  <si>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</si>
  <si>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</si>
  <si>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</si>
  <si>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</si>
  <si>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</si>
  <si>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</si>
  <si>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</si>
  <si>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</si>
  <si>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</si>
  <si>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</si>
  <si>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</si>
  <si>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</si>
  <si>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</si>
  <si>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</si>
  <si>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</si>
  <si>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</si>
  <si>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</si>
  <si>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</si>
  <si>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</si>
  <si>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</si>
  <si>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</si>
  <si>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</si>
  <si>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</si>
  <si>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</si>
  <si>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</si>
  <si>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</si>
  <si>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</si>
  <si>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</si>
  <si>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</si>
  <si>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</si>
  <si>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</si>
  <si>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</si>
  <si>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</si>
  <si>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</si>
  <si>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</si>
  <si>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</si>
  <si>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</si>
  <si>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</si>
  <si>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</si>
  <si>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</si>
  <si>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</si>
  <si>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</si>
  <si>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</si>
  <si>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</si>
  <si>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</si>
  <si>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</si>
  <si>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</si>
  <si>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</si>
  <si>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</si>
  <si>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</si>
  <si>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</si>
  <si>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</si>
  <si>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</si>
  <si>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</si>
  <si>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</si>
  <si>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</si>
  <si>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</si>
  <si>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</si>
  <si>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</si>
  <si>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</si>
  <si>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</si>
  <si>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</si>
  <si>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</si>
  <si>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</si>
  <si>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</si>
  <si>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</si>
  <si>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</si>
  <si>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</si>
  <si>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</si>
  <si>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</si>
  <si>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</si>
  <si>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</si>
  <si>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</si>
  <si>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</si>
  <si>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</si>
  <si>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</si>
  <si>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</si>
  <si>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</si>
  <si>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</si>
  <si>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</si>
  <si>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</si>
  <si>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</si>
  <si>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</si>
  <si>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</si>
  <si>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</si>
  <si>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</si>
  <si>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</si>
  <si>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</si>
  <si>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</si>
  <si>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</si>
  <si>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</si>
  <si>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</si>
  <si>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</si>
  <si>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</si>
  <si>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</si>
  <si>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</si>
  <si>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</si>
  <si>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</si>
  <si>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</si>
  <si>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</si>
  <si>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</si>
  <si>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</si>
  <si>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</si>
  <si>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</si>
  <si>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</si>
  <si>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</si>
  <si>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</si>
  <si>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</si>
  <si>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</si>
  <si>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</si>
  <si>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</si>
  <si>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</si>
  <si>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</si>
  <si>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</si>
  <si>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</si>
  <si>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</si>
  <si>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</si>
  <si>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</si>
  <si>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</si>
  <si>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</si>
  <si>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</si>
  <si>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</si>
  <si>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</si>
  <si>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</si>
  <si>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</si>
  <si>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</si>
  <si>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</si>
  <si>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</si>
  <si>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</si>
  <si>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</si>
  <si>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</si>
  <si>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</si>
  <si>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</si>
  <si>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</si>
  <si>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</si>
  <si>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</si>
  <si>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</si>
  <si>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</si>
  <si>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</si>
  <si>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</si>
  <si>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</si>
  <si>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</si>
  <si>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</si>
  <si>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</si>
  <si>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</si>
  <si>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</si>
  <si>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</si>
  <si>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</si>
  <si>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</si>
  <si>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</si>
  <si>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</si>
  <si>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</si>
  <si>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</si>
  <si>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</si>
  <si>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</si>
  <si>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</si>
  <si>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</si>
  <si>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</si>
  <si>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</si>
  <si>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</si>
  <si>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</si>
  <si>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</si>
  <si>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</si>
  <si>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</si>
  <si>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</si>
  <si>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</si>
  <si>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</si>
  <si>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</si>
  <si>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</si>
  <si>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</si>
  <si>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</si>
  <si>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</si>
  <si>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</si>
  <si>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</si>
  <si>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</si>
  <si>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</si>
  <si>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</si>
  <si>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</si>
  <si>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</si>
  <si>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</si>
  <si>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</si>
  <si>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</si>
  <si>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</si>
  <si>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</si>
  <si>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</si>
  <si>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</si>
  <si>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</si>
  <si>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</si>
  <si>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</si>
  <si>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</si>
  <si>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</si>
  <si>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</si>
  <si>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</si>
  <si>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</si>
  <si>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</si>
  <si>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</si>
  <si>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</si>
  <si>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</si>
  <si>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</si>
  <si>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</si>
  <si>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</si>
  <si>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</si>
  <si>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</si>
  <si>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</si>
  <si>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</si>
  <si>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</si>
  <si>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</si>
  <si>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</si>
  <si>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</si>
  <si>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</si>
  <si>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</si>
  <si>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</si>
  <si>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</si>
  <si>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</si>
  <si>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</si>
  <si>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</si>
  <si>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</si>
  <si>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</si>
  <si>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</si>
  <si>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</si>
  <si>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</si>
  <si>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</si>
  <si>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</si>
  <si>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</si>
  <si>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</si>
  <si>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</si>
  <si>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</si>
  <si>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</si>
  <si>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</si>
  <si>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</si>
  <si>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</si>
  <si>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</si>
  <si>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</si>
  <si>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</si>
  <si>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</si>
  <si>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</si>
  <si>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</si>
  <si>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</si>
  <si>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</si>
  <si>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</si>
  <si>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</si>
  <si>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</si>
  <si>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</si>
  <si>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</si>
  <si>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</si>
  <si>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</si>
  <si>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</si>
  <si>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</si>
  <si>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</si>
  <si>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</si>
  <si>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</si>
  <si>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</si>
  <si>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</si>
  <si>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</si>
  <si>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</si>
  <si>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</si>
  <si>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</si>
  <si>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</si>
  <si>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</si>
  <si>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</si>
  <si>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</si>
  <si>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</si>
  <si>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</si>
  <si>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</si>
  <si>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</si>
  <si>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</si>
  <si>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</si>
  <si>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</si>
  <si>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</si>
  <si>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</si>
  <si>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</si>
  <si>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</si>
  <si>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</si>
  <si>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</si>
  <si>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</si>
  <si>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</si>
  <si>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</si>
  <si>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</si>
  <si>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</si>
  <si>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</si>
  <si>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</si>
  <si>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</si>
  <si>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</si>
  <si>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</si>
  <si>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</si>
  <si>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</si>
  <si>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</si>
  <si>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</si>
  <si>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</si>
  <si>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</si>
  <si>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</si>
  <si>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</si>
  <si>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</si>
  <si>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</si>
  <si>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</si>
  <si>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</si>
  <si>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</si>
  <si>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</si>
  <si>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</si>
  <si>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</si>
  <si>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</si>
  <si>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</si>
  <si>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</si>
  <si>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</si>
  <si>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</si>
  <si>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</si>
  <si>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</si>
  <si>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</si>
  <si>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</si>
  <si>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</si>
  <si>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</si>
  <si>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</si>
  <si>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</si>
  <si>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</si>
  <si>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</si>
  <si>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</si>
  <si>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</si>
  <si>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</si>
  <si>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</si>
  <si>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</si>
  <si>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</si>
  <si>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</si>
  <si>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</si>
  <si>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</si>
  <si>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</si>
  <si>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</si>
  <si>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</si>
  <si>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</si>
  <si>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</si>
  <si>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</si>
  <si>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</si>
  <si>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</si>
  <si>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</si>
  <si>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</si>
  <si>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</si>
  <si>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</si>
  <si>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</si>
  <si>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</si>
  <si>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</si>
  <si>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</si>
  <si>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</si>
  <si>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</si>
  <si>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</si>
  <si>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</si>
  <si>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</si>
  <si>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</si>
  <si>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</si>
  <si>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</si>
  <si>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</si>
  <si>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</si>
  <si>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</si>
  <si>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</si>
  <si>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</si>
  <si>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</si>
  <si>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</si>
  <si>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</si>
  <si>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</si>
  <si>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</si>
  <si>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</si>
  <si>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</si>
  <si>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</si>
  <si>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</si>
  <si>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</si>
  <si>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</si>
  <si>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</si>
  <si>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</si>
  <si>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</si>
  <si>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</si>
  <si>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</si>
  <si>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</si>
  <si>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</si>
  <si>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</si>
  <si>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</si>
  <si>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</si>
  <si>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</si>
  <si>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</si>
  <si>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</si>
  <si>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</si>
  <si>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</si>
  <si>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</si>
  <si>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</si>
  <si>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</si>
  <si>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</si>
  <si>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</si>
  <si>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</si>
  <si>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</si>
  <si>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</si>
  <si>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</si>
  <si>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</si>
  <si>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</si>
  <si>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</si>
  <si>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</si>
  <si>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</si>
  <si>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</si>
  <si>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</si>
  <si>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</si>
  <si>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</si>
  <si>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</si>
  <si>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</si>
  <si>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</si>
  <si>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</si>
  <si>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</si>
  <si>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</si>
  <si>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</si>
  <si>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</si>
  <si>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</si>
  <si>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</si>
  <si>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</si>
  <si>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</si>
  <si>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</si>
  <si>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</si>
  <si>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</si>
  <si>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</si>
  <si>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</si>
  <si>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</si>
  <si>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</si>
  <si>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</si>
  <si>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</si>
  <si>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</si>
  <si>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</si>
  <si>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</si>
  <si>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</si>
  <si>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</si>
  <si>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</si>
  <si>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</si>
  <si>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</si>
  <si>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</si>
  <si>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</si>
  <si>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</si>
  <si>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</si>
  <si>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</si>
  <si>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</si>
  <si>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</si>
  <si>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</si>
  <si>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</si>
  <si>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</si>
  <si>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</si>
  <si>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</si>
  <si>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</si>
  <si>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</si>
  <si>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</si>
  <si>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</si>
  <si>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</si>
  <si>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</si>
  <si>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</si>
  <si>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</si>
  <si>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</si>
  <si>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</si>
  <si>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</si>
  <si>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</si>
  <si>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</si>
  <si>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</si>
  <si>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</si>
  <si>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</si>
  <si>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</si>
  <si>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</si>
  <si>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</si>
  <si>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</si>
  <si>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</si>
  <si>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</si>
  <si>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</si>
  <si>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</si>
  <si>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</si>
  <si>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</si>
  <si>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</si>
  <si>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</si>
  <si>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</si>
  <si>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</si>
  <si>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</si>
  <si>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</si>
  <si>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</si>
  <si>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</si>
  <si>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</si>
  <si>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</si>
  <si>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</si>
  <si>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</si>
  <si>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</si>
  <si>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</si>
  <si>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</si>
  <si>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</si>
  <si>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</si>
  <si>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</si>
  <si>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</si>
  <si>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</si>
  <si>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</si>
  <si>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</si>
  <si>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</si>
  <si>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</si>
  <si>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</si>
  <si>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</si>
  <si>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</si>
  <si>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</si>
  <si>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</si>
  <si>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</si>
  <si>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</si>
  <si>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</si>
  <si>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</si>
  <si>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</si>
  <si>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</si>
  <si>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</si>
  <si>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</si>
  <si>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</si>
  <si>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</si>
  <si>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</si>
  <si>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</si>
  <si>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</si>
  <si>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</si>
  <si>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</si>
  <si>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</si>
  <si>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</si>
  <si>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</si>
  <si>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</si>
  <si>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</si>
  <si>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</si>
  <si>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</si>
  <si>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</si>
  <si>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</si>
  <si>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</si>
  <si>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</si>
  <si>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</si>
  <si>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</si>
  <si>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</si>
  <si>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</si>
  <si>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</si>
  <si>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</si>
  <si>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</si>
  <si>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</si>
  <si>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</si>
  <si>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</si>
  <si>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</si>
  <si>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</si>
  <si>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</si>
  <si>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</si>
  <si>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</si>
  <si>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</si>
  <si>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</si>
  <si>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</si>
  <si>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</si>
  <si>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</si>
  <si>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</si>
  <si>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</si>
  <si>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</si>
  <si>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</si>
  <si>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</si>
  <si>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</si>
  <si>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</si>
  <si>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</si>
  <si>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</si>
  <si>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</si>
  <si>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</si>
  <si>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</si>
  <si>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</si>
  <si>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</si>
  <si>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</si>
  <si>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</si>
  <si>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</si>
  <si>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</si>
  <si>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</si>
  <si>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</si>
  <si>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</si>
  <si>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</si>
  <si>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</si>
  <si>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</si>
  <si>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</si>
  <si>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</si>
  <si>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</si>
  <si>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</si>
  <si>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</si>
  <si>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</si>
  <si>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</si>
  <si>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</si>
  <si>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</si>
  <si>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</si>
  <si>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</si>
  <si>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</si>
  <si>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</si>
  <si>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</si>
  <si>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</si>
  <si>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</si>
  <si>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</si>
  <si>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</si>
  <si>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</si>
  <si>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</si>
  <si>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</si>
  <si>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</si>
  <si>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</si>
  <si>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</si>
  <si>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</si>
  <si>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</si>
  <si>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</si>
  <si>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</si>
  <si>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</si>
  <si>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</si>
  <si>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</si>
  <si>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</si>
  <si>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</si>
  <si>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</si>
  <si>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</si>
  <si>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</si>
  <si>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</si>
  <si>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</si>
  <si>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</si>
  <si>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</si>
  <si>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</si>
  <si>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</si>
  <si>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</si>
  <si>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</si>
  <si>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</si>
  <si>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</si>
  <si>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</si>
  <si>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</si>
  <si>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</si>
  <si>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</si>
  <si>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</si>
  <si>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</si>
  <si>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</si>
  <si>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</si>
  <si>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</si>
  <si>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</si>
  <si>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</si>
  <si>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</si>
  <si>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</si>
  <si>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</si>
  <si>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</si>
  <si>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</si>
  <si>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</si>
  <si>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</si>
  <si>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</si>
  <si>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</si>
  <si>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</si>
  <si>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</si>
  <si>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</si>
  <si>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</si>
  <si>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</si>
  <si>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</si>
  <si>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</si>
  <si>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</si>
  <si>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</si>
  <si>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</si>
  <si>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</si>
  <si>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</si>
  <si>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</si>
  <si>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</si>
  <si>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</si>
  <si>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</si>
  <si>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</si>
  <si>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</si>
  <si>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</si>
  <si>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</si>
  <si>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</si>
  <si>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</si>
  <si>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</si>
  <si>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</si>
  <si>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</si>
  <si>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</si>
  <si>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</si>
  <si>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</si>
  <si>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</si>
  <si>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</si>
  <si>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</si>
  <si>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</si>
  <si>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</si>
  <si>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</si>
  <si>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</si>
  <si>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</si>
  <si>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</si>
  <si>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</si>
  <si>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</si>
  <si>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</si>
  <si>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</si>
  <si>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</si>
  <si>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</si>
  <si>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</si>
  <si>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</si>
  <si>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</si>
  <si>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</si>
  <si>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</si>
  <si>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</si>
  <si>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</si>
  <si>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</si>
  <si>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</si>
  <si>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</si>
  <si>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</si>
  <si>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</si>
  <si>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</si>
  <si>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</si>
  <si>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</si>
  <si>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</si>
  <si>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</si>
  <si>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</si>
  <si>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</si>
  <si>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</si>
  <si>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</si>
  <si>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</si>
  <si>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</si>
  <si>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</si>
  <si>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</si>
  <si>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</si>
  <si>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</si>
  <si>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</si>
  <si>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</si>
  <si>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</si>
  <si>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</si>
  <si>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</si>
  <si>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</si>
  <si>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</si>
  <si>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</si>
  <si>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</si>
  <si>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</si>
  <si>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</si>
  <si>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</si>
  <si>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</si>
  <si>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</si>
  <si>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</si>
  <si>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</si>
  <si>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</si>
  <si>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</si>
  <si>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</si>
  <si>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</si>
  <si>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</si>
  <si>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</si>
  <si>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</si>
  <si>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</si>
  <si>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</si>
  <si>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</si>
  <si>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</si>
  <si>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</si>
  <si>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</si>
  <si>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</si>
  <si>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</si>
  <si>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</si>
  <si>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</si>
  <si>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</si>
  <si>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</si>
  <si>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</si>
  <si>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</si>
  <si>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</si>
  <si>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</si>
  <si>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</si>
  <si>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</si>
  <si>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</si>
  <si>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</si>
  <si>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</si>
  <si>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</si>
  <si>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</si>
  <si>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</si>
  <si>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</si>
  <si>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</si>
  <si>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</si>
  <si>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</si>
  <si>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</si>
  <si>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</si>
  <si>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</si>
  <si>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</si>
  <si>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</si>
  <si>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</si>
  <si>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</si>
  <si>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</si>
  <si>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</si>
  <si>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</si>
  <si>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</si>
  <si>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</si>
  <si>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</si>
  <si>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</si>
  <si>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</si>
  <si>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</si>
  <si>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</si>
  <si>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</si>
  <si>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</si>
  <si>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</si>
  <si>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</si>
  <si>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</si>
  <si>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</si>
  <si>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</si>
  <si>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</si>
  <si>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</si>
  <si>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</si>
  <si>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</si>
  <si>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</si>
  <si>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</si>
  <si>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</si>
  <si>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</si>
  <si>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</si>
  <si>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</si>
  <si>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</si>
  <si>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</si>
  <si>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</si>
  <si>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</si>
  <si>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</si>
  <si>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</si>
  <si>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</si>
  <si>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</si>
  <si>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</si>
  <si>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</si>
  <si>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</si>
  <si>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</si>
  <si>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</si>
  <si>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</si>
  <si>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</si>
  <si>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</si>
  <si>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</si>
  <si>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</si>
  <si>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</si>
  <si>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</si>
  <si>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</si>
  <si>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</si>
  <si>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</si>
  <si>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</si>
  <si>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</si>
  <si>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</si>
  <si>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</si>
  <si>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</si>
  <si>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</si>
  <si>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</si>
  <si>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</si>
  <si>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</si>
  <si>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</si>
  <si>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</si>
  <si>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</si>
  <si>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</si>
  <si>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</si>
  <si>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</si>
  <si>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</si>
  <si>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</si>
  <si>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</si>
  <si>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</si>
  <si>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</si>
  <si>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</si>
  <si>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</si>
  <si>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</si>
  <si>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</si>
  <si>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</si>
  <si>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</si>
  <si>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</si>
  <si>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</si>
  <si>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</si>
  <si>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</si>
  <si>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</si>
  <si>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</si>
  <si>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</si>
  <si>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</si>
  <si>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</si>
  <si>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</si>
  <si>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</si>
  <si>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</si>
  <si>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</si>
  <si>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</si>
  <si>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</si>
  <si>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</si>
  <si>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</si>
  <si>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</si>
  <si>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</si>
  <si>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</si>
  <si>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</si>
  <si>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</si>
  <si>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</si>
  <si>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</si>
  <si>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</si>
  <si>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</si>
  <si>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</si>
  <si>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</si>
  <si>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</si>
  <si>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</si>
  <si>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</si>
  <si>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</si>
  <si>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</si>
  <si>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</si>
  <si>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</si>
  <si>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</si>
  <si>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</si>
  <si>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</si>
  <si>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</si>
  <si>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</si>
  <si>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</si>
  <si>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</si>
  <si>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</si>
  <si>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</si>
  <si>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</si>
  <si>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</si>
  <si>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</si>
  <si>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</si>
  <si>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</si>
  <si>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</si>
  <si>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</si>
  <si>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</si>
  <si>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</si>
  <si>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</si>
  <si>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</si>
  <si>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</si>
  <si>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</si>
  <si>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</si>
  <si>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</si>
  <si>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</si>
  <si>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</si>
  <si>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</si>
  <si>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</si>
  <si>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</si>
  <si>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</si>
  <si>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</si>
  <si>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</si>
  <si>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</si>
  <si>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</si>
  <si>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</si>
  <si>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</si>
  <si>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</si>
  <si>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</si>
  <si>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</si>
  <si>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</si>
  <si>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</si>
  <si>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</si>
  <si>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</si>
  <si>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</si>
  <si>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</si>
  <si>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</si>
  <si>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</si>
  <si>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</si>
  <si>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</si>
  <si>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</si>
  <si>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</si>
  <si>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</si>
  <si>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</si>
  <si>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</si>
  <si>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</si>
  <si>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</si>
  <si>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</si>
  <si>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</si>
  <si>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</si>
  <si>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</si>
  <si>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</si>
  <si>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</si>
  <si>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</si>
  <si>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</si>
  <si>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</si>
  <si>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</si>
  <si>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</si>
  <si>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</si>
  <si>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</si>
  <si>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</si>
  <si>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</si>
  <si>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</si>
  <si>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</si>
  <si>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</si>
  <si>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</si>
  <si>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</si>
  <si>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</si>
  <si>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</si>
  <si>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</si>
  <si>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</si>
  <si>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</si>
  <si>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</si>
  <si>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</si>
  <si>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</si>
  <si>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</si>
  <si>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</si>
  <si>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</si>
  <si>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</si>
  <si>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</si>
  <si>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</si>
  <si>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</si>
  <si>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</si>
  <si>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</si>
  <si>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</si>
  <si>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</si>
  <si>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</si>
  <si>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</si>
  <si>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</si>
  <si>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</si>
  <si>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</si>
  <si>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</si>
  <si>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</si>
  <si>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</si>
  <si>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</si>
  <si>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</si>
  <si>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</si>
  <si>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</si>
  <si>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</si>
  <si>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</si>
  <si>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</si>
  <si>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</si>
  <si>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</si>
  <si>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</si>
  <si>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</si>
  <si>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</si>
  <si>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</si>
  <si>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</si>
  <si>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</si>
  <si>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</si>
  <si>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</si>
  <si>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</si>
  <si>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</si>
  <si>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</si>
  <si>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</si>
  <si>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</si>
  <si>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</si>
  <si>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</si>
  <si>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</si>
  <si>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</si>
  <si>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</si>
  <si>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</si>
  <si>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</si>
  <si>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</si>
  <si>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</si>
  <si>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</si>
  <si>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</si>
  <si>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</si>
  <si>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</si>
  <si>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</si>
  <si>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</si>
  <si>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</si>
  <si>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</si>
  <si>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</si>
  <si>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</si>
  <si>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</si>
  <si>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</si>
  <si>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</si>
  <si>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</si>
  <si>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</si>
  <si>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</si>
  <si>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</si>
  <si>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</si>
  <si>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</si>
  <si>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</si>
  <si>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</si>
  <si>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</si>
  <si>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</si>
  <si>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</si>
  <si>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</si>
  <si>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</si>
  <si>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</si>
  <si>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</si>
  <si>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</si>
  <si>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</si>
  <si>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</si>
  <si>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</si>
  <si>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</si>
  <si>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</si>
  <si>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</si>
  <si>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</si>
  <si>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</si>
  <si>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</si>
  <si>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</si>
  <si>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</si>
  <si>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</si>
  <si>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</si>
  <si>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</si>
  <si>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</si>
  <si>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</si>
  <si>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</si>
  <si>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</si>
  <si>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</si>
  <si>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</si>
  <si>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</si>
  <si>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</si>
  <si>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</si>
  <si>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</si>
  <si>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</si>
  <si>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</si>
  <si>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</si>
  <si>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</si>
  <si>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</si>
  <si>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</si>
  <si>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</si>
  <si>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</si>
  <si>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</si>
  <si>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</si>
  <si>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</si>
  <si>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</si>
  <si>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</si>
  <si>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</si>
  <si>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</si>
  <si>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</si>
  <si>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</si>
  <si>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</si>
  <si>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</si>
  <si>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</si>
  <si>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</si>
  <si>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</si>
  <si>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</si>
  <si>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</si>
  <si>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</si>
  <si>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</si>
  <si>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</si>
  <si>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</si>
  <si>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</si>
  <si>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</si>
  <si>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</si>
  <si>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</si>
  <si>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</si>
  <si>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</si>
  <si>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</si>
  <si>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</si>
  <si>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</si>
  <si>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</si>
  <si>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</si>
  <si>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</si>
  <si>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</si>
  <si>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</si>
  <si>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</si>
  <si>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</si>
  <si>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</si>
  <si>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</si>
  <si>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</si>
  <si>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</si>
  <si>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</si>
  <si>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</si>
  <si>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</si>
  <si>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</si>
  <si>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</si>
  <si>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</si>
  <si>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</si>
  <si>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</si>
  <si>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</si>
  <si>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</si>
  <si>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</si>
  <si>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</si>
  <si>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</si>
  <si>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</si>
  <si>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</si>
  <si>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</si>
  <si>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</si>
  <si>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</si>
  <si>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</si>
  <si>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</si>
  <si>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</si>
  <si>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</si>
  <si>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</si>
  <si>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</si>
  <si>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</si>
  <si>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</si>
  <si>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</si>
  <si>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</si>
  <si>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</si>
  <si>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</si>
  <si>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</si>
  <si>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</si>
  <si>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</si>
  <si>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</si>
  <si>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</si>
  <si>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</si>
  <si>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</si>
  <si>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</si>
  <si>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</si>
  <si>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</si>
  <si>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</si>
  <si>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</si>
  <si>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</si>
  <si>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</si>
  <si>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</si>
  <si>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</si>
  <si>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</si>
  <si>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</si>
  <si>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</si>
  <si>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</si>
  <si>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</si>
  <si>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</si>
  <si>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</si>
  <si>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</si>
  <si>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</si>
  <si>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</si>
  <si>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</si>
  <si>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</si>
  <si>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</si>
  <si>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</si>
  <si>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</si>
  <si>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</si>
  <si>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</si>
  <si>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</si>
  <si>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</si>
  <si>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</si>
  <si>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</si>
  <si>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</si>
  <si>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</si>
  <si>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</si>
  <si>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</si>
  <si>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</si>
  <si>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</si>
  <si>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</si>
  <si>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</si>
  <si>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</si>
  <si>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</si>
  <si>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</si>
  <si>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</si>
  <si>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</si>
  <si>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</si>
  <si>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</si>
  <si>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</si>
  <si>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</si>
  <si>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</si>
  <si>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</si>
  <si>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</si>
  <si>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</si>
  <si>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</si>
  <si>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</si>
  <si>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</si>
  <si>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</si>
  <si>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</si>
  <si>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</si>
  <si>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</si>
  <si>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</si>
  <si>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</si>
  <si>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</si>
  <si>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</si>
  <si>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</si>
  <si>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</si>
  <si>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</si>
  <si>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</si>
  <si>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</si>
  <si>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</si>
  <si>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</si>
  <si>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</si>
  <si>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</si>
  <si>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</si>
  <si>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</si>
  <si>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</si>
  <si>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</si>
  <si>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</si>
  <si>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</si>
  <si>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</si>
  <si>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</si>
  <si>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</si>
  <si>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</si>
  <si>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</si>
  <si>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</si>
  <si>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</si>
  <si>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</si>
  <si>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</si>
  <si>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</si>
  <si>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</si>
  <si>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</si>
  <si>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</si>
  <si>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</si>
  <si>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</si>
  <si>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</si>
  <si>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</si>
  <si>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</si>
  <si>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</si>
  <si>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</si>
  <si>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</si>
  <si>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</si>
  <si>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</si>
  <si>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</si>
  <si>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</si>
  <si>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</si>
  <si>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</si>
  <si>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</si>
  <si>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</si>
  <si>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</si>
  <si>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</si>
  <si>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</si>
  <si>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</si>
  <si>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</si>
  <si>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</si>
  <si>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</si>
  <si>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</si>
  <si>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</si>
  <si>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</si>
  <si>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</si>
  <si>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</si>
  <si>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</si>
  <si>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</si>
  <si>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</si>
  <si>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</si>
  <si>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</si>
  <si>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</si>
  <si>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</si>
  <si>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</si>
  <si>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</si>
  <si>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</si>
  <si>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</si>
  <si>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</si>
  <si>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</si>
  <si>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</si>
  <si>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</si>
  <si>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</si>
  <si>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</si>
  <si>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</si>
  <si>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</si>
  <si>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</si>
  <si>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</si>
  <si>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</si>
  <si>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</si>
  <si>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</si>
  <si>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</si>
  <si>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</si>
  <si>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</si>
  <si>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</si>
  <si>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</si>
  <si>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</si>
  <si>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</si>
  <si>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</si>
  <si>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</si>
  <si>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</si>
  <si>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</si>
  <si>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</si>
  <si>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</si>
  <si>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</si>
  <si>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</si>
  <si>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</si>
  <si>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</si>
  <si>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</si>
  <si>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</si>
  <si>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</si>
  <si>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</si>
  <si>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</si>
  <si>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</si>
  <si>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</si>
  <si>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</si>
  <si>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</si>
  <si>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</si>
  <si>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</si>
  <si>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</si>
  <si>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</si>
  <si>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</si>
  <si>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</si>
  <si>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</si>
  <si>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</si>
  <si>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</si>
  <si>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</si>
  <si>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</si>
  <si>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</si>
  <si>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</si>
  <si>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</si>
  <si>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</si>
  <si>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</si>
  <si>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</si>
  <si>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</si>
  <si>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</si>
  <si>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</si>
  <si>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</si>
  <si>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</si>
  <si>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</si>
  <si>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</si>
  <si>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</si>
  <si>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</si>
  <si>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</si>
  <si>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</si>
  <si>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</si>
  <si>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</si>
  <si>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</si>
  <si>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</si>
  <si>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</si>
  <si>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</si>
  <si>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</si>
  <si>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</si>
  <si>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</si>
  <si>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</si>
  <si>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</si>
  <si>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</si>
  <si>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</si>
  <si>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</si>
  <si>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</si>
  <si>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</si>
  <si>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</si>
  <si>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</si>
  <si>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</si>
  <si>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</si>
  <si>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</si>
  <si>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</si>
  <si>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</si>
  <si>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</si>
  <si>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</si>
  <si>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</si>
  <si>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</si>
  <si>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</si>
  <si>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</si>
  <si>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</si>
  <si>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</si>
  <si>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</si>
  <si>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</si>
  <si>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</si>
  <si>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</si>
  <si>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</si>
  <si>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</si>
  <si>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</si>
  <si>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</si>
  <si>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</si>
  <si>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</si>
  <si>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</si>
  <si>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</si>
  <si>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</si>
  <si>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</si>
  <si>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</si>
  <si>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</si>
  <si>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</si>
  <si>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</si>
  <si>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</si>
  <si>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</si>
  <si>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</si>
  <si>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</si>
  <si>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</si>
  <si>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</si>
  <si>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</si>
  <si>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</si>
  <si>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</si>
  <si>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</si>
  <si>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</si>
  <si>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</si>
  <si>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</si>
  <si>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</si>
  <si>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</si>
  <si>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</si>
  <si>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</si>
  <si>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</si>
  <si>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</si>
  <si>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</si>
  <si>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</si>
  <si>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</si>
  <si>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</si>
  <si>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</si>
  <si>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</si>
  <si>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</si>
  <si>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</si>
  <si>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</si>
  <si>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</si>
  <si>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</si>
  <si>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</si>
  <si>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</si>
  <si>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</si>
  <si>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</si>
  <si>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</si>
  <si>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</si>
  <si>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</si>
  <si>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</si>
  <si>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</si>
  <si>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</si>
  <si>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</si>
  <si>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</si>
  <si>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</si>
  <si>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</si>
  <si>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</si>
  <si>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</si>
  <si>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</si>
  <si>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</si>
  <si>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</si>
  <si>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</si>
  <si>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</si>
  <si>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</si>
  <si>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</si>
  <si>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</si>
  <si>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</si>
  <si>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</si>
  <si>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</si>
  <si>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</si>
  <si>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</si>
  <si>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</si>
  <si>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</si>
  <si>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</si>
  <si>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</si>
  <si>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</si>
  <si>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</si>
  <si>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</si>
  <si>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</si>
  <si>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</si>
  <si>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</si>
  <si>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</si>
  <si>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</si>
  <si>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</si>
  <si>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</si>
  <si>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</si>
  <si>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</si>
  <si>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</si>
  <si>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</si>
  <si>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</si>
  <si>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</si>
  <si>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</si>
  <si>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</si>
  <si>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</si>
  <si>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</si>
  <si>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</si>
  <si>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</si>
  <si>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</si>
  <si>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</si>
  <si>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</si>
  <si>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</si>
  <si>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</si>
  <si>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</si>
  <si>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</si>
  <si>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</si>
  <si>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</si>
  <si>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</si>
  <si>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</si>
  <si>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</si>
  <si>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</si>
  <si>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</si>
  <si>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</si>
  <si>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</si>
  <si>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</si>
  <si>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</si>
  <si>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</si>
  <si>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</si>
  <si>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</si>
  <si>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</si>
  <si>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</si>
  <si>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</si>
  <si>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</si>
  <si>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</si>
  <si>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</si>
  <si>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</si>
  <si>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</si>
  <si>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</si>
  <si>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</si>
  <si>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</si>
  <si>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</si>
  <si>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</si>
  <si>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</si>
  <si>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</si>
  <si>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</si>
  <si>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</si>
  <si>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</si>
  <si>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</si>
  <si>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</si>
  <si>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</si>
  <si>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</si>
  <si>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</si>
  <si>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</si>
  <si>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</si>
  <si>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</si>
  <si>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</si>
  <si>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</si>
  <si>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</si>
  <si>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</si>
  <si>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</si>
  <si>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</si>
  <si>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</si>
  <si>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</si>
  <si>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</si>
  <si>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</si>
  <si>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</si>
  <si>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</si>
  <si>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</si>
  <si>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</si>
  <si>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</si>
  <si>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</si>
  <si>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</si>
  <si>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</si>
  <si>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</si>
  <si>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</si>
  <si>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</si>
  <si>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</si>
  <si>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</si>
  <si>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</si>
  <si>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</si>
  <si>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</si>
  <si>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</si>
  <si>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</si>
  <si>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</si>
  <si>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</si>
  <si>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</si>
  <si>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</si>
  <si>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</si>
  <si>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</si>
  <si>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</si>
  <si>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</si>
  <si>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</si>
  <si>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</si>
  <si>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</si>
  <si>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</si>
  <si>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</si>
  <si>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</si>
  <si>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</si>
  <si>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</si>
  <si>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</si>
  <si>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</si>
  <si>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</si>
  <si>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</si>
  <si>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</si>
  <si>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</si>
  <si>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</si>
  <si>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</si>
  <si>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</si>
  <si>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</si>
  <si>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</si>
  <si>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</si>
  <si>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</si>
  <si>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</si>
  <si>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</si>
  <si>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</si>
  <si>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</si>
  <si>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</si>
  <si>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</si>
  <si>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</si>
  <si>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</si>
  <si>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</si>
  <si>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</si>
  <si>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</si>
  <si>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</si>
  <si>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</si>
  <si>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</si>
  <si>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</si>
  <si>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</si>
  <si>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</si>
  <si>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</si>
  <si>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</si>
  <si>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</si>
  <si>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</si>
  <si>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</si>
  <si>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</si>
  <si>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</si>
  <si>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</si>
  <si>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</si>
  <si>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</si>
  <si>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</si>
  <si>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</si>
  <si>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</si>
  <si>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</si>
  <si>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</si>
  <si>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</si>
  <si>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</si>
  <si>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</si>
  <si>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</si>
  <si>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</si>
  <si>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</si>
  <si>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</si>
  <si>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</si>
  <si>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</si>
  <si>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</si>
  <si>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</si>
  <si>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</si>
  <si>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</si>
  <si>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</si>
  <si>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</si>
  <si>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</si>
  <si>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</si>
  <si>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</si>
  <si>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</si>
  <si>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</si>
  <si>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</si>
  <si>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</si>
  <si>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</si>
  <si>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</si>
  <si>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</si>
  <si>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</si>
  <si>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</si>
  <si>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</si>
  <si>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</si>
  <si>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</si>
  <si>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</si>
  <si>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</si>
  <si>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</si>
  <si>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</si>
  <si>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</si>
  <si>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</si>
  <si>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</si>
  <si>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</si>
  <si>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</si>
  <si>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</si>
  <si>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</si>
  <si>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</si>
  <si>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</si>
  <si>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</si>
  <si>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</si>
  <si>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</si>
  <si>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</si>
  <si>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</si>
  <si>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</si>
  <si>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</si>
  <si>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</si>
  <si>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</si>
  <si>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</si>
  <si>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</si>
  <si>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</si>
  <si>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</si>
  <si>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</si>
  <si>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</si>
  <si>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</si>
  <si>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</si>
  <si>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</si>
  <si>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</si>
  <si>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</si>
  <si>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</si>
  <si>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</si>
  <si>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</si>
  <si>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</si>
  <si>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</si>
  <si>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</si>
  <si>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</si>
  <si>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</si>
  <si>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</si>
  <si>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</si>
  <si>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</si>
  <si>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</si>
  <si>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</si>
  <si>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</si>
  <si>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</si>
  <si>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</si>
  <si>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</si>
  <si>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</si>
  <si>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</si>
  <si>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</si>
  <si>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</si>
  <si>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</si>
  <si>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</si>
  <si>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</si>
  <si>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</si>
  <si>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</si>
  <si>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</si>
  <si>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</si>
  <si>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</si>
  <si>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</si>
  <si>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</si>
  <si>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</si>
  <si>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</si>
  <si>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</si>
  <si>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</si>
  <si>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</si>
  <si>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</si>
  <si>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</si>
  <si>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</si>
  <si>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</si>
  <si>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</si>
  <si>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</si>
  <si>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</si>
  <si>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</si>
  <si>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</si>
  <si>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</si>
  <si>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</si>
  <si>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</si>
  <si>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</si>
  <si>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</si>
  <si>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</si>
  <si>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</si>
  <si>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</si>
  <si>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</si>
  <si>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</si>
  <si>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</si>
  <si>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</si>
  <si>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</si>
  <si>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</si>
  <si>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</si>
  <si>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</si>
  <si>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</si>
  <si>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</si>
  <si>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</si>
  <si>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</si>
  <si>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</si>
  <si>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</si>
  <si>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</si>
  <si>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</si>
  <si>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</si>
  <si>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</si>
  <si>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</si>
  <si>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</si>
  <si>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</si>
  <si>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</si>
  <si>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</si>
  <si>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</si>
  <si>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</si>
  <si>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</si>
  <si>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</si>
  <si>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</si>
  <si>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</si>
  <si>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</si>
  <si>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</si>
  <si>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</si>
  <si>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</si>
  <si>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</si>
  <si>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</si>
  <si>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</si>
  <si>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</si>
  <si>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</si>
  <si>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</si>
  <si>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</si>
  <si>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</si>
  <si>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</si>
  <si>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</si>
  <si>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</si>
  <si>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</si>
  <si>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</si>
  <si>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</si>
  <si>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</si>
  <si>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</si>
  <si>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</si>
  <si>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</si>
  <si>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</si>
  <si>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</si>
  <si>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</si>
  <si>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</si>
  <si>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</si>
  <si>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</si>
  <si>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</si>
  <si>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</si>
  <si>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</si>
  <si>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</si>
  <si>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</si>
  <si>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</si>
  <si>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</si>
  <si>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</si>
  <si>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</si>
  <si>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</si>
  <si>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</si>
  <si>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</si>
  <si>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</si>
  <si>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</si>
  <si>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</si>
  <si>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</si>
  <si>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</si>
  <si>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</si>
  <si>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</si>
  <si>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</si>
  <si>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</si>
  <si>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</si>
  <si>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</si>
  <si>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</si>
  <si>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</si>
  <si>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</si>
  <si>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</si>
  <si>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</si>
  <si>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</si>
  <si>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</si>
  <si>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</si>
  <si>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</si>
  <si>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</si>
  <si>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</si>
  <si>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</si>
  <si>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</si>
  <si>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</si>
  <si>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</si>
  <si>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</si>
  <si>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</si>
  <si>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</si>
  <si>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</si>
  <si>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</si>
  <si>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</si>
  <si>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</si>
  <si>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</si>
  <si>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</si>
  <si>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</si>
  <si>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</si>
  <si>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</si>
  <si>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</si>
  <si>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</si>
  <si>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</si>
  <si>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</si>
  <si>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</si>
  <si>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</si>
  <si>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</si>
  <si>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</si>
  <si>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</si>
  <si>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</si>
  <si>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</si>
  <si>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</si>
  <si>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</si>
  <si>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</si>
  <si>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</si>
  <si>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</si>
  <si>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</si>
  <si>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</si>
  <si>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</si>
  <si>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</si>
  <si>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</si>
  <si>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</si>
  <si>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</si>
  <si>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</si>
  <si>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</si>
  <si>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</si>
  <si>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</si>
  <si>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</si>
  <si>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</si>
  <si>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</si>
  <si>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</si>
  <si>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</si>
  <si>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</si>
  <si>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</si>
  <si>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</si>
  <si>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</si>
  <si>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</si>
  <si>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</si>
  <si>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</si>
  <si>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</si>
  <si>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</si>
  <si>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</si>
  <si>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</si>
  <si>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</si>
  <si>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</si>
  <si>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</si>
  <si>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</si>
  <si>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</si>
  <si>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</si>
  <si>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</si>
  <si>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</si>
  <si>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</si>
  <si>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</si>
  <si>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</si>
  <si>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</si>
  <si>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</si>
  <si>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</si>
  <si>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</si>
  <si>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</si>
  <si>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</si>
  <si>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</si>
  <si>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</si>
  <si>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</si>
  <si>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</si>
  <si>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</si>
  <si>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</si>
  <si>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</si>
  <si>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</si>
  <si>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</si>
  <si>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</si>
  <si>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</si>
  <si>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</si>
  <si>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</si>
  <si>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</si>
  <si>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</si>
  <si>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</si>
  <si>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</si>
  <si>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</si>
  <si>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</si>
  <si>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</si>
  <si>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</si>
  <si>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</si>
  <si>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</si>
  <si>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</si>
  <si>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</si>
  <si>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</si>
  <si>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</si>
  <si>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</si>
  <si>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</si>
  <si>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</si>
  <si>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</si>
  <si>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</si>
  <si>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</si>
  <si>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</si>
  <si>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</si>
  <si>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</si>
  <si>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</si>
  <si>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</si>
  <si>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</si>
  <si>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</si>
  <si>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</si>
  <si>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</si>
  <si>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</si>
  <si>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</si>
  <si>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</si>
  <si>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</si>
  <si>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</si>
  <si>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</si>
  <si>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</si>
  <si>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</si>
  <si>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</si>
  <si>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</si>
  <si>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</si>
  <si>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</si>
  <si>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</si>
  <si>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</si>
  <si>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</si>
  <si>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</si>
  <si>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</si>
  <si>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</si>
  <si>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</si>
  <si>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</si>
  <si>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</si>
  <si>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</si>
  <si>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</si>
  <si>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</si>
  <si>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</si>
  <si>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</si>
  <si>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</si>
  <si>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</si>
  <si>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</si>
  <si>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</si>
  <si>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</si>
  <si>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</si>
  <si>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</si>
  <si>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</si>
  <si>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</si>
  <si>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</si>
  <si>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</si>
  <si>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</si>
  <si>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</si>
  <si>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</si>
  <si>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</si>
  <si>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</si>
  <si>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</si>
  <si>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</si>
  <si>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</si>
  <si>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</si>
  <si>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</si>
  <si>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</si>
  <si>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</si>
  <si>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</si>
  <si>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</si>
  <si>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</si>
  <si>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</si>
  <si>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</si>
  <si>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</si>
  <si>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</si>
  <si>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</si>
  <si>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</si>
  <si>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</si>
  <si>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</si>
  <si>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</si>
  <si>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</si>
  <si>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</si>
  <si>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</si>
  <si>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</si>
  <si>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</si>
  <si>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</si>
  <si>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</si>
  <si>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</si>
  <si>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</si>
  <si>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</si>
  <si>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</si>
  <si>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</si>
  <si>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</si>
  <si>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</si>
  <si>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</si>
  <si>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</si>
  <si>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</si>
  <si>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</si>
  <si>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</si>
  <si>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</si>
  <si>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</si>
  <si>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</si>
  <si>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</si>
  <si>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</si>
  <si>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</si>
  <si>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</si>
  <si>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</si>
  <si>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</si>
  <si>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</si>
  <si>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</si>
  <si>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</si>
  <si>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</si>
  <si>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</si>
  <si>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</si>
  <si>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</si>
  <si>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</si>
  <si>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</si>
  <si>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</si>
  <si>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</si>
  <si>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</si>
  <si>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</si>
  <si>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</si>
  <si>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</si>
  <si>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</si>
  <si>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</si>
  <si>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</si>
  <si>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</si>
  <si>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</si>
  <si>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</si>
  <si>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</si>
  <si>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</si>
  <si>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</si>
  <si>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</si>
  <si>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</si>
  <si>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</si>
  <si>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</si>
  <si>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</si>
  <si>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</si>
  <si>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</si>
  <si>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</si>
  <si>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</si>
  <si>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</si>
  <si>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</si>
  <si>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</si>
  <si>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</si>
  <si>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</si>
  <si>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</si>
  <si>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</si>
  <si>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</si>
  <si>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</si>
  <si>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</si>
  <si>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</si>
  <si>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</si>
  <si>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</si>
  <si>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</si>
  <si>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</si>
  <si>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</si>
  <si>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</si>
  <si>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</si>
  <si>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</si>
  <si>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</si>
  <si>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</si>
  <si>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</si>
  <si>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</si>
  <si>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</si>
  <si>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</si>
  <si>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</si>
  <si>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</si>
  <si>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</si>
  <si>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</si>
  <si>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</si>
  <si>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</si>
  <si>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</si>
  <si>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</si>
  <si>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</si>
  <si>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</si>
  <si>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</si>
  <si>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</si>
  <si>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</si>
  <si>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</si>
  <si>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</si>
  <si>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</si>
  <si>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</si>
  <si>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</si>
  <si>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</si>
  <si>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</si>
  <si>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</si>
  <si>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</si>
  <si>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</si>
  <si>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</si>
  <si>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</si>
  <si>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</si>
  <si>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</si>
  <si>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</si>
  <si>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</si>
  <si>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</si>
  <si>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</si>
  <si>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</si>
  <si>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</si>
  <si>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</si>
  <si>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</si>
  <si>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</si>
  <si>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</si>
  <si>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</si>
  <si>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</si>
  <si>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</si>
  <si>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</si>
  <si>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</si>
  <si>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</si>
  <si>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</si>
  <si>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</si>
  <si>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</si>
  <si>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</si>
  <si>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</si>
  <si>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</si>
  <si>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</si>
  <si>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</si>
  <si>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</si>
  <si>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</si>
  <si>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</si>
  <si>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</si>
  <si>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</si>
  <si>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</si>
  <si>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</si>
  <si>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</si>
  <si>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</si>
  <si>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</si>
  <si>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</si>
  <si>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</si>
  <si>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</si>
  <si>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</si>
  <si>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</si>
  <si>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</si>
  <si>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</si>
  <si>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</si>
  <si>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</si>
  <si>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</si>
  <si>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</si>
  <si>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</si>
  <si>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</si>
  <si>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</si>
  <si>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</si>
  <si>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</si>
  <si>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</si>
  <si>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</si>
  <si>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</si>
  <si>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</si>
  <si>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</si>
  <si>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</si>
  <si>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</si>
  <si>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</si>
  <si>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</si>
  <si>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</si>
  <si>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</si>
  <si>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</si>
  <si>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</si>
  <si>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</si>
  <si>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</si>
  <si>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</si>
  <si>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</si>
  <si>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</si>
  <si>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</si>
  <si>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</si>
  <si>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</si>
  <si>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</si>
  <si>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</si>
  <si>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</si>
  <si>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</si>
  <si>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</si>
  <si>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</si>
  <si>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</si>
  <si>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</si>
  <si>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</si>
  <si>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</si>
  <si>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</si>
  <si>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</si>
  <si>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</si>
  <si>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</si>
  <si>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</si>
  <si>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</si>
  <si>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</si>
  <si>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</si>
  <si>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</si>
  <si>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</si>
  <si>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</si>
  <si>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</si>
  <si>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</si>
  <si>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</si>
  <si>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</si>
  <si>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</si>
  <si>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</si>
  <si>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</si>
  <si>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</si>
  <si>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</si>
  <si>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</si>
  <si>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</si>
  <si>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</si>
  <si>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</si>
  <si>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</si>
  <si>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</si>
  <si>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</si>
  <si>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</si>
  <si>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</si>
  <si>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</si>
  <si>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</si>
  <si>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</si>
  <si>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</si>
  <si>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</si>
  <si>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</si>
  <si>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</si>
  <si>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</si>
  <si>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</si>
  <si>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</si>
  <si>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</si>
  <si>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</si>
  <si>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</si>
  <si>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</si>
  <si>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</si>
  <si>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</si>
  <si>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</si>
  <si>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</si>
  <si>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</si>
  <si>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</si>
  <si>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</si>
  <si>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</si>
  <si>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</si>
  <si>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</si>
  <si>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</si>
  <si>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</si>
  <si>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</si>
  <si>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</si>
  <si>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</si>
  <si>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</si>
  <si>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</si>
  <si>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</si>
  <si>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</si>
  <si>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</si>
  <si>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</si>
  <si>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</si>
  <si>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</si>
  <si>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</si>
  <si>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</si>
  <si>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</si>
  <si>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</si>
  <si>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</si>
  <si>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</si>
  <si>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</si>
  <si>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</si>
  <si>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</si>
  <si>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</si>
  <si>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</si>
  <si>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</si>
  <si>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</si>
  <si>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</si>
  <si>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</si>
  <si>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</si>
  <si>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</si>
  <si>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</si>
  <si>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</si>
  <si>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</si>
  <si>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</si>
  <si>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</si>
  <si>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</si>
  <si>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</si>
  <si>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</si>
  <si>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</si>
  <si>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</si>
  <si>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</si>
  <si>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</si>
  <si>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</si>
  <si>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</si>
  <si>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</si>
  <si>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</si>
  <si>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</si>
  <si>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</si>
  <si>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</si>
  <si>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</si>
  <si>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</si>
  <si>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</si>
  <si>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</si>
  <si>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</si>
  <si>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</si>
  <si>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</si>
  <si>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</si>
  <si>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</si>
  <si>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</si>
  <si>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</si>
  <si>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</si>
  <si>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</si>
  <si>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</si>
  <si>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</si>
  <si>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</si>
  <si>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</si>
  <si>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</si>
  <si>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</si>
  <si>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</si>
  <si>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</si>
  <si>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</si>
  <si>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</si>
  <si>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</si>
  <si>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</si>
  <si>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</si>
  <si>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</si>
  <si>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</si>
  <si>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</si>
  <si>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</si>
  <si>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</si>
  <si>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</si>
  <si>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</si>
  <si>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</si>
  <si>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</si>
  <si>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</si>
  <si>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</si>
  <si>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</si>
  <si>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</si>
  <si>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</si>
  <si>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</si>
  <si>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</si>
  <si>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</si>
  <si>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</si>
  <si>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</si>
  <si>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</si>
  <si>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</si>
  <si>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</si>
  <si>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</si>
  <si>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</si>
  <si>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</si>
  <si>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</si>
  <si>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</si>
  <si>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</si>
  <si>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</si>
  <si>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</si>
  <si>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</si>
  <si>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</si>
  <si>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</si>
  <si>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</si>
  <si>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</si>
  <si>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</si>
  <si>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</si>
  <si>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</si>
  <si>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</si>
  <si>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</si>
  <si>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</si>
  <si>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</si>
  <si>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</si>
  <si>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</si>
  <si>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</si>
  <si>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</si>
  <si>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</si>
  <si>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</si>
  <si>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</si>
  <si>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</si>
  <si>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</si>
  <si>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</si>
  <si>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</si>
  <si>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</si>
  <si>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</si>
  <si>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</si>
  <si>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</si>
  <si>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</si>
  <si>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</si>
  <si>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</si>
  <si>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</si>
  <si>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</si>
  <si>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</si>
  <si>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</si>
  <si>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</si>
  <si>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</si>
  <si>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</si>
  <si>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</si>
  <si>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</si>
  <si>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</si>
  <si>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</si>
  <si>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</si>
  <si>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</si>
  <si>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</si>
  <si>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</si>
  <si>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</si>
  <si>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</si>
  <si>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</si>
  <si>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</si>
  <si>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</si>
  <si>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</si>
  <si>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</si>
  <si>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</si>
  <si>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</si>
  <si>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</si>
  <si>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</si>
  <si>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</si>
  <si>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</si>
  <si>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</si>
  <si>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</si>
  <si>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</si>
  <si>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</si>
  <si>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</si>
  <si>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</si>
  <si>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</si>
  <si>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</si>
  <si>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</si>
  <si>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</si>
  <si>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</si>
  <si>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</si>
  <si>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</si>
  <si>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</si>
  <si>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</si>
  <si>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</si>
  <si>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</si>
  <si>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</si>
  <si>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</si>
  <si>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</si>
  <si>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</si>
  <si>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</si>
  <si>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</si>
  <si>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</si>
  <si>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</si>
  <si>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</si>
  <si>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</si>
  <si>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</si>
  <si>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</si>
  <si>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</si>
  <si>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</si>
  <si>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</si>
  <si>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</si>
  <si>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</si>
  <si>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</si>
  <si>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</si>
  <si>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</si>
  <si>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</si>
  <si>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</si>
  <si>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</si>
  <si>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</si>
  <si>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</si>
  <si>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</si>
  <si>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</si>
  <si>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</si>
  <si>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</si>
  <si>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</si>
  <si>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</si>
  <si>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</si>
  <si>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</si>
  <si>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</si>
  <si>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</si>
  <si>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</si>
  <si>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</si>
  <si>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</si>
  <si>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</si>
  <si>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</si>
  <si>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</si>
  <si>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</si>
  <si>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</si>
  <si>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</si>
  <si>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</si>
  <si>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</si>
  <si>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</si>
  <si>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</si>
  <si>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</si>
  <si>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</si>
  <si>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</si>
  <si>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</si>
  <si>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</si>
  <si>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</si>
  <si>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</si>
  <si>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</si>
  <si>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</si>
  <si>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</si>
  <si>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</si>
  <si>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</si>
  <si>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</si>
  <si>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</si>
  <si>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</si>
  <si>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</si>
  <si>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</si>
  <si>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</si>
  <si>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</si>
  <si>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</si>
  <si>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</si>
  <si>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</si>
  <si>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</si>
  <si>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</si>
  <si>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</si>
  <si>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</si>
  <si>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</si>
  <si>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</si>
  <si>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</si>
  <si>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</si>
  <si>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</si>
  <si>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</si>
  <si>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</si>
  <si>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</si>
  <si>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</si>
  <si>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</si>
  <si>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</si>
  <si>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</si>
  <si>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</si>
  <si>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</si>
  <si>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</si>
  <si>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</si>
  <si>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</si>
  <si>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</si>
  <si>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</si>
  <si>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</si>
  <si>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</si>
  <si>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</si>
  <si>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</si>
  <si>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</si>
  <si>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</si>
  <si>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</si>
  <si>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</si>
  <si>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</si>
  <si>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</si>
  <si>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</si>
  <si>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</si>
  <si>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</si>
  <si>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</si>
  <si>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</si>
  <si>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</si>
  <si>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</si>
  <si>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</si>
  <si>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</si>
  <si>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</si>
  <si>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</si>
  <si>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</si>
  <si>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</si>
  <si>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</si>
  <si>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</si>
  <si>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</si>
  <si>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</si>
  <si>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</si>
  <si>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</si>
  <si>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</si>
  <si>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</si>
  <si>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</si>
  <si>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</si>
  <si>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</si>
  <si>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</si>
  <si>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</si>
  <si>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</si>
  <si>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</si>
  <si>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</si>
  <si>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</si>
  <si>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</si>
  <si>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</si>
  <si>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</si>
  <si>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</si>
  <si>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</si>
  <si>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</si>
  <si>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</si>
  <si>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</si>
  <si>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</si>
  <si>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</si>
  <si>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</si>
  <si>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</si>
  <si>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</si>
  <si>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</si>
  <si>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</si>
  <si>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</si>
  <si>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</si>
  <si>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</si>
  <si>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</si>
  <si>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</si>
  <si>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</si>
  <si>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</si>
  <si>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</si>
  <si>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</si>
  <si>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</si>
  <si>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</si>
  <si>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</si>
  <si>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</si>
  <si>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</si>
  <si>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</si>
  <si>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</si>
  <si>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</si>
  <si>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</si>
  <si>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</si>
  <si>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</si>
  <si>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</si>
  <si>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</si>
  <si>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</si>
  <si>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</si>
  <si>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</si>
  <si>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</si>
  <si>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</si>
  <si>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</si>
  <si>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</si>
  <si>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</si>
  <si>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</si>
  <si>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</si>
  <si>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</si>
  <si>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</si>
  <si>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</si>
  <si>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</si>
  <si>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</si>
  <si>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</si>
  <si>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</si>
  <si>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</si>
  <si>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</si>
  <si>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</si>
  <si>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</si>
  <si>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</si>
  <si>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</si>
  <si>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</si>
  <si>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</si>
  <si>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</si>
  <si>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</si>
  <si>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</si>
  <si>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</si>
  <si>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</si>
  <si>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</si>
  <si>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</si>
  <si>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</si>
  <si>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</si>
  <si>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</si>
  <si>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</si>
  <si>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</si>
  <si>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</si>
  <si>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</si>
  <si>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</si>
  <si>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</si>
  <si>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</si>
  <si>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</si>
  <si>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</si>
  <si>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</si>
  <si>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</si>
  <si>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</si>
  <si>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</si>
  <si>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</si>
  <si>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</si>
  <si>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</si>
  <si>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</si>
  <si>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</si>
  <si>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</si>
  <si>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</si>
  <si>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</si>
  <si>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</si>
  <si>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</si>
  <si>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</si>
  <si>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</si>
  <si>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</si>
  <si>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</si>
  <si>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</si>
  <si>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</si>
  <si>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</si>
  <si>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</si>
  <si>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</si>
  <si>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</si>
  <si>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</si>
  <si>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</si>
  <si>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</si>
  <si>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</si>
  <si>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</si>
  <si>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</si>
  <si>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</si>
  <si>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</si>
  <si>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</si>
  <si>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</si>
  <si>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</si>
  <si>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</si>
  <si>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</si>
  <si>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</si>
  <si>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</si>
  <si>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</si>
  <si>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</si>
  <si>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</si>
  <si>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</si>
  <si>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</si>
  <si>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</si>
  <si>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</si>
  <si>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</si>
  <si>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</si>
  <si>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</si>
  <si>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</si>
  <si>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</si>
  <si>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</si>
  <si>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</si>
  <si>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</si>
  <si>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</si>
  <si>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</si>
  <si>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</si>
  <si>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</si>
  <si>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</si>
  <si>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</si>
  <si>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</si>
  <si>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</si>
  <si>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</si>
  <si>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</si>
  <si>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</si>
  <si>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</si>
  <si>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</si>
  <si>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</si>
  <si>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</si>
  <si>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</si>
  <si>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</si>
  <si>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</si>
  <si>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</si>
  <si>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</si>
  <si>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</si>
  <si>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</si>
  <si>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</si>
  <si>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</si>
  <si>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</si>
  <si>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</si>
  <si>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</si>
  <si>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</si>
  <si>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</si>
  <si>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</si>
  <si>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</si>
  <si>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</si>
  <si>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</si>
  <si>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</si>
  <si>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</si>
  <si>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</si>
  <si>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</si>
  <si>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</si>
  <si>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</si>
  <si>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</si>
  <si>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</si>
  <si>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</si>
  <si>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</si>
  <si>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</si>
  <si>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</si>
  <si>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</si>
  <si>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</si>
  <si>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</si>
  <si>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</si>
  <si>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</si>
  <si>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</si>
  <si>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</si>
  <si>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</si>
  <si>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</si>
  <si>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</si>
  <si>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</si>
  <si>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</si>
  <si>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</si>
  <si>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</si>
  <si>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</si>
  <si>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</si>
  <si>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</si>
  <si>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</si>
  <si>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</si>
  <si>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</si>
  <si>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</si>
  <si>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</si>
  <si>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</si>
  <si>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</si>
  <si>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</si>
  <si>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</si>
  <si>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</si>
  <si>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</si>
  <si>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</si>
  <si>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</si>
  <si>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</si>
  <si>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</si>
  <si>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</si>
  <si>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</si>
  <si>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</si>
  <si>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</si>
  <si>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</si>
  <si>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</si>
  <si>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</si>
  <si>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</si>
  <si>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</si>
  <si>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</si>
  <si>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</si>
  <si>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</si>
  <si>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</si>
  <si>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</si>
  <si>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</si>
  <si>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</si>
  <si>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</si>
  <si>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</si>
  <si>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</si>
  <si>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</si>
  <si>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</si>
  <si>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</si>
  <si>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</si>
  <si>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</si>
  <si>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</si>
  <si>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</si>
  <si>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</si>
  <si>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</si>
  <si>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</si>
  <si>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</si>
  <si>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</si>
  <si>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</si>
  <si>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</si>
  <si>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</si>
  <si>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</si>
  <si>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</si>
  <si>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</si>
  <si>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</si>
  <si>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</si>
  <si>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</si>
  <si>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</si>
  <si>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</si>
  <si>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</si>
  <si>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</si>
  <si>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</si>
  <si>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</si>
  <si>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</si>
  <si>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</si>
  <si>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</si>
  <si>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</si>
  <si>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</si>
  <si>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</si>
  <si>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</si>
  <si>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</si>
  <si>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</si>
  <si>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</si>
  <si>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</si>
  <si>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</si>
  <si>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</si>
  <si>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</si>
  <si>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</si>
  <si>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</si>
  <si>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</si>
  <si>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</si>
  <si>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</si>
  <si>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</si>
  <si>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</si>
  <si>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</si>
  <si>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</si>
  <si>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</si>
  <si>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</si>
  <si>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</si>
  <si>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</si>
  <si>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</si>
  <si>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</si>
  <si>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</si>
  <si>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</si>
  <si>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</si>
  <si>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</si>
  <si>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</si>
  <si>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</si>
  <si>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</si>
  <si>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</si>
  <si>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</si>
  <si>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</si>
  <si>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</si>
  <si>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</si>
  <si>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</si>
  <si>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</si>
  <si>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</si>
  <si>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</si>
  <si>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</si>
  <si>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</si>
  <si>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</si>
  <si>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</si>
  <si>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</si>
  <si>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</si>
  <si>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</si>
  <si>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</si>
  <si>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</si>
  <si>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</si>
  <si>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</si>
  <si>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</si>
  <si>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</si>
  <si>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</si>
  <si>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</si>
  <si>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</si>
  <si>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</si>
  <si>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</si>
  <si>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</si>
  <si>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</si>
  <si>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</si>
  <si>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</si>
  <si>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</si>
  <si>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</si>
  <si>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</si>
  <si>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</si>
  <si>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</si>
  <si>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</si>
  <si>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</si>
  <si>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</si>
  <si>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</si>
  <si>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</si>
  <si>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</si>
  <si>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</si>
  <si>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</si>
  <si>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</si>
  <si>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</si>
  <si>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</si>
  <si>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</si>
  <si>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</si>
  <si>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</si>
  <si>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</si>
  <si>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</si>
  <si>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</si>
  <si>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</si>
  <si>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</si>
  <si>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</si>
  <si>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</si>
  <si>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</si>
  <si>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</si>
  <si>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</si>
  <si>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</si>
  <si>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</si>
  <si>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</si>
  <si>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</si>
  <si>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</si>
  <si>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</si>
  <si>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</si>
  <si>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</si>
  <si>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</si>
  <si>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</si>
  <si>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</si>
  <si>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</si>
  <si>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</si>
  <si>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</si>
  <si>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</si>
  <si>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</si>
  <si>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</si>
  <si>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</si>
  <si>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</si>
  <si>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</si>
  <si>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</si>
  <si>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</si>
  <si>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</si>
  <si>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</si>
  <si>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</si>
  <si>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</si>
  <si>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</si>
  <si>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</si>
  <si>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</si>
  <si>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</si>
  <si>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</si>
  <si>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</si>
  <si>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</si>
  <si>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</si>
  <si>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</si>
  <si>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</si>
  <si>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</si>
  <si>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</si>
  <si>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</si>
  <si>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</si>
  <si>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</si>
  <si>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</si>
  <si>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</si>
  <si>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</si>
  <si>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</si>
  <si>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</si>
  <si>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</si>
  <si>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</si>
  <si>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</si>
  <si>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</si>
  <si>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</si>
  <si>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</si>
  <si>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</si>
  <si>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</si>
  <si>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</si>
  <si>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</si>
  <si>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</si>
  <si>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</si>
  <si>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</si>
  <si>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</si>
  <si>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</si>
  <si>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</si>
  <si>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</si>
  <si>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</si>
  <si>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</si>
  <si>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</si>
  <si>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</si>
  <si>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</si>
  <si>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</si>
  <si>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</si>
  <si>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</si>
  <si>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</si>
  <si>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</si>
  <si>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</si>
  <si>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</si>
  <si>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</si>
  <si>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</si>
  <si>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</si>
  <si>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</si>
  <si>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</si>
  <si>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</si>
  <si>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</si>
  <si>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</si>
  <si>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</si>
  <si>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</si>
  <si>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</si>
  <si>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</si>
  <si>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</si>
  <si>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</si>
  <si>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</si>
  <si>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</si>
  <si>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</si>
  <si>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</si>
  <si>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</si>
  <si>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</si>
  <si>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</si>
  <si>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</si>
  <si>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</si>
  <si>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</si>
  <si>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</si>
  <si>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</si>
  <si>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</si>
  <si>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</si>
  <si>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</si>
  <si>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</si>
  <si>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</si>
  <si>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</si>
  <si>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</si>
  <si>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</si>
  <si>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</si>
  <si>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</si>
  <si>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</si>
  <si>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</si>
  <si>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</si>
  <si>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</si>
  <si>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</si>
  <si>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</si>
  <si>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</si>
  <si>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</si>
  <si>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</si>
  <si>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</si>
  <si>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</si>
  <si>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</si>
  <si>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</si>
  <si>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</si>
  <si>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</si>
  <si>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</si>
  <si>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</si>
  <si>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</si>
  <si>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</si>
  <si>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</si>
  <si>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</si>
  <si>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</si>
  <si>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</si>
  <si>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</si>
  <si>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</si>
  <si>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</si>
  <si>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</si>
  <si>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</si>
  <si>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</si>
  <si>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</si>
  <si>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</si>
  <si>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</si>
  <si>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</si>
  <si>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</si>
  <si>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</si>
  <si>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</si>
  <si>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</si>
  <si>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</si>
  <si>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</si>
  <si>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</si>
  <si>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</si>
  <si>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</si>
  <si>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</si>
  <si>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</si>
  <si>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</si>
  <si>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</si>
  <si>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</si>
  <si>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</si>
  <si>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</si>
  <si>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</si>
  <si>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</si>
  <si>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</si>
  <si>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</si>
  <si>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</si>
  <si>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</si>
  <si>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</si>
  <si>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</si>
  <si>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</si>
  <si>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</si>
  <si>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</si>
  <si>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</si>
  <si>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</si>
  <si>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</si>
  <si>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</si>
  <si>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</si>
  <si>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</si>
  <si>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</si>
  <si>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</si>
  <si>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</si>
  <si>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</si>
  <si>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</si>
  <si>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</si>
  <si>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</si>
  <si>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</si>
  <si>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</si>
  <si>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</si>
  <si>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</si>
  <si>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</si>
  <si>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</si>
  <si>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</si>
  <si>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</si>
  <si>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</si>
  <si>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</si>
  <si>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</si>
  <si>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</si>
  <si>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</si>
  <si>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</si>
  <si>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</si>
  <si>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</si>
  <si>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</si>
  <si>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</si>
  <si>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</si>
  <si>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</si>
  <si>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</si>
  <si>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</si>
  <si>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</si>
  <si>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</si>
  <si>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</si>
  <si>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</si>
  <si>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</si>
  <si>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</si>
  <si>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</si>
  <si>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</si>
  <si>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</si>
  <si>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</si>
  <si>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</si>
  <si>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</si>
  <si>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</si>
  <si>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</si>
  <si>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</si>
  <si>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</si>
  <si>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</si>
  <si>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</si>
  <si>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</si>
  <si>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</si>
  <si>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</si>
  <si>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</si>
  <si>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</si>
  <si>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</si>
  <si>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</si>
  <si>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</si>
  <si>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</si>
  <si>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</si>
  <si>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</si>
  <si>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</si>
  <si>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</si>
  <si>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</si>
  <si>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</si>
  <si>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</si>
  <si>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</si>
  <si>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</si>
  <si>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</si>
  <si>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</si>
  <si>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</si>
  <si>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</si>
  <si>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</si>
  <si>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</si>
  <si>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</si>
  <si>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</si>
  <si>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</si>
  <si>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</si>
  <si>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</si>
  <si>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</si>
  <si>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</si>
  <si>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</si>
  <si>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</si>
  <si>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</si>
  <si>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</si>
  <si>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</si>
  <si>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</si>
  <si>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</si>
  <si>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</si>
  <si>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</si>
  <si>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</si>
  <si>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</si>
  <si>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</si>
  <si>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</si>
  <si>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</si>
  <si>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</si>
  <si>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</si>
  <si>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</si>
  <si>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</si>
  <si>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</si>
  <si>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</si>
  <si>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</si>
  <si>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</si>
  <si>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</si>
  <si>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</si>
  <si>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</si>
  <si>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</si>
  <si>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</si>
  <si>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</si>
  <si>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</si>
  <si>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</si>
  <si>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</si>
  <si>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</si>
  <si>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</si>
  <si>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</si>
  <si>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</si>
  <si>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</si>
  <si>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</si>
  <si>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</si>
  <si>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</si>
  <si>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</si>
  <si>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</si>
  <si>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</si>
  <si>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</si>
  <si>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</si>
  <si>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</si>
  <si>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</si>
  <si>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</si>
  <si>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</si>
  <si>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</si>
  <si>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</si>
  <si>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</si>
  <si>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</si>
  <si>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</si>
  <si>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</si>
  <si>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</si>
  <si>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</si>
  <si>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</si>
  <si>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</si>
  <si>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</si>
  <si>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</si>
  <si>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</si>
  <si>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</si>
  <si>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</si>
  <si>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</si>
  <si>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</si>
  <si>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</si>
  <si>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</si>
  <si>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</si>
  <si>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</si>
  <si>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</si>
  <si>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</si>
  <si>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</si>
  <si>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</si>
  <si>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</si>
  <si>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</si>
  <si>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</si>
  <si>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</si>
  <si>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</si>
  <si>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</si>
  <si>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</si>
  <si>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</si>
  <si>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</si>
  <si>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</si>
  <si>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</si>
  <si>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</si>
  <si>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</si>
  <si>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</si>
  <si>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</si>
  <si>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</si>
  <si>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</si>
  <si>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</si>
  <si>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</si>
  <si>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</si>
  <si>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</si>
  <si>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</si>
  <si>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</si>
  <si>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</si>
  <si>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</si>
  <si>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</si>
  <si>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</si>
  <si>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</si>
  <si>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</si>
  <si>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</si>
  <si>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</si>
  <si>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</si>
  <si>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</si>
  <si>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</si>
  <si>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</si>
  <si>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</si>
  <si>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</si>
  <si>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</si>
  <si>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</si>
  <si>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</si>
  <si>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</si>
  <si>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</si>
  <si>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</si>
  <si>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</si>
  <si>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</si>
  <si>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</si>
  <si>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</si>
  <si>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</si>
  <si>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</si>
  <si>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</si>
  <si>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</si>
  <si>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</si>
  <si>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</si>
  <si>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</si>
  <si>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</si>
  <si>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</si>
  <si>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</si>
  <si>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</si>
  <si>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</si>
  <si>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</si>
  <si>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</si>
  <si>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</si>
  <si>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</si>
  <si>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</si>
  <si>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</si>
  <si>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</si>
  <si>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</si>
  <si>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</si>
  <si>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</si>
  <si>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</si>
  <si>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</si>
  <si>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</si>
  <si>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</si>
  <si>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</si>
  <si>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</si>
  <si>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</si>
  <si>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</si>
  <si>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</si>
  <si>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</si>
  <si>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</si>
  <si>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</si>
  <si>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</si>
  <si>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</si>
  <si>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</si>
  <si>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</si>
  <si>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</si>
  <si>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</si>
  <si>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</si>
  <si>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</si>
  <si>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</si>
  <si>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</si>
  <si>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</si>
  <si>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</si>
  <si>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</si>
  <si>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</si>
  <si>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</si>
  <si>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</si>
  <si>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</si>
  <si>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</si>
  <si>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</si>
  <si>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</si>
  <si>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</si>
  <si>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</si>
  <si>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</si>
  <si>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</si>
  <si>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</si>
  <si>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</si>
  <si>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</si>
  <si>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</si>
  <si>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</si>
  <si>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</si>
  <si>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</si>
  <si>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</si>
  <si>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</si>
  <si>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</si>
  <si>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</si>
  <si>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</si>
  <si>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</si>
  <si>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</si>
  <si>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</si>
  <si>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</si>
  <si>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</si>
  <si>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</si>
  <si>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</si>
  <si>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</si>
  <si>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</si>
  <si>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</si>
  <si>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</si>
  <si>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</si>
  <si>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</si>
  <si>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</si>
  <si>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</si>
  <si>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</si>
  <si>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</si>
  <si>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</si>
  <si>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</si>
  <si>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</si>
  <si>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</si>
  <si>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</si>
  <si>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</si>
  <si>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</si>
  <si>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</si>
  <si>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</si>
  <si>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</si>
  <si>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</si>
  <si>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</si>
  <si>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</si>
  <si>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</si>
  <si>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</si>
  <si>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</si>
  <si>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</si>
  <si>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</si>
  <si>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</si>
  <si>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</si>
  <si>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</si>
  <si>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</si>
  <si>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</si>
  <si>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</si>
  <si>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</si>
  <si>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</si>
  <si>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</si>
  <si>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</si>
  <si>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</si>
  <si>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</si>
  <si>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</si>
  <si>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</si>
  <si>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</si>
  <si>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</si>
  <si>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</si>
  <si>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</si>
  <si>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</si>
  <si>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</si>
  <si>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</si>
  <si>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</si>
  <si>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</si>
  <si>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</si>
  <si>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</si>
  <si>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</si>
  <si>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</si>
  <si>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</si>
  <si>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</si>
  <si>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</si>
  <si>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</si>
  <si>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</si>
  <si>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</si>
  <si>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</si>
  <si>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</si>
  <si>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</si>
  <si>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</si>
  <si>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</si>
  <si>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</si>
  <si>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</si>
  <si>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</si>
  <si>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</si>
  <si>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</si>
  <si>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</si>
  <si>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</si>
  <si>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</si>
  <si>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</si>
  <si>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</si>
  <si>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</si>
  <si>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</si>
  <si>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</si>
  <si>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</si>
  <si>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</si>
  <si>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</si>
  <si>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</si>
  <si>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</si>
  <si>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</si>
  <si>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</si>
  <si>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</si>
  <si>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</si>
  <si>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</si>
  <si>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</si>
  <si>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</si>
  <si>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</si>
  <si>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</si>
  <si>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</si>
  <si>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</si>
  <si>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</si>
  <si>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</si>
  <si>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</si>
  <si>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</si>
  <si>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</si>
  <si>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</si>
  <si>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</si>
  <si>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</si>
  <si>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</si>
  <si>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</si>
  <si>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</si>
  <si>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</si>
  <si>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</si>
  <si>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</si>
  <si>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</si>
  <si>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</si>
  <si>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</si>
  <si>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</si>
  <si>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</si>
  <si>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</si>
  <si>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</si>
  <si>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</si>
  <si>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</si>
  <si>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</si>
  <si>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</si>
  <si>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</si>
  <si>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</si>
  <si>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</si>
  <si>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</si>
  <si>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</si>
  <si>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</si>
  <si>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</si>
  <si>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</si>
  <si>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</si>
  <si>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</si>
  <si>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</si>
  <si>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</si>
  <si>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</si>
  <si>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</si>
  <si>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</si>
  <si>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</si>
  <si>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</si>
  <si>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</si>
  <si>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</si>
  <si>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</si>
  <si>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</si>
  <si>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</si>
  <si>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</si>
  <si>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</si>
  <si>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</si>
  <si>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</si>
  <si>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</si>
  <si>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</si>
  <si>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</si>
  <si>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</si>
  <si>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</si>
  <si>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</si>
  <si>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</si>
  <si>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</si>
  <si>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</si>
  <si>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</si>
  <si>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</si>
  <si>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</si>
  <si>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</si>
  <si>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</si>
  <si>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</si>
  <si>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</si>
  <si>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</si>
  <si>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</si>
  <si>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</si>
  <si>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</si>
  <si>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</si>
  <si>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</si>
  <si>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</si>
  <si>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</si>
  <si>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</si>
  <si>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</si>
  <si>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</si>
  <si>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</si>
  <si>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</si>
  <si>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</si>
  <si>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</si>
  <si>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</si>
  <si>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</si>
  <si>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</si>
  <si>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</si>
  <si>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</si>
  <si>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</si>
  <si>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</si>
  <si>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</si>
  <si>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</si>
  <si>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</si>
  <si>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</si>
  <si>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</si>
  <si>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</si>
  <si>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</si>
  <si>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</si>
  <si>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</si>
  <si>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</si>
  <si>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</si>
  <si>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</si>
  <si>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</si>
  <si>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</si>
  <si>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</si>
  <si>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</si>
  <si>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</si>
  <si>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</si>
  <si>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</si>
  <si>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</si>
  <si>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</si>
  <si>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</si>
  <si>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</si>
  <si>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</si>
  <si>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</si>
  <si>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</si>
  <si>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</si>
  <si>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</si>
  <si>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</si>
  <si>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</si>
  <si>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</si>
  <si>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</si>
  <si>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</si>
  <si>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</si>
  <si>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</si>
  <si>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</si>
  <si>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</si>
  <si>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</si>
  <si>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</si>
  <si>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</si>
  <si>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</si>
  <si>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</si>
  <si>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</si>
  <si>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</si>
  <si>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</si>
  <si>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</si>
  <si>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</si>
  <si>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</si>
  <si>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</si>
  <si>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</si>
  <si>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</si>
  <si>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</si>
  <si>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</si>
  <si>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</si>
  <si>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</si>
  <si>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</si>
  <si>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</si>
  <si>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</si>
  <si>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</si>
  <si>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</si>
  <si>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</si>
  <si>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</si>
  <si>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</si>
  <si>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</si>
  <si>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</si>
  <si>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</si>
  <si>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</si>
  <si>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</si>
  <si>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</si>
  <si>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</si>
  <si>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</si>
  <si>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</si>
  <si>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</si>
  <si>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</si>
  <si>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</si>
  <si>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</si>
  <si>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</si>
  <si>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</si>
  <si>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</si>
  <si>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</si>
  <si>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</si>
  <si>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</si>
  <si>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</si>
  <si>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</si>
  <si>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</si>
  <si>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</si>
  <si>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</si>
  <si>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</si>
  <si>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</si>
  <si>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</si>
  <si>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</si>
  <si>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</si>
  <si>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</si>
  <si>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</si>
  <si>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</si>
  <si>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</si>
  <si>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</si>
  <si>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</si>
  <si>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</si>
  <si>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</si>
  <si>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</si>
  <si>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</si>
  <si>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</si>
  <si>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</si>
  <si>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</si>
  <si>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</si>
  <si>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</si>
  <si>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</si>
  <si>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</si>
  <si>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</si>
  <si>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</si>
  <si>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</si>
  <si>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</si>
  <si>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</si>
  <si>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</si>
  <si>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</si>
  <si>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</si>
  <si>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</si>
  <si>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</si>
  <si>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</si>
  <si>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</si>
  <si>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</si>
  <si>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</si>
  <si>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</si>
  <si>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</si>
  <si>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</si>
  <si>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</si>
  <si>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</si>
  <si>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</si>
  <si>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</si>
  <si>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</si>
  <si>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</si>
  <si>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</si>
  <si>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</si>
  <si>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</si>
  <si>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</si>
  <si>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</si>
  <si>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</si>
  <si>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</si>
  <si>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</si>
  <si>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</si>
  <si>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</si>
  <si>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</si>
  <si>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</si>
  <si>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</si>
  <si>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</si>
  <si>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</si>
  <si>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</si>
  <si>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</si>
  <si>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</si>
  <si>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</si>
  <si>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</si>
  <si>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</si>
  <si>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</si>
  <si>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</si>
  <si>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</si>
  <si>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</si>
  <si>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</si>
  <si>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</si>
  <si>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</si>
  <si>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</si>
  <si>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</si>
  <si>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</si>
  <si>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</si>
  <si>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</si>
  <si>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</si>
  <si>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</si>
  <si>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</si>
  <si>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</si>
  <si>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</si>
  <si>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</si>
  <si>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</si>
  <si>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</si>
  <si>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</si>
  <si>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</si>
  <si>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</si>
  <si>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</si>
  <si>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</si>
  <si>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</si>
  <si>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</si>
  <si>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</si>
  <si>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</si>
  <si>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</si>
  <si>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</si>
  <si>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</si>
  <si>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</si>
  <si>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</si>
  <si>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</si>
  <si>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</si>
  <si>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</si>
  <si>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</si>
  <si>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</si>
  <si>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</si>
  <si>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</si>
  <si>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</si>
  <si>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</si>
  <si>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</si>
  <si>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</si>
  <si>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</si>
  <si>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</si>
  <si>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</si>
  <si>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</si>
  <si>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</si>
  <si>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</si>
  <si>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</si>
  <si>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</si>
  <si>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</si>
  <si>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</si>
  <si>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</si>
  <si>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</si>
  <si>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</si>
  <si>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</si>
  <si>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</si>
  <si>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</si>
  <si>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</si>
  <si>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</si>
  <si>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</si>
  <si>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</si>
  <si>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</si>
  <si>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</si>
  <si>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</si>
  <si>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</si>
  <si>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</si>
  <si>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</si>
  <si>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</si>
  <si>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</si>
  <si>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</si>
  <si>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</si>
  <si>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</si>
  <si>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</si>
  <si>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</si>
  <si>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</si>
  <si>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</si>
  <si>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</si>
  <si>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</si>
  <si>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</si>
  <si>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</si>
  <si>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</si>
  <si>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</si>
  <si>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</si>
  <si>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</si>
  <si>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</si>
  <si>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</si>
  <si>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</si>
  <si>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</si>
  <si>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</si>
  <si>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</si>
  <si>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</si>
  <si>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</si>
  <si>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</si>
  <si>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</si>
  <si>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</si>
  <si>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</si>
  <si>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</si>
  <si>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</si>
  <si>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</si>
  <si>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</si>
  <si>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</si>
  <si>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</si>
  <si>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</si>
  <si>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</si>
  <si>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</si>
  <si>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</si>
  <si>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</si>
  <si>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</si>
  <si>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</si>
  <si>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</si>
  <si>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</si>
  <si>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</si>
  <si>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</si>
  <si>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</si>
  <si>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</si>
  <si>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</si>
  <si>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</si>
  <si>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</si>
  <si>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</si>
  <si>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</si>
  <si>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</si>
  <si>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</si>
  <si>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</si>
  <si>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</si>
  <si>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</si>
  <si>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</si>
  <si>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</si>
  <si>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</si>
  <si>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</si>
  <si>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</si>
  <si>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</si>
  <si>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</si>
  <si>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</si>
  <si>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</si>
  <si>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</si>
  <si>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</si>
  <si>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</si>
  <si>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</si>
  <si>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</si>
  <si>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</si>
  <si>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</si>
  <si>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</si>
  <si>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</si>
  <si>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</si>
  <si>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</si>
  <si>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</si>
  <si>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</si>
  <si>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</si>
  <si>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</si>
  <si>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</si>
  <si>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</si>
  <si>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</si>
  <si>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</si>
  <si>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</si>
  <si>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</si>
  <si>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</si>
  <si>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</si>
  <si>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</si>
  <si>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</si>
  <si>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</si>
  <si>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</si>
  <si>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</si>
  <si>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</si>
  <si>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</si>
  <si>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</si>
  <si>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</si>
  <si>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</si>
  <si>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</si>
  <si>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</si>
  <si>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</si>
  <si>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</si>
  <si>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</si>
  <si>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</si>
  <si>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</si>
  <si>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</si>
  <si>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</si>
  <si>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</si>
  <si>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</si>
  <si>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</si>
  <si>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</si>
  <si>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</si>
  <si>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</si>
  <si>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</si>
  <si>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</si>
  <si>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</si>
  <si>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</si>
  <si>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</si>
  <si>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</si>
  <si>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</si>
  <si>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</si>
  <si>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</si>
  <si>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</si>
  <si>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</si>
  <si>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</si>
  <si>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</si>
  <si>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</si>
  <si>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</si>
  <si>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</si>
  <si>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</si>
  <si>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</si>
  <si>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</si>
  <si>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</si>
  <si>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</si>
  <si>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</si>
  <si>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</si>
  <si>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</si>
  <si>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</si>
  <si>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</si>
  <si>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</si>
  <si>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</si>
  <si>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</si>
  <si>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</si>
  <si>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</si>
  <si>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</si>
  <si>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</si>
  <si>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</si>
  <si>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</si>
  <si>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</si>
  <si>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</si>
  <si>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</si>
  <si>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</si>
  <si>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</si>
  <si>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</si>
  <si>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</si>
  <si>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</si>
  <si>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</si>
  <si>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</si>
  <si>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</si>
  <si>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</si>
  <si>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</si>
  <si>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</si>
  <si>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</si>
  <si>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</si>
  <si>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</si>
  <si>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</si>
  <si>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</si>
  <si>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</si>
  <si>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</si>
  <si>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</si>
  <si>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</si>
  <si>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</si>
  <si>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</si>
  <si>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</si>
  <si>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</si>
  <si>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</si>
  <si>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</si>
  <si>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</si>
  <si>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</si>
  <si>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</si>
  <si>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</si>
  <si>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</si>
  <si>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</si>
  <si>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</si>
  <si>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</si>
  <si>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</si>
  <si>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</si>
  <si>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</si>
  <si>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</si>
  <si>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</si>
  <si>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</si>
  <si>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</si>
  <si>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</si>
  <si>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</si>
  <si>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</si>
  <si>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</si>
  <si>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</si>
  <si>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</si>
  <si>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</si>
  <si>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</si>
  <si>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</si>
  <si>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</si>
  <si>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</si>
  <si>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</si>
  <si>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</si>
  <si>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</si>
  <si>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</si>
  <si>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</si>
  <si>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</si>
  <si>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</si>
  <si>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</si>
  <si>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</si>
  <si>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</si>
  <si>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</si>
  <si>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</si>
  <si>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</si>
  <si>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</si>
  <si>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</si>
  <si>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</si>
  <si>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</si>
  <si>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</si>
  <si>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</si>
  <si>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</si>
  <si>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</si>
  <si>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</si>
  <si>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</si>
  <si>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</si>
  <si>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</si>
  <si>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</si>
  <si>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</si>
  <si>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</si>
  <si>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</si>
  <si>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</si>
  <si>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</si>
  <si>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</si>
  <si>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</si>
  <si>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</si>
  <si>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</si>
  <si>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</si>
  <si>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</si>
  <si>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</si>
  <si>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</si>
  <si>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</si>
  <si>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</si>
  <si>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</si>
  <si>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</si>
  <si>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</si>
  <si>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</si>
  <si>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</si>
  <si>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</si>
  <si>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</si>
  <si>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</si>
  <si>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</si>
  <si>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</si>
  <si>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</si>
  <si>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</si>
  <si>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</si>
  <si>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</si>
  <si>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</si>
  <si>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</si>
  <si>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</si>
  <si>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</si>
  <si>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</si>
  <si>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</si>
  <si>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</si>
  <si>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</si>
  <si>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</si>
  <si>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</si>
  <si>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</si>
  <si>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</si>
  <si>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</si>
  <si>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</si>
  <si>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</si>
  <si>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</si>
  <si>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</si>
  <si>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</si>
  <si>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</si>
  <si>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</si>
  <si>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</si>
  <si>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</si>
  <si>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</si>
  <si>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</si>
  <si>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</si>
  <si>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</si>
  <si>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</si>
  <si>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</si>
  <si>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</si>
  <si>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</si>
  <si>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</si>
  <si>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</si>
  <si>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</si>
  <si>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</si>
  <si>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</si>
  <si>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</si>
  <si>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</si>
  <si>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</si>
  <si>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</si>
  <si>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</si>
  <si>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</si>
  <si>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</si>
  <si>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</si>
  <si>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</si>
  <si>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</si>
  <si>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</si>
  <si>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</si>
  <si>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</si>
  <si>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</si>
  <si>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</si>
  <si>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</si>
  <si>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</si>
  <si>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</si>
  <si>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</si>
  <si>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</si>
  <si>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</si>
  <si>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</si>
  <si>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</si>
  <si>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</si>
  <si>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</si>
  <si>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</si>
  <si>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</si>
  <si>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</si>
  <si>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</si>
  <si>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</si>
  <si>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</si>
  <si>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</si>
  <si>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</si>
  <si>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</si>
  <si>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</si>
  <si>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</si>
  <si>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</si>
  <si>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</si>
  <si>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</si>
  <si>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</si>
  <si>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</si>
  <si>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</si>
  <si>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</si>
  <si>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</si>
  <si>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</si>
  <si>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</si>
  <si>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</si>
  <si>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</si>
  <si>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</si>
  <si>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</si>
  <si>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</si>
  <si>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</si>
  <si>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</si>
  <si>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</si>
  <si>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</si>
  <si>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</si>
  <si>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</si>
  <si>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</si>
  <si>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</si>
  <si>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</si>
  <si>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</si>
  <si>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</si>
  <si>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</si>
  <si>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</si>
  <si>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</si>
  <si>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</si>
  <si>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</si>
  <si>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</si>
  <si>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</si>
  <si>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</si>
  <si>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</si>
  <si>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</si>
  <si>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</si>
  <si>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</si>
  <si>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</si>
  <si>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</si>
  <si>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</si>
  <si>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</si>
  <si>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</si>
  <si>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</si>
  <si>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</si>
  <si>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</si>
  <si>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</si>
  <si>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</si>
  <si>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</si>
  <si>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</si>
  <si>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</si>
  <si>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</si>
  <si>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</si>
  <si>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</si>
  <si>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</si>
  <si>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</si>
  <si>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</si>
  <si>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</si>
  <si>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</si>
  <si>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</si>
  <si>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</si>
  <si>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</si>
  <si>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</si>
  <si>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</si>
  <si>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</si>
  <si>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</si>
  <si>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</si>
  <si>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</si>
  <si>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</si>
  <si>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</si>
  <si>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</si>
  <si>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</si>
  <si>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</si>
  <si>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</si>
  <si>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</si>
  <si>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</si>
  <si>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</si>
  <si>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</si>
  <si>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</si>
  <si>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</si>
  <si>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</si>
  <si>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</si>
  <si>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</si>
  <si>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</si>
  <si>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</si>
  <si>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</si>
  <si>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</si>
  <si>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</si>
  <si>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</si>
  <si>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</si>
  <si>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</si>
  <si>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</si>
  <si>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</si>
  <si>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</si>
  <si>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</si>
  <si>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</si>
  <si>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</si>
  <si>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</si>
  <si>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</si>
  <si>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</si>
  <si>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</si>
  <si>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</si>
  <si>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</si>
  <si>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</si>
  <si>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</si>
  <si>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</si>
  <si>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</si>
  <si>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</si>
  <si>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</si>
  <si>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</si>
  <si>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</si>
  <si>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</si>
  <si>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</si>
  <si>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</si>
  <si>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</si>
  <si>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</si>
  <si>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</si>
  <si>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</si>
  <si>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</si>
  <si>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</si>
  <si>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</si>
  <si>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</si>
  <si>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</si>
  <si>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</si>
  <si>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</si>
  <si>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</si>
  <si>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</si>
  <si>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</si>
  <si>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</si>
  <si>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</si>
  <si>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</si>
  <si>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</si>
  <si>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</si>
  <si>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</si>
  <si>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</si>
  <si>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</si>
  <si>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</si>
  <si>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</si>
  <si>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</si>
  <si>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</si>
  <si>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</si>
  <si>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</si>
  <si>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</si>
  <si>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</si>
  <si>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</si>
  <si>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</si>
  <si>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</si>
  <si>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</si>
  <si>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</si>
  <si>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</si>
  <si>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</si>
  <si>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</si>
  <si>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</si>
  <si>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</si>
  <si>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</si>
  <si>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</si>
  <si>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</si>
  <si>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</si>
  <si>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</si>
  <si>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</si>
  <si>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</si>
  <si>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</si>
  <si>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</si>
  <si>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</si>
  <si>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</si>
  <si>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</si>
  <si>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</si>
  <si>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</si>
  <si>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</si>
  <si>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</si>
  <si>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</si>
  <si>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</si>
  <si>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</si>
  <si>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</si>
  <si>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</si>
  <si>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</si>
  <si>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</si>
  <si>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</si>
  <si>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</si>
  <si>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</si>
  <si>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</si>
  <si>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</si>
  <si>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</si>
  <si>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</si>
  <si>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</si>
  <si>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</si>
  <si>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</si>
  <si>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</si>
  <si>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</si>
  <si>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</si>
  <si>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</si>
  <si>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</si>
  <si>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</si>
  <si>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</si>
  <si>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</si>
  <si>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</si>
  <si>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</si>
  <si>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</si>
  <si>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</si>
  <si>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</si>
  <si>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</si>
  <si>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</si>
  <si>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</si>
  <si>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</si>
  <si>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</si>
  <si>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</si>
  <si>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</si>
  <si>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</si>
  <si>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</si>
  <si>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</si>
  <si>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</si>
  <si>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</si>
  <si>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</si>
  <si>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</si>
  <si>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</si>
  <si>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</si>
  <si>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</si>
  <si>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</si>
  <si>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</si>
  <si>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</si>
  <si>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</si>
  <si>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</si>
  <si>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</si>
  <si>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</si>
  <si>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</si>
  <si>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</si>
  <si>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</si>
  <si>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</si>
  <si>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</si>
  <si>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</si>
  <si>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</si>
  <si>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</si>
  <si>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</si>
  <si>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</si>
  <si>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</si>
  <si>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</si>
  <si>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</si>
  <si>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</si>
  <si>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</si>
  <si>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</si>
  <si>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</si>
  <si>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</si>
  <si>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</si>
  <si>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</si>
  <si>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</si>
  <si>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</si>
  <si>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</si>
  <si>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</si>
  <si>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</si>
  <si>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</si>
  <si>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</si>
  <si>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</si>
  <si>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</si>
  <si>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</si>
  <si>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</si>
  <si>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</si>
  <si>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</si>
  <si>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</si>
  <si>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</si>
  <si>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</si>
  <si>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</si>
  <si>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</si>
  <si>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</si>
  <si>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</si>
  <si>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</si>
  <si>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</si>
  <si>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</si>
  <si>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</si>
  <si>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</si>
  <si>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</si>
  <si>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</si>
  <si>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</si>
  <si>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</si>
  <si>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</si>
  <si>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</si>
  <si>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</si>
  <si>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</si>
  <si>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</si>
  <si>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</si>
  <si>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</si>
  <si>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</si>
  <si>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</si>
  <si>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</si>
  <si>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</si>
  <si>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</si>
  <si>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</si>
  <si>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</si>
  <si>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</si>
  <si>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</si>
  <si>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</si>
  <si>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</si>
  <si>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</si>
  <si>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</si>
  <si>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</si>
  <si>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</si>
  <si>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</si>
  <si>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</si>
  <si>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</si>
  <si>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</si>
  <si>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</si>
  <si>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</si>
  <si>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</si>
  <si>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</si>
  <si>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</si>
  <si>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</si>
  <si>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</si>
  <si>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</si>
  <si>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</si>
  <si>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</si>
  <si>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</si>
  <si>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</si>
  <si>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</si>
  <si>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</si>
  <si>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</si>
  <si>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</si>
  <si>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</si>
  <si>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</si>
  <si>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</si>
  <si>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</si>
  <si>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</si>
  <si>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</si>
  <si>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</si>
  <si>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</si>
  <si>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</si>
  <si>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</si>
  <si>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</si>
  <si>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</si>
  <si>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</si>
  <si>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</si>
  <si>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</si>
  <si>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</si>
  <si>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</si>
  <si>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</si>
  <si>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</si>
  <si>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</si>
  <si>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</si>
  <si>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</si>
  <si>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</si>
  <si>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</si>
  <si>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</si>
  <si>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</si>
  <si>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</si>
  <si>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</si>
  <si>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</si>
  <si>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</si>
  <si>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</si>
  <si>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</si>
  <si>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</si>
  <si>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</si>
  <si>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</si>
  <si>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</si>
  <si>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</si>
  <si>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</si>
  <si>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</si>
  <si>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</si>
  <si>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</si>
  <si>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</si>
  <si>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</si>
  <si>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</si>
  <si>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</si>
  <si>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</si>
  <si>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</si>
  <si>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</si>
  <si>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</si>
  <si>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</si>
  <si>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</si>
  <si>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</si>
  <si>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</si>
  <si>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</si>
  <si>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</si>
  <si>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</si>
  <si>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</si>
  <si>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</si>
  <si>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보트 시트 수정 / 와이어로프 교체(손상 원인 파악/와이어로프 회수요함) / 작업등 절연불량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</si>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</sst>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10" zoomScaleNormal="100" workbookViewId="0">
      <selection activeCell="H221" sqref="H22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43" t="s">
        <v>3294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4759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4596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4"/>
      <c r="Q22" s="645"/>
      <c r="R22" s="645"/>
      <c r="S22" s="645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4597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644"/>
      <c r="Q27" s="645"/>
      <c r="R27" s="645"/>
      <c r="S27" s="645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4610</v>
      </c>
      <c r="P36" s="644"/>
      <c r="Q36" s="645"/>
      <c r="R36" s="645"/>
      <c r="S36" s="645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644"/>
      <c r="Q37" s="645"/>
      <c r="R37" s="645"/>
      <c r="S37" s="645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4"/>
      <c r="Q40" s="645"/>
      <c r="R40" s="645"/>
      <c r="S40" s="645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4"/>
      <c r="Q41" s="645"/>
      <c r="R41" s="645"/>
      <c r="S41" s="645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4804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4809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4" t="s">
        <v>4426</v>
      </c>
      <c r="Q43" s="645"/>
      <c r="R43" s="645"/>
      <c r="S43" s="645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4589</v>
      </c>
      <c r="F46" s="31" t="s">
        <v>4388</v>
      </c>
      <c r="G46" s="16" t="s">
        <v>4590</v>
      </c>
      <c r="H46" s="199" t="s">
        <v>4598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4681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4770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4581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4562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4787</v>
      </c>
      <c r="P61" s="644"/>
      <c r="Q61" s="645"/>
      <c r="R61" s="645"/>
      <c r="S61" s="645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644"/>
      <c r="Q64" s="645"/>
      <c r="R64" s="645"/>
      <c r="S64" s="645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4582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4720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4626</v>
      </c>
      <c r="P67" s="644"/>
      <c r="Q67" s="645"/>
      <c r="R67" s="645"/>
      <c r="S67" s="645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4600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4599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4563</v>
      </c>
      <c r="G72" s="285" t="s">
        <v>4564</v>
      </c>
      <c r="H72" s="126" t="s">
        <v>4565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4"/>
      <c r="Q74" s="645"/>
      <c r="R74" s="645"/>
      <c r="S74" s="645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4569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4574</v>
      </c>
      <c r="F78" s="31" t="s">
        <v>4491</v>
      </c>
      <c r="G78" s="16" t="s">
        <v>4495</v>
      </c>
      <c r="H78" s="199" t="s">
        <v>4572</v>
      </c>
      <c r="I78" s="31" t="s">
        <v>4492</v>
      </c>
      <c r="J78" s="31"/>
      <c r="K78" s="126" t="s">
        <v>15</v>
      </c>
      <c r="L78" s="16" t="s">
        <v>4566</v>
      </c>
      <c r="M78" s="8">
        <v>2</v>
      </c>
      <c r="N78" s="31"/>
      <c r="O78" s="456" t="s">
        <v>4573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4576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4665</v>
      </c>
      <c r="E81" s="199" t="s">
        <v>4475</v>
      </c>
      <c r="F81" s="31">
        <v>222003</v>
      </c>
      <c r="G81" s="16" t="s">
        <v>4513</v>
      </c>
      <c r="H81" s="322" t="s">
        <v>4773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4571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4560</v>
      </c>
      <c r="F82" s="31" t="s">
        <v>109</v>
      </c>
      <c r="G82" s="16" t="s">
        <v>4559</v>
      </c>
      <c r="H82" s="322" t="s">
        <v>4772</v>
      </c>
      <c r="I82" s="31" t="s">
        <v>4561</v>
      </c>
      <c r="J82" s="31" t="s">
        <v>4567</v>
      </c>
      <c r="K82" s="126" t="s">
        <v>15</v>
      </c>
      <c r="L82" s="16">
        <v>9080</v>
      </c>
      <c r="M82" s="8">
        <v>2</v>
      </c>
      <c r="N82" s="31"/>
      <c r="O82" s="456" t="s">
        <v>4568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4577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4578</v>
      </c>
      <c r="P83" s="644"/>
      <c r="Q83" s="645"/>
      <c r="R83" s="645"/>
      <c r="S83" s="645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4774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4586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4585</v>
      </c>
      <c r="F85" s="299" t="s">
        <v>4433</v>
      </c>
      <c r="G85" s="16" t="s">
        <v>23</v>
      </c>
      <c r="H85" s="199" t="s">
        <v>4587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4579</v>
      </c>
      <c r="P85" s="644"/>
      <c r="Q85" s="645"/>
      <c r="R85" s="645"/>
      <c r="S85" s="645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4595</v>
      </c>
      <c r="I86" s="31" t="s">
        <v>4525</v>
      </c>
      <c r="J86" s="31"/>
      <c r="K86" s="126" t="s">
        <v>15</v>
      </c>
      <c r="L86" s="16" t="s">
        <v>4591</v>
      </c>
      <c r="M86" s="8">
        <v>1</v>
      </c>
      <c r="N86" s="446" t="s">
        <v>4480</v>
      </c>
      <c r="O86" s="453" t="s">
        <v>4570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4783</v>
      </c>
      <c r="I87" s="31"/>
      <c r="J87" s="31" t="s">
        <v>4575</v>
      </c>
      <c r="K87" s="126" t="s">
        <v>4554</v>
      </c>
      <c r="L87" s="16">
        <v>9080</v>
      </c>
      <c r="M87" s="8">
        <v>2</v>
      </c>
      <c r="N87" s="31"/>
      <c r="O87" s="453" t="s">
        <v>4580</v>
      </c>
      <c r="P87" s="17" t="s">
        <v>4784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4588</v>
      </c>
      <c r="F88" s="31" t="s">
        <v>4502</v>
      </c>
      <c r="G88" s="16" t="s">
        <v>4509</v>
      </c>
      <c r="H88" s="299" t="s">
        <v>4628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4583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4611</v>
      </c>
      <c r="I89" s="31"/>
      <c r="J89" s="31" t="s">
        <v>4575</v>
      </c>
      <c r="K89" s="126" t="s">
        <v>4554</v>
      </c>
      <c r="L89" s="16">
        <v>9080</v>
      </c>
      <c r="M89" s="8">
        <v>2</v>
      </c>
      <c r="N89" s="31"/>
      <c r="O89" s="453" t="s">
        <v>4602</v>
      </c>
      <c r="P89" s="17" t="s">
        <v>4784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4775</v>
      </c>
      <c r="I93" s="199"/>
      <c r="J93" s="199" t="s">
        <v>4612</v>
      </c>
      <c r="K93" s="126" t="s">
        <v>15</v>
      </c>
      <c r="L93" s="16">
        <v>8585</v>
      </c>
      <c r="M93" s="8">
        <v>1</v>
      </c>
      <c r="N93" s="31" t="s">
        <v>4558</v>
      </c>
      <c r="O93" s="455" t="s">
        <v>4360</v>
      </c>
      <c r="P93" s="644" t="s">
        <v>4426</v>
      </c>
      <c r="Q93" s="645"/>
      <c r="R93" s="645"/>
      <c r="S93" s="645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4606</v>
      </c>
      <c r="F94" s="199" t="s">
        <v>4593</v>
      </c>
      <c r="G94" s="16" t="s">
        <v>4594</v>
      </c>
      <c r="H94" s="199" t="s">
        <v>4633</v>
      </c>
      <c r="I94" s="31" t="s">
        <v>4592</v>
      </c>
      <c r="J94" s="31"/>
      <c r="K94" s="126" t="s">
        <v>15</v>
      </c>
      <c r="L94" s="16"/>
      <c r="M94" s="8">
        <v>1</v>
      </c>
      <c r="N94" s="31" t="s">
        <v>4624</v>
      </c>
      <c r="O94" s="456" t="s">
        <v>4605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4776</v>
      </c>
      <c r="I95" s="199"/>
      <c r="J95" s="199" t="s">
        <v>4612</v>
      </c>
      <c r="K95" s="126" t="s">
        <v>15</v>
      </c>
      <c r="L95" s="16">
        <v>8585</v>
      </c>
      <c r="M95" s="8">
        <v>1</v>
      </c>
      <c r="N95" s="31" t="s">
        <v>4646</v>
      </c>
      <c r="O95" s="455" t="s">
        <v>4604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4650</v>
      </c>
      <c r="I96" s="199" t="s">
        <v>4601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4603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4608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4578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4651</v>
      </c>
      <c r="I98" s="199"/>
      <c r="J98" s="31" t="s">
        <v>4647</v>
      </c>
      <c r="K98" s="126" t="s">
        <v>15</v>
      </c>
      <c r="L98" s="16"/>
      <c r="M98" s="8">
        <v>2</v>
      </c>
      <c r="N98" s="31"/>
      <c r="O98" s="456" t="s">
        <v>4634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4637</v>
      </c>
      <c r="G99" s="16" t="s">
        <v>4631</v>
      </c>
      <c r="H99" s="322" t="s">
        <v>4653</v>
      </c>
      <c r="I99" s="199" t="s">
        <v>90</v>
      </c>
      <c r="J99" s="31" t="s">
        <v>4649</v>
      </c>
      <c r="K99" s="126" t="s">
        <v>15</v>
      </c>
      <c r="L99" s="16"/>
      <c r="M99" s="8">
        <v>2</v>
      </c>
      <c r="N99" s="31"/>
      <c r="O99" s="456" t="s">
        <v>4638</v>
      </c>
      <c r="P99" s="423" t="s">
        <v>4632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4645</v>
      </c>
      <c r="F100" s="199" t="s">
        <v>4648</v>
      </c>
      <c r="G100" s="16" t="s">
        <v>151</v>
      </c>
      <c r="H100" s="322" t="s">
        <v>4652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4636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4644</v>
      </c>
      <c r="F101" s="31" t="s">
        <v>2825</v>
      </c>
      <c r="G101" s="16" t="s">
        <v>4642</v>
      </c>
      <c r="H101" s="199" t="s">
        <v>4658</v>
      </c>
      <c r="I101" s="31" t="s">
        <v>4656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4607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4613</v>
      </c>
      <c r="I102" s="31"/>
      <c r="J102" s="31" t="s">
        <v>4614</v>
      </c>
      <c r="K102" s="126" t="s">
        <v>15</v>
      </c>
      <c r="L102" s="16"/>
      <c r="M102" s="8">
        <v>2</v>
      </c>
      <c r="N102" s="31"/>
      <c r="O102" s="456" t="s">
        <v>4620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4659</v>
      </c>
      <c r="F103" s="199">
        <v>222003</v>
      </c>
      <c r="G103" s="16" t="s">
        <v>4660</v>
      </c>
      <c r="H103" s="322" t="s">
        <v>4777</v>
      </c>
      <c r="I103" s="31"/>
      <c r="J103" s="31" t="s">
        <v>4661</v>
      </c>
      <c r="K103" s="126" t="s">
        <v>15</v>
      </c>
      <c r="L103" s="16"/>
      <c r="M103" s="8">
        <v>1</v>
      </c>
      <c r="N103" s="31"/>
      <c r="O103" s="456" t="s">
        <v>4662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4588</v>
      </c>
      <c r="F104" s="31" t="s">
        <v>2825</v>
      </c>
      <c r="G104" s="16" t="s">
        <v>4641</v>
      </c>
      <c r="H104" s="322" t="s">
        <v>4667</v>
      </c>
      <c r="I104" s="31"/>
      <c r="J104" s="31" t="s">
        <v>4584</v>
      </c>
      <c r="K104" s="126" t="s">
        <v>32</v>
      </c>
      <c r="L104" s="16"/>
      <c r="M104" s="8">
        <v>2</v>
      </c>
      <c r="N104" s="31" t="s">
        <v>4669</v>
      </c>
      <c r="O104" s="455" t="s">
        <v>4635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4588</v>
      </c>
      <c r="F105" s="31" t="s">
        <v>2825</v>
      </c>
      <c r="G105" s="16" t="s">
        <v>4641</v>
      </c>
      <c r="H105" s="199" t="s">
        <v>4668</v>
      </c>
      <c r="I105" s="31"/>
      <c r="J105" s="31" t="s">
        <v>4663</v>
      </c>
      <c r="K105" s="126" t="s">
        <v>32</v>
      </c>
      <c r="L105" s="16">
        <v>9080</v>
      </c>
      <c r="M105" s="8">
        <v>2</v>
      </c>
      <c r="N105" s="31"/>
      <c r="O105" s="454" t="s">
        <v>4664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4655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4588</v>
      </c>
      <c r="F107" s="31" t="s">
        <v>2825</v>
      </c>
      <c r="G107" s="16" t="s">
        <v>1392</v>
      </c>
      <c r="H107" s="322" t="s">
        <v>4675</v>
      </c>
      <c r="I107" s="31"/>
      <c r="J107" s="31" t="s">
        <v>4673</v>
      </c>
      <c r="K107" s="126" t="s">
        <v>32</v>
      </c>
      <c r="L107" s="16"/>
      <c r="M107" s="8">
        <v>1</v>
      </c>
      <c r="N107" s="199" t="s">
        <v>4676</v>
      </c>
      <c r="O107" s="455" t="s">
        <v>4674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4630</v>
      </c>
      <c r="G109" s="16" t="s">
        <v>4640</v>
      </c>
      <c r="H109" s="199" t="s">
        <v>4639</v>
      </c>
      <c r="I109" s="31"/>
      <c r="J109" s="31" t="s">
        <v>4629</v>
      </c>
      <c r="K109" s="126" t="s">
        <v>15</v>
      </c>
      <c r="L109" s="16"/>
      <c r="M109" s="8">
        <v>3</v>
      </c>
      <c r="N109" s="31"/>
      <c r="O109" s="456" t="s">
        <v>4627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4617</v>
      </c>
      <c r="G112" s="16" t="s">
        <v>4619</v>
      </c>
      <c r="H112" s="199" t="s">
        <v>4618</v>
      </c>
      <c r="I112" s="31" t="s">
        <v>4625</v>
      </c>
      <c r="J112" s="199" t="s">
        <v>4686</v>
      </c>
      <c r="K112" s="126" t="s">
        <v>4666</v>
      </c>
      <c r="L112" s="16">
        <v>9080</v>
      </c>
      <c r="M112" s="8">
        <v>6</v>
      </c>
      <c r="N112" s="31"/>
      <c r="O112" s="456" t="s">
        <v>4627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4778</v>
      </c>
      <c r="I114" s="31" t="s">
        <v>4671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4670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4691</v>
      </c>
      <c r="E115" s="444" t="s">
        <v>4690</v>
      </c>
      <c r="F115" s="318">
        <v>222003</v>
      </c>
      <c r="G115" s="203" t="s">
        <v>4689</v>
      </c>
      <c r="H115" s="318" t="s">
        <v>4688</v>
      </c>
      <c r="I115" s="319"/>
      <c r="J115" s="319" t="s">
        <v>4692</v>
      </c>
      <c r="K115" s="317" t="s">
        <v>66</v>
      </c>
      <c r="L115" s="203"/>
      <c r="M115" s="188">
        <v>1</v>
      </c>
      <c r="N115" s="31" t="s">
        <v>4694</v>
      </c>
      <c r="O115" s="461" t="s">
        <v>4693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4697</v>
      </c>
      <c r="G116" s="16" t="s">
        <v>4696</v>
      </c>
      <c r="H116" s="199" t="s">
        <v>4699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4627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4615</v>
      </c>
      <c r="I117" s="31" t="s">
        <v>203</v>
      </c>
      <c r="J117" s="199" t="s">
        <v>4616</v>
      </c>
      <c r="K117" s="126" t="s">
        <v>182</v>
      </c>
      <c r="L117" s="16">
        <v>9080</v>
      </c>
      <c r="M117" s="8">
        <v>6</v>
      </c>
      <c r="N117" s="31"/>
      <c r="O117" s="456" t="s">
        <v>4687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4672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4695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4615</v>
      </c>
      <c r="I119" s="31" t="s">
        <v>203</v>
      </c>
      <c r="J119" s="199" t="s">
        <v>4616</v>
      </c>
      <c r="K119" s="126" t="s">
        <v>182</v>
      </c>
      <c r="L119" s="16">
        <v>9080</v>
      </c>
      <c r="M119" s="8">
        <v>6</v>
      </c>
      <c r="N119" s="31" t="s">
        <v>4684</v>
      </c>
      <c r="O119" s="456" t="s">
        <v>4687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4719</v>
      </c>
      <c r="I121" s="31" t="s">
        <v>203</v>
      </c>
      <c r="J121" s="199" t="s">
        <v>4616</v>
      </c>
      <c r="K121" s="126" t="s">
        <v>182</v>
      </c>
      <c r="L121" s="16">
        <v>9080</v>
      </c>
      <c r="M121" s="8">
        <v>6</v>
      </c>
      <c r="N121" s="31" t="s">
        <v>4657</v>
      </c>
      <c r="O121" s="456" t="s">
        <v>4627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4678</v>
      </c>
      <c r="F122" s="31" t="s">
        <v>4782</v>
      </c>
      <c r="G122" s="16" t="s">
        <v>1384</v>
      </c>
      <c r="H122" s="322" t="s">
        <v>4679</v>
      </c>
      <c r="I122" s="31" t="s">
        <v>4698</v>
      </c>
      <c r="J122" s="31" t="s">
        <v>2836</v>
      </c>
      <c r="K122" s="126" t="s">
        <v>32</v>
      </c>
      <c r="L122" s="443" t="s">
        <v>4680</v>
      </c>
      <c r="M122" s="8">
        <v>2</v>
      </c>
      <c r="N122" s="31"/>
      <c r="O122" s="453" t="s">
        <v>4683</v>
      </c>
      <c r="P122" s="423" t="s">
        <v>4704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4643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4621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4622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4623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4701</v>
      </c>
      <c r="F132" s="31">
        <v>3307</v>
      </c>
      <c r="G132" s="16" t="s">
        <v>812</v>
      </c>
      <c r="H132" s="199" t="s">
        <v>4771</v>
      </c>
      <c r="I132" s="31" t="s">
        <v>4727</v>
      </c>
      <c r="J132" s="31" t="s">
        <v>4702</v>
      </c>
      <c r="K132" s="126"/>
      <c r="L132" s="16"/>
      <c r="M132" s="8">
        <v>2</v>
      </c>
      <c r="N132" s="299" t="s">
        <v>4730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4728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4779</v>
      </c>
      <c r="I134" s="31" t="s">
        <v>4712</v>
      </c>
      <c r="J134" s="199" t="s">
        <v>4711</v>
      </c>
      <c r="K134" s="126" t="s">
        <v>15</v>
      </c>
      <c r="L134" s="16"/>
      <c r="M134" s="8">
        <v>4</v>
      </c>
      <c r="N134" s="446" t="s">
        <v>4739</v>
      </c>
      <c r="O134" s="455" t="s">
        <v>4751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4710</v>
      </c>
      <c r="G135" s="16" t="s">
        <v>23</v>
      </c>
      <c r="H135" s="199" t="s">
        <v>4780</v>
      </c>
      <c r="I135" s="126" t="s">
        <v>4715</v>
      </c>
      <c r="J135" s="199" t="s">
        <v>642</v>
      </c>
      <c r="K135" s="126" t="s">
        <v>15</v>
      </c>
      <c r="L135" s="16"/>
      <c r="M135" s="8">
        <v>3</v>
      </c>
      <c r="N135" s="6" t="s">
        <v>4740</v>
      </c>
      <c r="O135" s="455" t="s">
        <v>4707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4713</v>
      </c>
      <c r="G136" s="16" t="s">
        <v>4708</v>
      </c>
      <c r="H136" s="199" t="s">
        <v>4755</v>
      </c>
      <c r="I136" s="31"/>
      <c r="J136" s="199" t="s">
        <v>4745</v>
      </c>
      <c r="K136" s="126" t="s">
        <v>15</v>
      </c>
      <c r="L136" s="16">
        <v>9080</v>
      </c>
      <c r="M136" s="8">
        <v>3</v>
      </c>
      <c r="N136" s="446"/>
      <c r="O136" s="455" t="s">
        <v>4714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4747</v>
      </c>
      <c r="G137" s="16" t="s">
        <v>4746</v>
      </c>
      <c r="H137" s="199" t="s">
        <v>4748</v>
      </c>
      <c r="I137" s="31"/>
      <c r="J137" s="199" t="s">
        <v>4745</v>
      </c>
      <c r="K137" s="126" t="s">
        <v>4749</v>
      </c>
      <c r="L137" s="16"/>
      <c r="M137" s="8">
        <v>3</v>
      </c>
      <c r="N137" s="446"/>
      <c r="O137" s="455" t="s">
        <v>4752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4721</v>
      </c>
      <c r="E138" s="31" t="s">
        <v>4722</v>
      </c>
      <c r="F138" s="31">
        <v>222003</v>
      </c>
      <c r="G138" s="16" t="s">
        <v>4723</v>
      </c>
      <c r="H138" s="199" t="s">
        <v>4725</v>
      </c>
      <c r="I138" s="199"/>
      <c r="J138" s="199" t="s">
        <v>4731</v>
      </c>
      <c r="K138" s="126" t="s">
        <v>4750</v>
      </c>
      <c r="L138" s="16"/>
      <c r="M138" s="8">
        <v>1</v>
      </c>
      <c r="N138" s="31"/>
      <c r="O138" s="453" t="s">
        <v>4724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4682</v>
      </c>
      <c r="H140" s="199" t="s">
        <v>214</v>
      </c>
      <c r="I140" s="31" t="s">
        <v>4716</v>
      </c>
      <c r="J140" s="199"/>
      <c r="K140" s="126" t="s">
        <v>3298</v>
      </c>
      <c r="L140" s="16"/>
      <c r="M140" s="8">
        <v>1</v>
      </c>
      <c r="N140" s="31" t="s">
        <v>4763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4754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4726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4718</v>
      </c>
      <c r="I142" s="31" t="s">
        <v>4716</v>
      </c>
      <c r="J142" s="199"/>
      <c r="K142" s="126" t="s">
        <v>3298</v>
      </c>
      <c r="L142" s="16"/>
      <c r="M142" s="8">
        <v>1</v>
      </c>
      <c r="N142" s="199" t="s">
        <v>4766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4743</v>
      </c>
      <c r="F143" s="31" t="s">
        <v>2825</v>
      </c>
      <c r="G143" s="16" t="s">
        <v>206</v>
      </c>
      <c r="H143" s="199" t="s">
        <v>4448</v>
      </c>
      <c r="I143" s="31"/>
      <c r="J143" s="199" t="s">
        <v>4700</v>
      </c>
      <c r="K143" s="126" t="s">
        <v>32</v>
      </c>
      <c r="L143" s="16"/>
      <c r="M143" s="8">
        <v>1</v>
      </c>
      <c r="N143" s="446"/>
      <c r="O143" s="462" t="s">
        <v>4744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4709</v>
      </c>
      <c r="G144" s="429" t="s">
        <v>4609</v>
      </c>
      <c r="H144" s="199" t="s">
        <v>4677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4769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4717</v>
      </c>
      <c r="I145" s="31" t="s">
        <v>4716</v>
      </c>
      <c r="J145" s="199"/>
      <c r="K145" s="126" t="s">
        <v>3298</v>
      </c>
      <c r="L145" s="16"/>
      <c r="M145" s="8">
        <v>1</v>
      </c>
      <c r="N145" s="199" t="s">
        <v>4767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4732</v>
      </c>
      <c r="D146" s="4" t="s">
        <v>4733</v>
      </c>
      <c r="E146" s="322" t="s">
        <v>4734</v>
      </c>
      <c r="F146" s="31" t="s">
        <v>4735</v>
      </c>
      <c r="G146" s="16" t="s">
        <v>4736</v>
      </c>
      <c r="H146" s="199" t="s">
        <v>4781</v>
      </c>
      <c r="I146" s="31"/>
      <c r="J146" s="31" t="s">
        <v>4737</v>
      </c>
      <c r="K146" s="126" t="s">
        <v>4738</v>
      </c>
      <c r="L146" s="16"/>
      <c r="M146" s="8">
        <v>1</v>
      </c>
      <c r="N146" s="31"/>
      <c r="O146" s="453" t="s">
        <v>4753</v>
      </c>
    </row>
    <row r="147" spans="1:19" s="17" customFormat="1" ht="33" customHeight="1">
      <c r="A147" s="449"/>
      <c r="B147" s="414">
        <v>46078</v>
      </c>
      <c r="C147" s="4" t="s">
        <v>4760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4761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4762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4685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4795</v>
      </c>
      <c r="I150" s="319" t="s">
        <v>90</v>
      </c>
      <c r="J150" s="318" t="s">
        <v>4741</v>
      </c>
      <c r="K150" s="317" t="s">
        <v>15</v>
      </c>
      <c r="L150" s="203" t="s">
        <v>4758</v>
      </c>
      <c r="M150" s="188">
        <v>3</v>
      </c>
      <c r="N150" s="318"/>
      <c r="O150" s="461" t="s">
        <v>4742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4789</v>
      </c>
      <c r="F151" s="31" t="s">
        <v>363</v>
      </c>
      <c r="G151" s="16" t="s">
        <v>3360</v>
      </c>
      <c r="H151" s="199" t="s">
        <v>4790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4788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4815</v>
      </c>
      <c r="I152" s="199"/>
      <c r="J152" s="199" t="s">
        <v>4756</v>
      </c>
      <c r="K152" s="126" t="s">
        <v>4757</v>
      </c>
      <c r="L152" s="16"/>
      <c r="M152" s="8">
        <v>2</v>
      </c>
      <c r="N152" s="199"/>
      <c r="O152" s="453" t="s">
        <v>4742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4811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4703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4764</v>
      </c>
      <c r="G157" s="16" t="s">
        <v>3360</v>
      </c>
      <c r="H157" s="199" t="s">
        <v>4816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4765</v>
      </c>
      <c r="O157" s="454" t="s">
        <v>4800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4808</v>
      </c>
      <c r="F158" s="199" t="s">
        <v>4803</v>
      </c>
      <c r="G158" s="16" t="s">
        <v>4805</v>
      </c>
      <c r="H158" s="199" t="s">
        <v>4807</v>
      </c>
      <c r="I158" s="31"/>
      <c r="J158" s="199" t="s">
        <v>4806</v>
      </c>
      <c r="K158" s="126" t="s">
        <v>15</v>
      </c>
      <c r="L158" s="16"/>
      <c r="M158" s="8">
        <v>1</v>
      </c>
      <c r="N158" s="31"/>
      <c r="O158" s="454" t="s">
        <v>4810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4802</v>
      </c>
      <c r="F159" s="31" t="s">
        <v>109</v>
      </c>
      <c r="G159" s="16" t="s">
        <v>143</v>
      </c>
      <c r="H159" s="299" t="s">
        <v>4812</v>
      </c>
      <c r="I159" s="31"/>
      <c r="J159" s="31" t="s">
        <v>4813</v>
      </c>
      <c r="K159" s="126" t="s">
        <v>15</v>
      </c>
      <c r="L159" s="16">
        <v>9080</v>
      </c>
      <c r="M159" s="8">
        <v>1</v>
      </c>
      <c r="N159" s="31"/>
      <c r="O159" s="473" t="s">
        <v>4801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4823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4706</v>
      </c>
      <c r="O160" s="453" t="s">
        <v>4820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4822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4821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4825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4831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4798</v>
      </c>
      <c r="H163" s="322" t="s">
        <v>4838</v>
      </c>
      <c r="I163" s="31"/>
      <c r="J163" s="31" t="s">
        <v>4797</v>
      </c>
      <c r="K163" s="126" t="s">
        <v>15</v>
      </c>
      <c r="L163" s="16"/>
      <c r="M163" s="8">
        <v>1</v>
      </c>
      <c r="N163" s="31"/>
      <c r="O163" s="456" t="s">
        <v>4799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4834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4830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4785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4819</v>
      </c>
      <c r="O165" s="454" t="s">
        <v>4818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4835</v>
      </c>
      <c r="F166" s="31">
        <v>7064</v>
      </c>
      <c r="G166" s="16" t="s">
        <v>83</v>
      </c>
      <c r="H166" s="199" t="s">
        <v>4836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4837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4839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4842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8"/>
      <c r="Q169" s="649"/>
      <c r="R169" s="649"/>
      <c r="S169" s="649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4796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4706</v>
      </c>
      <c r="O170" s="456" t="s">
        <v>4840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4856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4857</v>
      </c>
      <c r="O172" s="478" t="s">
        <v>4829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4827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4828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4796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4840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4826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4843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4859</v>
      </c>
      <c r="F176" s="31" t="s">
        <v>4824</v>
      </c>
      <c r="G176" s="16" t="s">
        <v>103</v>
      </c>
      <c r="H176" s="481" t="s">
        <v>4841</v>
      </c>
      <c r="I176" s="31" t="s">
        <v>90</v>
      </c>
      <c r="J176" s="199" t="s">
        <v>687</v>
      </c>
      <c r="K176" s="126" t="s">
        <v>4858</v>
      </c>
      <c r="L176" s="16"/>
      <c r="M176" s="8">
        <v>2</v>
      </c>
      <c r="N176" s="446" t="s">
        <v>4814</v>
      </c>
      <c r="O176" s="477" t="s">
        <v>4845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4786</v>
      </c>
      <c r="F178" s="299" t="s">
        <v>4791</v>
      </c>
      <c r="G178" s="472" t="s">
        <v>23</v>
      </c>
      <c r="H178" s="199" t="s">
        <v>4792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4876</v>
      </c>
      <c r="O178" s="454" t="s">
        <v>4846</v>
      </c>
    </row>
    <row r="179" spans="1:19" s="17" customFormat="1" ht="33" customHeight="1">
      <c r="A179" s="449"/>
      <c r="B179" s="414">
        <v>46094</v>
      </c>
      <c r="C179" s="4" t="s">
        <v>4879</v>
      </c>
      <c r="D179" s="4" t="s">
        <v>4880</v>
      </c>
      <c r="E179" s="31" t="s">
        <v>4881</v>
      </c>
      <c r="F179" s="31" t="s">
        <v>4882</v>
      </c>
      <c r="G179" s="16" t="s">
        <v>4883</v>
      </c>
      <c r="H179" s="199" t="s">
        <v>4884</v>
      </c>
      <c r="I179" s="31" t="s">
        <v>4885</v>
      </c>
      <c r="J179" s="31" t="s">
        <v>4895</v>
      </c>
      <c r="K179" s="126" t="s">
        <v>15</v>
      </c>
      <c r="L179" s="16">
        <v>9080</v>
      </c>
      <c r="M179" s="8">
        <v>5</v>
      </c>
      <c r="N179" s="31" t="s">
        <v>4855</v>
      </c>
      <c r="O179" s="453"/>
    </row>
    <row r="180" spans="1:19" s="17" customFormat="1" ht="33" customHeight="1">
      <c r="A180" s="449"/>
      <c r="B180" s="414">
        <v>46095</v>
      </c>
      <c r="C180" s="4" t="s">
        <v>4879</v>
      </c>
      <c r="D180" s="4" t="s">
        <v>4880</v>
      </c>
      <c r="E180" s="31" t="s">
        <v>4881</v>
      </c>
      <c r="F180" s="31" t="s">
        <v>4882</v>
      </c>
      <c r="G180" s="16" t="s">
        <v>4883</v>
      </c>
      <c r="H180" s="199" t="s">
        <v>4884</v>
      </c>
      <c r="I180" s="31" t="s">
        <v>4885</v>
      </c>
      <c r="J180" s="31" t="s">
        <v>4895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4839</v>
      </c>
      <c r="I181" s="199" t="s">
        <v>127</v>
      </c>
      <c r="J181" s="199" t="s">
        <v>4887</v>
      </c>
      <c r="K181" s="126" t="s">
        <v>15</v>
      </c>
      <c r="L181" s="16" t="s">
        <v>33</v>
      </c>
      <c r="M181" s="8">
        <v>3</v>
      </c>
      <c r="N181" s="31"/>
      <c r="O181" s="456" t="s">
        <v>4888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46" t="s">
        <v>4729</v>
      </c>
      <c r="Q182" s="647"/>
      <c r="R182" s="647"/>
      <c r="S182" s="647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4861</v>
      </c>
      <c r="E183" s="486" t="s">
        <v>4877</v>
      </c>
      <c r="F183" s="482">
        <v>3306</v>
      </c>
      <c r="G183" s="487" t="s">
        <v>4878</v>
      </c>
      <c r="H183" s="486" t="s">
        <v>4886</v>
      </c>
      <c r="I183" s="482" t="s">
        <v>4890</v>
      </c>
      <c r="J183" s="481" t="s">
        <v>4889</v>
      </c>
      <c r="K183" s="137" t="s">
        <v>15</v>
      </c>
      <c r="L183" s="487"/>
      <c r="M183" s="8">
        <v>5</v>
      </c>
      <c r="N183" s="490" t="s">
        <v>4922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4923</v>
      </c>
      <c r="E184" s="299" t="s">
        <v>4924</v>
      </c>
      <c r="F184" s="31" t="s">
        <v>2927</v>
      </c>
      <c r="G184" s="487" t="s">
        <v>4925</v>
      </c>
      <c r="H184" s="199" t="s">
        <v>4928</v>
      </c>
      <c r="I184" s="31"/>
      <c r="J184" s="31" t="s">
        <v>4926</v>
      </c>
      <c r="K184" s="126" t="s">
        <v>4927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4868</v>
      </c>
      <c r="D185" s="4" t="s">
        <v>4869</v>
      </c>
      <c r="E185" s="31" t="s">
        <v>4870</v>
      </c>
      <c r="F185" s="31" t="s">
        <v>4871</v>
      </c>
      <c r="G185" s="16" t="s">
        <v>4872</v>
      </c>
      <c r="H185" s="199" t="s">
        <v>4941</v>
      </c>
      <c r="I185" s="31" t="s">
        <v>4873</v>
      </c>
      <c r="J185" s="199" t="s">
        <v>4874</v>
      </c>
      <c r="K185" s="126" t="s">
        <v>4875</v>
      </c>
      <c r="L185" s="16">
        <v>9080</v>
      </c>
      <c r="M185" s="8">
        <v>4</v>
      </c>
      <c r="N185" s="446"/>
      <c r="O185" s="455"/>
      <c r="P185" s="420" t="s">
        <v>4768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4931</v>
      </c>
      <c r="H186" s="493" t="s">
        <v>4932</v>
      </c>
      <c r="I186" s="492" t="s">
        <v>4933</v>
      </c>
      <c r="J186" s="493" t="s">
        <v>4934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4847</v>
      </c>
      <c r="D187" s="3" t="s">
        <v>4848</v>
      </c>
      <c r="E187" s="482" t="s">
        <v>4849</v>
      </c>
      <c r="F187" s="482" t="s">
        <v>4850</v>
      </c>
      <c r="G187" s="487" t="s">
        <v>4851</v>
      </c>
      <c r="H187" s="486" t="s">
        <v>4891</v>
      </c>
      <c r="I187" s="482" t="s">
        <v>4853</v>
      </c>
      <c r="J187" s="481" t="s">
        <v>4892</v>
      </c>
      <c r="K187" s="137" t="s">
        <v>15</v>
      </c>
      <c r="L187" s="487" t="s">
        <v>4854</v>
      </c>
      <c r="M187" s="8">
        <v>2</v>
      </c>
      <c r="N187" s="446"/>
      <c r="O187" s="455" t="s">
        <v>4852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4877</v>
      </c>
      <c r="F188" s="482">
        <v>3306</v>
      </c>
      <c r="G188" s="487" t="s">
        <v>4878</v>
      </c>
      <c r="H188" s="486" t="s">
        <v>4886</v>
      </c>
      <c r="I188" s="482" t="s">
        <v>4890</v>
      </c>
      <c r="J188" s="481" t="s">
        <v>4889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4860</v>
      </c>
      <c r="D189" s="4" t="s">
        <v>4861</v>
      </c>
      <c r="E189" s="322" t="s">
        <v>4862</v>
      </c>
      <c r="F189" s="31" t="s">
        <v>4863</v>
      </c>
      <c r="G189" s="16" t="s">
        <v>4864</v>
      </c>
      <c r="H189" s="199" t="s">
        <v>4865</v>
      </c>
      <c r="I189" s="31"/>
      <c r="J189" s="31" t="s">
        <v>4866</v>
      </c>
      <c r="K189" s="126" t="s">
        <v>4867</v>
      </c>
      <c r="L189" s="16">
        <v>9080</v>
      </c>
      <c r="M189" s="8">
        <v>4</v>
      </c>
      <c r="N189" s="31" t="s">
        <v>4706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4877</v>
      </c>
      <c r="F190" s="482">
        <v>3306</v>
      </c>
      <c r="G190" s="487" t="s">
        <v>4878</v>
      </c>
      <c r="H190" s="486" t="s">
        <v>4886</v>
      </c>
      <c r="I190" s="482" t="s">
        <v>4890</v>
      </c>
      <c r="J190" s="481" t="s">
        <v>4889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4860</v>
      </c>
      <c r="D191" s="4" t="s">
        <v>4861</v>
      </c>
      <c r="E191" s="322" t="s">
        <v>4862</v>
      </c>
      <c r="F191" s="31" t="s">
        <v>4863</v>
      </c>
      <c r="G191" s="16" t="s">
        <v>4864</v>
      </c>
      <c r="H191" s="199" t="s">
        <v>4865</v>
      </c>
      <c r="I191" s="31"/>
      <c r="J191" s="199" t="s">
        <v>4893</v>
      </c>
      <c r="K191" s="126" t="s">
        <v>4867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4877</v>
      </c>
      <c r="F192" s="482">
        <v>3306</v>
      </c>
      <c r="G192" s="487" t="s">
        <v>4878</v>
      </c>
      <c r="H192" s="486" t="s">
        <v>4886</v>
      </c>
      <c r="I192" s="482" t="s">
        <v>4890</v>
      </c>
      <c r="J192" s="481" t="s">
        <v>4889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4951</v>
      </c>
      <c r="D193" s="3"/>
      <c r="E193" s="482"/>
      <c r="F193" s="482"/>
      <c r="G193" s="487"/>
      <c r="H193" s="481" t="s">
        <v>4953</v>
      </c>
      <c r="I193" s="482"/>
      <c r="J193" s="481" t="s">
        <v>4954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4860</v>
      </c>
      <c r="D194" s="4" t="s">
        <v>4861</v>
      </c>
      <c r="E194" s="322" t="s">
        <v>4862</v>
      </c>
      <c r="F194" s="31" t="s">
        <v>4863</v>
      </c>
      <c r="G194" s="16" t="s">
        <v>4864</v>
      </c>
      <c r="H194" s="199" t="s">
        <v>4865</v>
      </c>
      <c r="I194" s="31"/>
      <c r="J194" s="199" t="s">
        <v>4893</v>
      </c>
      <c r="K194" s="126" t="s">
        <v>42</v>
      </c>
      <c r="L194" s="16">
        <v>9080</v>
      </c>
      <c r="M194" s="8">
        <v>5</v>
      </c>
      <c r="N194" s="31" t="s">
        <v>4706</v>
      </c>
      <c r="O194" s="453"/>
    </row>
    <row r="195" spans="1:17" s="17" customFormat="1" ht="33" customHeight="1">
      <c r="A195" s="449"/>
      <c r="B195" s="414">
        <v>46101</v>
      </c>
      <c r="C195" s="3" t="s">
        <v>4951</v>
      </c>
      <c r="D195" s="3"/>
      <c r="E195" s="482"/>
      <c r="F195" s="482"/>
      <c r="G195" s="487"/>
      <c r="H195" s="481" t="s">
        <v>4953</v>
      </c>
      <c r="I195" s="482"/>
      <c r="J195" s="481" t="s">
        <v>4954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4832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4894</v>
      </c>
      <c r="I198" s="31" t="s">
        <v>4942</v>
      </c>
      <c r="J198" s="31"/>
      <c r="K198" s="126"/>
      <c r="L198" s="16"/>
      <c r="M198" s="8"/>
      <c r="N198" s="31" t="s">
        <v>4706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4978</v>
      </c>
      <c r="I199" s="521"/>
      <c r="J199" s="522" t="s">
        <v>4979</v>
      </c>
      <c r="K199" s="126" t="s">
        <v>4980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4951</v>
      </c>
      <c r="D200" s="4"/>
      <c r="E200" s="515" t="s">
        <v>4956</v>
      </c>
      <c r="F200" s="31" t="s">
        <v>3625</v>
      </c>
      <c r="G200" s="16" t="s">
        <v>4957</v>
      </c>
      <c r="H200" s="199" t="s">
        <v>4955</v>
      </c>
      <c r="I200" s="31"/>
      <c r="J200" s="31" t="s">
        <v>4952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4929</v>
      </c>
      <c r="D201" s="3" t="s">
        <v>4930</v>
      </c>
      <c r="E201" s="482" t="s">
        <v>4935</v>
      </c>
      <c r="F201" s="482" t="s">
        <v>4936</v>
      </c>
      <c r="G201" s="487" t="s">
        <v>4937</v>
      </c>
      <c r="H201" s="481" t="s">
        <v>4976</v>
      </c>
      <c r="I201" s="482" t="s">
        <v>4975</v>
      </c>
      <c r="J201" s="482" t="s">
        <v>4939</v>
      </c>
      <c r="K201" s="137" t="s">
        <v>4938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4977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4833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4706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4973</v>
      </c>
      <c r="D205" s="3" t="s">
        <v>17</v>
      </c>
      <c r="E205" s="482" t="s">
        <v>1794</v>
      </c>
      <c r="F205" s="481" t="s">
        <v>4654</v>
      </c>
      <c r="G205" s="487" t="s">
        <v>23</v>
      </c>
      <c r="H205" s="481" t="s">
        <v>4972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5291</v>
      </c>
      <c r="D206" s="3" t="s">
        <v>5292</v>
      </c>
      <c r="E206" s="482" t="s">
        <v>5293</v>
      </c>
      <c r="F206" s="482" t="s">
        <v>5294</v>
      </c>
      <c r="G206" s="487" t="s">
        <v>5295</v>
      </c>
      <c r="H206" s="481" t="s">
        <v>5296</v>
      </c>
      <c r="I206" s="482" t="s">
        <v>5290</v>
      </c>
      <c r="J206" s="481" t="s">
        <v>5297</v>
      </c>
      <c r="K206" s="137" t="s">
        <v>5298</v>
      </c>
      <c r="L206" s="487" t="s">
        <v>5299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5291</v>
      </c>
      <c r="D207" s="3" t="s">
        <v>5292</v>
      </c>
      <c r="E207" s="482" t="s">
        <v>5293</v>
      </c>
      <c r="F207" s="482" t="s">
        <v>5337</v>
      </c>
      <c r="G207" s="16" t="s">
        <v>23</v>
      </c>
      <c r="H207" s="527" t="s">
        <v>5338</v>
      </c>
      <c r="I207" s="482" t="s">
        <v>5290</v>
      </c>
      <c r="J207" s="481" t="s">
        <v>5297</v>
      </c>
      <c r="K207" s="137" t="s">
        <v>5298</v>
      </c>
      <c r="L207" s="487" t="s">
        <v>5299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4974</v>
      </c>
      <c r="D208" s="3" t="s">
        <v>17</v>
      </c>
      <c r="E208" s="482" t="s">
        <v>1794</v>
      </c>
      <c r="F208" s="481" t="s">
        <v>4654</v>
      </c>
      <c r="G208" s="487" t="s">
        <v>23</v>
      </c>
      <c r="H208" s="481" t="s">
        <v>4972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4817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5289</v>
      </c>
      <c r="G209" s="487"/>
      <c r="H209" s="481" t="s">
        <v>5335</v>
      </c>
      <c r="I209" s="482" t="s">
        <v>5336</v>
      </c>
      <c r="J209" s="482"/>
      <c r="K209" s="137"/>
      <c r="L209" s="487" t="s">
        <v>5351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5324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5325</v>
      </c>
      <c r="D213" s="4" t="s">
        <v>14</v>
      </c>
      <c r="E213" s="526" t="s">
        <v>1793</v>
      </c>
      <c r="F213" s="526" t="s">
        <v>2141</v>
      </c>
      <c r="G213" s="16" t="s">
        <v>5326</v>
      </c>
      <c r="H213" s="481" t="s">
        <v>5327</v>
      </c>
      <c r="I213" s="481" t="s">
        <v>5356</v>
      </c>
      <c r="J213" s="481" t="s">
        <v>5328</v>
      </c>
      <c r="K213" s="137" t="s">
        <v>5329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5366</v>
      </c>
      <c r="I214" s="481" t="s">
        <v>5356</v>
      </c>
      <c r="J214" s="481" t="s">
        <v>5340</v>
      </c>
      <c r="K214" s="126" t="s">
        <v>15</v>
      </c>
      <c r="L214" s="16" t="s">
        <v>5360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5325</v>
      </c>
      <c r="D215" s="4" t="s">
        <v>14</v>
      </c>
      <c r="E215" s="526" t="s">
        <v>1793</v>
      </c>
      <c r="F215" s="526" t="s">
        <v>2141</v>
      </c>
      <c r="G215" s="16" t="s">
        <v>5326</v>
      </c>
      <c r="H215" s="481" t="s">
        <v>5327</v>
      </c>
      <c r="I215" s="481" t="s">
        <v>5356</v>
      </c>
      <c r="J215" s="481" t="s">
        <v>5328</v>
      </c>
      <c r="K215" s="137" t="s">
        <v>5329</v>
      </c>
      <c r="L215" s="487" t="s">
        <v>5358</v>
      </c>
      <c r="M215" s="483">
        <v>6</v>
      </c>
      <c r="N215" s="446"/>
      <c r="O215" s="455" t="s">
        <v>5367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5288</v>
      </c>
      <c r="F216" s="528" t="s">
        <v>3365</v>
      </c>
      <c r="G216" s="487" t="s">
        <v>23</v>
      </c>
      <c r="H216" s="481" t="s">
        <v>5498</v>
      </c>
      <c r="I216" s="482"/>
      <c r="J216" s="481" t="s">
        <v>5502</v>
      </c>
      <c r="K216" s="137" t="s">
        <v>15</v>
      </c>
      <c r="L216" s="487">
        <v>9080</v>
      </c>
      <c r="M216" s="483">
        <v>3</v>
      </c>
      <c r="N216" s="31"/>
      <c r="O216" s="455" t="s">
        <v>5367</v>
      </c>
    </row>
    <row r="217" spans="1:16" s="17" customFormat="1" ht="33" customHeight="1">
      <c r="A217" s="449"/>
      <c r="B217" s="379">
        <v>46113</v>
      </c>
      <c r="C217" s="4" t="s">
        <v>5325</v>
      </c>
      <c r="D217" s="4" t="s">
        <v>14</v>
      </c>
      <c r="E217" s="526" t="s">
        <v>1793</v>
      </c>
      <c r="F217" s="526" t="s">
        <v>2141</v>
      </c>
      <c r="G217" s="16" t="s">
        <v>5326</v>
      </c>
      <c r="H217" s="481" t="s">
        <v>5369</v>
      </c>
      <c r="I217" s="481" t="s">
        <v>5357</v>
      </c>
      <c r="J217" s="481" t="s">
        <v>5361</v>
      </c>
      <c r="K217" s="137" t="s">
        <v>5329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5332</v>
      </c>
      <c r="D218" s="4" t="s">
        <v>5292</v>
      </c>
      <c r="E218" s="526" t="s">
        <v>1793</v>
      </c>
      <c r="F218" s="527" t="s">
        <v>5334</v>
      </c>
      <c r="G218" s="16" t="s">
        <v>5333</v>
      </c>
      <c r="H218" s="481" t="s">
        <v>5363</v>
      </c>
      <c r="I218" s="482"/>
      <c r="J218" s="481" t="s">
        <v>5362</v>
      </c>
      <c r="K218" s="137" t="s">
        <v>5329</v>
      </c>
      <c r="L218" s="487" t="s">
        <v>5330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5332</v>
      </c>
      <c r="D219" s="4" t="s">
        <v>5292</v>
      </c>
      <c r="E219" s="526" t="s">
        <v>1793</v>
      </c>
      <c r="F219" s="527" t="s">
        <v>5359</v>
      </c>
      <c r="G219" s="16" t="s">
        <v>5333</v>
      </c>
      <c r="H219" s="481" t="s">
        <v>5364</v>
      </c>
      <c r="I219" s="482" t="s">
        <v>5317</v>
      </c>
      <c r="J219" s="482" t="s">
        <v>5341</v>
      </c>
      <c r="K219" s="137" t="s">
        <v>182</v>
      </c>
      <c r="L219" s="487" t="s">
        <v>5342</v>
      </c>
      <c r="M219" s="8">
        <v>3</v>
      </c>
      <c r="N219" s="446"/>
      <c r="O219" s="455" t="s">
        <v>5414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5279</v>
      </c>
      <c r="I220" s="560"/>
      <c r="J220" s="481" t="s">
        <v>5502</v>
      </c>
      <c r="K220" s="137" t="s">
        <v>15</v>
      </c>
      <c r="L220" s="487">
        <v>9080</v>
      </c>
      <c r="M220" s="483">
        <v>3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5368</v>
      </c>
      <c r="D221" s="3" t="s">
        <v>5373</v>
      </c>
      <c r="E221" s="482" t="s">
        <v>5374</v>
      </c>
      <c r="F221" s="482" t="s">
        <v>5375</v>
      </c>
      <c r="G221" s="487" t="s">
        <v>5376</v>
      </c>
      <c r="H221" s="481" t="s">
        <v>5377</v>
      </c>
      <c r="I221" s="481" t="s">
        <v>5355</v>
      </c>
      <c r="J221" s="481" t="s">
        <v>5408</v>
      </c>
      <c r="K221" s="564" t="s">
        <v>15</v>
      </c>
      <c r="L221" s="483">
        <v>9080</v>
      </c>
      <c r="M221" s="483">
        <v>3</v>
      </c>
      <c r="N221" s="31" t="s">
        <v>5365</v>
      </c>
      <c r="O221" s="455" t="s">
        <v>5367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4532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5468</v>
      </c>
      <c r="H225" s="481" t="s">
        <v>217</v>
      </c>
      <c r="I225" s="576" t="s">
        <v>5500</v>
      </c>
      <c r="J225" s="576" t="s">
        <v>5499</v>
      </c>
      <c r="K225" s="126" t="s">
        <v>15</v>
      </c>
      <c r="L225" s="16">
        <v>9080</v>
      </c>
      <c r="M225" s="8">
        <v>2</v>
      </c>
      <c r="N225" s="576" t="s">
        <v>4706</v>
      </c>
      <c r="O225" s="455" t="s">
        <v>5367</v>
      </c>
    </row>
    <row r="226" spans="1:17" s="17" customFormat="1" ht="33" customHeight="1">
      <c r="A226" s="449"/>
      <c r="B226" s="379">
        <v>46118</v>
      </c>
      <c r="C226" s="3"/>
      <c r="D226" s="3"/>
      <c r="E226" s="482"/>
      <c r="F226" s="482"/>
      <c r="G226" s="487"/>
      <c r="H226" s="481"/>
      <c r="I226" s="31"/>
      <c r="J226" s="31"/>
      <c r="K226" s="126"/>
      <c r="L226" s="16"/>
      <c r="M226" s="8"/>
      <c r="N226" s="31"/>
      <c r="O226" s="456"/>
    </row>
    <row r="227" spans="1:17" s="17" customFormat="1" ht="33" customHeight="1">
      <c r="A227" s="449"/>
      <c r="B227" s="379">
        <v>46119</v>
      </c>
      <c r="C227" s="559" t="s">
        <v>5487</v>
      </c>
      <c r="D227" s="559" t="s">
        <v>5488</v>
      </c>
      <c r="E227" s="563" t="s">
        <v>5489</v>
      </c>
      <c r="F227" s="560">
        <v>7060</v>
      </c>
      <c r="G227" s="562" t="s">
        <v>5490</v>
      </c>
      <c r="H227" s="888" t="s">
        <v>5493</v>
      </c>
      <c r="I227" s="560" t="s">
        <v>5491</v>
      </c>
      <c r="J227" s="560"/>
      <c r="K227" s="564"/>
      <c r="L227" s="562" t="s">
        <v>5492</v>
      </c>
      <c r="M227" s="565">
        <v>1</v>
      </c>
      <c r="N227" s="560"/>
      <c r="O227" s="885" t="s">
        <v>5497</v>
      </c>
      <c r="P227" s="886"/>
      <c r="Q227" s="887"/>
    </row>
    <row r="228" spans="1:17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5349</v>
      </c>
      <c r="F228" s="482">
        <v>7064</v>
      </c>
      <c r="G228" s="487" t="s">
        <v>83</v>
      </c>
      <c r="H228" s="481" t="s">
        <v>5350</v>
      </c>
      <c r="I228" s="481"/>
      <c r="J228" s="481" t="s">
        <v>488</v>
      </c>
      <c r="K228" s="137" t="s">
        <v>15</v>
      </c>
      <c r="L228" s="487" t="s">
        <v>4591</v>
      </c>
      <c r="M228" s="483">
        <v>2</v>
      </c>
      <c r="N228" s="482"/>
      <c r="O228" s="455" t="s">
        <v>5367</v>
      </c>
      <c r="P228" s="488"/>
    </row>
    <row r="229" spans="1:17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5331</v>
      </c>
      <c r="M229" s="8"/>
      <c r="N229" s="446"/>
      <c r="O229" s="455"/>
    </row>
    <row r="230" spans="1:17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5349</v>
      </c>
      <c r="F230" s="482">
        <v>7064</v>
      </c>
      <c r="G230" s="487" t="s">
        <v>83</v>
      </c>
      <c r="H230" s="481" t="s">
        <v>5350</v>
      </c>
      <c r="I230" s="481"/>
      <c r="J230" s="481" t="s">
        <v>4874</v>
      </c>
      <c r="K230" s="137" t="s">
        <v>15</v>
      </c>
      <c r="L230" s="487" t="s">
        <v>4591</v>
      </c>
      <c r="M230" s="483">
        <v>3</v>
      </c>
      <c r="N230" s="31" t="s">
        <v>4706</v>
      </c>
      <c r="O230" s="455" t="s">
        <v>5367</v>
      </c>
    </row>
    <row r="231" spans="1:17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5331</v>
      </c>
      <c r="M231" s="8"/>
      <c r="N231" s="31"/>
      <c r="O231" s="457"/>
    </row>
    <row r="232" spans="1:17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5412</v>
      </c>
      <c r="F232" s="486" t="s">
        <v>4551</v>
      </c>
      <c r="G232" s="487" t="s">
        <v>35</v>
      </c>
      <c r="H232" s="481" t="s">
        <v>5413</v>
      </c>
      <c r="I232" s="481" t="s">
        <v>5411</v>
      </c>
      <c r="J232" s="481"/>
      <c r="K232" s="137" t="s">
        <v>15</v>
      </c>
      <c r="L232" s="16" t="s">
        <v>4950</v>
      </c>
      <c r="M232" s="8">
        <v>2</v>
      </c>
      <c r="N232" s="446"/>
      <c r="O232" s="455" t="s">
        <v>5367</v>
      </c>
    </row>
    <row r="233" spans="1:17" s="17" customFormat="1" ht="33" customHeight="1">
      <c r="A233" s="449"/>
      <c r="B233" s="379">
        <v>46121</v>
      </c>
      <c r="C233" s="4" t="s">
        <v>4929</v>
      </c>
      <c r="D233" s="4" t="s">
        <v>4930</v>
      </c>
      <c r="E233" s="299" t="s">
        <v>4944</v>
      </c>
      <c r="F233" s="31" t="s">
        <v>4945</v>
      </c>
      <c r="G233" s="16" t="s">
        <v>4946</v>
      </c>
      <c r="H233" s="199" t="s">
        <v>4947</v>
      </c>
      <c r="I233" s="31" t="s">
        <v>4949</v>
      </c>
      <c r="J233" s="31" t="s">
        <v>4943</v>
      </c>
      <c r="K233" s="126" t="s">
        <v>4948</v>
      </c>
      <c r="L233" s="16" t="s">
        <v>5330</v>
      </c>
      <c r="M233" s="8">
        <v>3</v>
      </c>
      <c r="N233" s="31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5349</v>
      </c>
      <c r="F234" s="482">
        <v>7064</v>
      </c>
      <c r="G234" s="487" t="s">
        <v>83</v>
      </c>
      <c r="H234" s="481" t="s">
        <v>5350</v>
      </c>
      <c r="I234" s="481"/>
      <c r="J234" s="481" t="s">
        <v>4874</v>
      </c>
      <c r="K234" s="137" t="s">
        <v>15</v>
      </c>
      <c r="L234" s="487" t="s">
        <v>4591</v>
      </c>
      <c r="M234" s="483">
        <v>3</v>
      </c>
      <c r="N234" s="555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5349</v>
      </c>
      <c r="F235" s="482">
        <v>7064</v>
      </c>
      <c r="G235" s="487" t="s">
        <v>83</v>
      </c>
      <c r="H235" s="481" t="s">
        <v>5350</v>
      </c>
      <c r="I235" s="481"/>
      <c r="J235" s="481" t="s">
        <v>488</v>
      </c>
      <c r="K235" s="137" t="s">
        <v>15</v>
      </c>
      <c r="L235" s="487" t="s">
        <v>4591</v>
      </c>
      <c r="M235" s="483">
        <v>2</v>
      </c>
      <c r="N235" s="31" t="s">
        <v>4706</v>
      </c>
      <c r="O235" s="455" t="s">
        <v>5367</v>
      </c>
    </row>
    <row r="236" spans="1:17" s="17" customFormat="1" ht="33" customHeight="1">
      <c r="A236" s="449"/>
      <c r="B236" s="414">
        <v>46122</v>
      </c>
      <c r="C236" s="4" t="s">
        <v>4929</v>
      </c>
      <c r="D236" s="4" t="s">
        <v>4930</v>
      </c>
      <c r="E236" s="299" t="s">
        <v>4944</v>
      </c>
      <c r="F236" s="492" t="s">
        <v>4945</v>
      </c>
      <c r="G236" s="16" t="s">
        <v>4946</v>
      </c>
      <c r="H236" s="493" t="s">
        <v>4947</v>
      </c>
      <c r="I236" s="492" t="s">
        <v>4949</v>
      </c>
      <c r="J236" s="492" t="s">
        <v>4943</v>
      </c>
      <c r="K236" s="126" t="s">
        <v>4948</v>
      </c>
      <c r="L236" s="16" t="s">
        <v>5330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5334</v>
      </c>
      <c r="G237" s="573" t="s">
        <v>144</v>
      </c>
      <c r="H237" s="572" t="s">
        <v>5415</v>
      </c>
      <c r="I237" s="571" t="s">
        <v>2708</v>
      </c>
      <c r="J237" s="572"/>
      <c r="K237" s="574" t="s">
        <v>15</v>
      </c>
      <c r="L237" s="573" t="s">
        <v>4591</v>
      </c>
      <c r="M237" s="575">
        <v>1</v>
      </c>
      <c r="N237" s="555"/>
      <c r="O237" s="453"/>
    </row>
    <row r="238" spans="1:17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 t="s">
        <v>5469</v>
      </c>
      <c r="D241" s="4" t="s">
        <v>5472</v>
      </c>
      <c r="E241" s="31" t="s">
        <v>5470</v>
      </c>
      <c r="F241" s="199" t="s">
        <v>5471</v>
      </c>
      <c r="G241" s="16" t="s">
        <v>5473</v>
      </c>
      <c r="H241" s="199" t="s">
        <v>5474</v>
      </c>
      <c r="I241" s="31" t="s">
        <v>5481</v>
      </c>
      <c r="J241" s="31" t="s">
        <v>5482</v>
      </c>
      <c r="K241" s="126" t="s">
        <v>5484</v>
      </c>
      <c r="L241" s="16" t="s">
        <v>5486</v>
      </c>
      <c r="M241" s="8"/>
      <c r="N241" s="31" t="s">
        <v>4706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5475</v>
      </c>
      <c r="E242" s="566" t="s">
        <v>5470</v>
      </c>
      <c r="F242" s="31" t="s">
        <v>5476</v>
      </c>
      <c r="G242" s="16" t="s">
        <v>5477</v>
      </c>
      <c r="H242" s="199" t="s">
        <v>5478</v>
      </c>
      <c r="I242" s="31" t="s">
        <v>5479</v>
      </c>
      <c r="J242" s="31" t="s">
        <v>5483</v>
      </c>
      <c r="K242" s="126" t="s">
        <v>5485</v>
      </c>
      <c r="L242" s="16" t="s">
        <v>5486</v>
      </c>
      <c r="M242" s="8"/>
      <c r="N242" s="31"/>
      <c r="O242" s="456" t="s">
        <v>5480</v>
      </c>
    </row>
    <row r="243" spans="1:15" s="17" customFormat="1" ht="33" customHeight="1">
      <c r="A243" s="449"/>
      <c r="B243" s="414">
        <v>46126</v>
      </c>
      <c r="C243" s="559" t="s">
        <v>5487</v>
      </c>
      <c r="D243" s="559" t="s">
        <v>5488</v>
      </c>
      <c r="E243" s="563" t="s">
        <v>5489</v>
      </c>
      <c r="F243" s="560">
        <v>7060</v>
      </c>
      <c r="G243" s="562" t="s">
        <v>5490</v>
      </c>
      <c r="H243" s="577" t="s">
        <v>5494</v>
      </c>
      <c r="I243" s="31" t="s">
        <v>5495</v>
      </c>
      <c r="J243" s="199" t="s">
        <v>5496</v>
      </c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4706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3778</v>
      </c>
      <c r="H247" s="481" t="s">
        <v>4884</v>
      </c>
      <c r="I247" s="482" t="s">
        <v>5501</v>
      </c>
      <c r="J247" s="482" t="s">
        <v>4425</v>
      </c>
      <c r="K247" s="137" t="s">
        <v>15</v>
      </c>
      <c r="L247" s="487">
        <v>9080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5241</v>
      </c>
      <c r="D248" s="4" t="s">
        <v>5280</v>
      </c>
      <c r="E248" s="299" t="s">
        <v>5281</v>
      </c>
      <c r="F248" s="31" t="s">
        <v>5282</v>
      </c>
      <c r="G248" s="16" t="s">
        <v>5283</v>
      </c>
      <c r="H248" s="199" t="s">
        <v>5284</v>
      </c>
      <c r="I248" s="31" t="s">
        <v>5285</v>
      </c>
      <c r="J248" s="31"/>
      <c r="K248" s="126" t="s">
        <v>5286</v>
      </c>
      <c r="L248" s="16" t="s">
        <v>5287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4706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4706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4706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4706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4706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4706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4706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5339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4706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4794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5308</v>
      </c>
      <c r="E284" s="526" t="s">
        <v>5318</v>
      </c>
      <c r="F284" s="526" t="s">
        <v>5319</v>
      </c>
      <c r="G284" s="16" t="s">
        <v>5320</v>
      </c>
      <c r="H284" s="527" t="s">
        <v>5312</v>
      </c>
      <c r="I284" s="526"/>
      <c r="J284" s="199"/>
      <c r="K284" s="126"/>
      <c r="L284" s="16"/>
      <c r="M284" s="8"/>
      <c r="N284" s="31" t="s">
        <v>4706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5308</v>
      </c>
      <c r="E286" s="526" t="s">
        <v>5318</v>
      </c>
      <c r="F286" s="526" t="s">
        <v>5319</v>
      </c>
      <c r="G286" s="16" t="s">
        <v>5311</v>
      </c>
      <c r="H286" s="527" t="s">
        <v>5312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5308</v>
      </c>
      <c r="E287" s="526" t="s">
        <v>5318</v>
      </c>
      <c r="F287" s="526" t="s">
        <v>5319</v>
      </c>
      <c r="G287" s="16" t="s">
        <v>5321</v>
      </c>
      <c r="H287" s="527" t="s">
        <v>5312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5308</v>
      </c>
      <c r="E288" s="526" t="s">
        <v>5318</v>
      </c>
      <c r="F288" s="526" t="s">
        <v>5319</v>
      </c>
      <c r="G288" s="16" t="s">
        <v>5322</v>
      </c>
      <c r="H288" s="527" t="s">
        <v>5312</v>
      </c>
      <c r="I288" s="31"/>
      <c r="J288" s="199"/>
      <c r="K288" s="126"/>
      <c r="L288" s="16"/>
      <c r="M288" s="8"/>
      <c r="N288" s="31" t="s">
        <v>4706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4706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4706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4940</v>
      </c>
      <c r="J301" s="246"/>
      <c r="K301" s="247" t="s">
        <v>4545</v>
      </c>
      <c r="L301" s="400"/>
      <c r="M301" s="419"/>
      <c r="N301" s="31" t="s">
        <v>4706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4706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4706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4706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4705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4793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5308</v>
      </c>
      <c r="E340" s="526" t="s">
        <v>5318</v>
      </c>
      <c r="F340" s="526" t="s">
        <v>5319</v>
      </c>
      <c r="G340" s="16" t="s">
        <v>5323</v>
      </c>
      <c r="H340" s="527" t="s">
        <v>5312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5308</v>
      </c>
      <c r="E345" s="526" t="s">
        <v>5309</v>
      </c>
      <c r="F345" s="526" t="s">
        <v>5310</v>
      </c>
      <c r="G345" s="16" t="s">
        <v>5316</v>
      </c>
      <c r="H345" s="527" t="s">
        <v>5312</v>
      </c>
      <c r="I345" s="31" t="s">
        <v>5317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5308</v>
      </c>
      <c r="E347" s="31" t="s">
        <v>5309</v>
      </c>
      <c r="F347" s="31" t="s">
        <v>5310</v>
      </c>
      <c r="G347" s="16" t="s">
        <v>5311</v>
      </c>
      <c r="H347" s="199" t="s">
        <v>5312</v>
      </c>
      <c r="I347" s="31"/>
      <c r="J347" s="199" t="s">
        <v>5313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5308</v>
      </c>
      <c r="E349" s="526" t="s">
        <v>5309</v>
      </c>
      <c r="F349" s="526" t="s">
        <v>5310</v>
      </c>
      <c r="G349" s="16" t="s">
        <v>5314</v>
      </c>
      <c r="H349" s="527" t="s">
        <v>5312</v>
      </c>
      <c r="I349" s="31" t="s">
        <v>5315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8" t="s">
        <v>162</v>
      </c>
      <c r="B1" s="758" t="s">
        <v>163</v>
      </c>
      <c r="C1" s="756" t="s">
        <v>1</v>
      </c>
      <c r="D1" s="756" t="s">
        <v>2</v>
      </c>
      <c r="E1" s="756" t="s">
        <v>3</v>
      </c>
      <c r="F1" s="27" t="s">
        <v>54</v>
      </c>
      <c r="G1" s="756" t="s">
        <v>5</v>
      </c>
      <c r="H1" s="756" t="s">
        <v>6</v>
      </c>
      <c r="I1" s="756" t="s">
        <v>7</v>
      </c>
      <c r="J1" s="756" t="s">
        <v>55</v>
      </c>
      <c r="K1" s="760" t="s">
        <v>484</v>
      </c>
      <c r="L1" s="762" t="s">
        <v>56</v>
      </c>
      <c r="M1" s="754" t="s">
        <v>57</v>
      </c>
      <c r="N1" s="756" t="s">
        <v>58</v>
      </c>
    </row>
    <row r="2" spans="1:14">
      <c r="A2" s="759"/>
      <c r="B2" s="759"/>
      <c r="C2" s="757"/>
      <c r="D2" s="757"/>
      <c r="E2" s="757"/>
      <c r="F2" s="28" t="s">
        <v>59</v>
      </c>
      <c r="G2" s="757"/>
      <c r="H2" s="757"/>
      <c r="I2" s="757"/>
      <c r="J2" s="757"/>
      <c r="K2" s="761"/>
      <c r="L2" s="763"/>
      <c r="M2" s="755"/>
      <c r="N2" s="757"/>
    </row>
    <row r="3" spans="1:14" ht="27">
      <c r="A3" s="55">
        <v>1</v>
      </c>
      <c r="B3" s="737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3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3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50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51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37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38"/>
      <c r="C9" s="76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38"/>
      <c r="C10" s="76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3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38"/>
      <c r="C12" s="76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38"/>
      <c r="C13" s="76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38"/>
      <c r="C14" s="765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38"/>
      <c r="C15" s="76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38"/>
      <c r="C16" s="76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3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50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37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39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50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51"/>
    </row>
    <row r="24" spans="1:17" ht="27">
      <c r="A24" s="55">
        <v>4</v>
      </c>
      <c r="B24" s="737" t="s">
        <v>21</v>
      </c>
      <c r="C24" s="74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25" t="s">
        <v>85</v>
      </c>
      <c r="K24" s="740" t="s">
        <v>41</v>
      </c>
      <c r="L24" s="6" t="s">
        <v>15</v>
      </c>
      <c r="M24" s="767">
        <v>180000</v>
      </c>
      <c r="N24" s="45" t="s">
        <v>195</v>
      </c>
    </row>
    <row r="25" spans="1:17" ht="27">
      <c r="A25" s="55">
        <v>4</v>
      </c>
      <c r="B25" s="738"/>
      <c r="C25" s="746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26"/>
      <c r="K25" s="741"/>
      <c r="L25" s="6" t="s">
        <v>15</v>
      </c>
      <c r="M25" s="768"/>
      <c r="N25" s="45" t="s">
        <v>195</v>
      </c>
    </row>
    <row r="26" spans="1:17">
      <c r="A26" s="55">
        <v>4</v>
      </c>
      <c r="B26" s="738"/>
      <c r="C26" s="74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25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39"/>
      <c r="C27" s="746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26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37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3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38"/>
      <c r="C32" s="74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38"/>
      <c r="C33" s="746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3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37" t="s">
        <v>20</v>
      </c>
      <c r="C35" s="74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39"/>
      <c r="C36" s="746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37" t="s">
        <v>20</v>
      </c>
      <c r="C37" s="74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39"/>
      <c r="C38" s="746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73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74"/>
      <c r="C40" s="74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74"/>
      <c r="C41" s="746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75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31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32"/>
      <c r="C45" s="731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32"/>
      <c r="C46" s="771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33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69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72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72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70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69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70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37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3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39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31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32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33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37" t="s">
        <v>64</v>
      </c>
      <c r="C67" s="74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40" t="s">
        <v>436</v>
      </c>
      <c r="L67" s="6" t="s">
        <v>437</v>
      </c>
      <c r="M67" s="767">
        <v>750000</v>
      </c>
      <c r="N67" s="45" t="s">
        <v>447</v>
      </c>
    </row>
    <row r="68" spans="1:15" ht="27">
      <c r="A68" s="55">
        <v>19</v>
      </c>
      <c r="B68" s="738"/>
      <c r="C68" s="745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41"/>
      <c r="L68" s="6" t="s">
        <v>412</v>
      </c>
      <c r="M68" s="768"/>
      <c r="N68" s="45" t="s">
        <v>446</v>
      </c>
    </row>
    <row r="69" spans="1:15">
      <c r="A69" s="55">
        <v>19</v>
      </c>
      <c r="B69" s="738"/>
      <c r="C69" s="746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3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39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737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3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3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3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39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737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3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39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37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39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38"/>
      <c r="C83" s="74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38"/>
      <c r="C84" s="746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38"/>
      <c r="C85" s="74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38"/>
      <c r="C86" s="746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3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3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39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37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39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37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38"/>
      <c r="C93" s="74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38"/>
      <c r="C94" s="745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38"/>
      <c r="C95" s="746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3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39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37" t="s">
        <v>21</v>
      </c>
      <c r="C99" s="74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38"/>
      <c r="C100" s="746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3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3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39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37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3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3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39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37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39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05" t="s">
        <v>659</v>
      </c>
      <c r="C110" s="70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30"/>
      <c r="C111" s="75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30"/>
      <c r="C112" s="75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2"/>
      <c r="C113" s="75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30"/>
      <c r="C115" s="70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06"/>
      <c r="C116" s="75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37" t="s">
        <v>20</v>
      </c>
      <c r="C117" s="747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25" t="s">
        <v>169</v>
      </c>
      <c r="K117" s="740" t="s">
        <v>646</v>
      </c>
      <c r="L117" s="57" t="s">
        <v>210</v>
      </c>
      <c r="M117" s="727">
        <f>250000*5</f>
        <v>1250000</v>
      </c>
      <c r="N117" s="737" t="s">
        <v>122</v>
      </c>
    </row>
    <row r="118" spans="1:14">
      <c r="A118" s="102">
        <v>28</v>
      </c>
      <c r="B118" s="738"/>
      <c r="C118" s="745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49"/>
      <c r="K118" s="748"/>
      <c r="L118" s="57" t="s">
        <v>210</v>
      </c>
      <c r="M118" s="728"/>
      <c r="N118" s="738"/>
    </row>
    <row r="119" spans="1:14">
      <c r="A119" s="102">
        <v>28</v>
      </c>
      <c r="B119" s="738"/>
      <c r="C119" s="745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26"/>
      <c r="K119" s="741"/>
      <c r="L119" s="57" t="s">
        <v>210</v>
      </c>
      <c r="M119" s="729"/>
      <c r="N119" s="739"/>
    </row>
    <row r="120" spans="1:14">
      <c r="A120" s="102">
        <v>28</v>
      </c>
      <c r="B120" s="739"/>
      <c r="C120" s="746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05" t="s">
        <v>308</v>
      </c>
      <c r="C122" s="70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730"/>
      <c r="C123" s="73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05" t="s">
        <v>665</v>
      </c>
      <c r="K123" s="731" t="s">
        <v>708</v>
      </c>
      <c r="L123" s="111" t="s">
        <v>325</v>
      </c>
      <c r="M123" s="734" t="s">
        <v>709</v>
      </c>
      <c r="N123" s="111"/>
    </row>
    <row r="124" spans="1:14">
      <c r="A124" s="55">
        <v>29</v>
      </c>
      <c r="B124" s="730"/>
      <c r="C124" s="73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30"/>
      <c r="K124" s="732"/>
      <c r="L124" s="111" t="s">
        <v>325</v>
      </c>
      <c r="M124" s="735"/>
      <c r="N124" s="111"/>
    </row>
    <row r="125" spans="1:14">
      <c r="A125" s="55">
        <v>29</v>
      </c>
      <c r="B125" s="730"/>
      <c r="C125" s="73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06"/>
      <c r="K125" s="733"/>
      <c r="L125" s="111" t="s">
        <v>325</v>
      </c>
      <c r="M125" s="736"/>
      <c r="N125" s="111"/>
    </row>
    <row r="126" spans="1:14">
      <c r="A126" s="55">
        <v>29</v>
      </c>
      <c r="B126" s="706"/>
      <c r="C126" s="706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70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73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73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730"/>
      <c r="C130" s="70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730"/>
      <c r="C131" s="706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730"/>
      <c r="C132" s="70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730"/>
      <c r="C133" s="706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706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737" t="s">
        <v>619</v>
      </c>
      <c r="C135" s="74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38"/>
      <c r="C136" s="745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38"/>
      <c r="C137" s="74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39"/>
      <c r="C138" s="746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37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38"/>
      <c r="C140" s="74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38"/>
      <c r="C141" s="746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37" t="s">
        <v>736</v>
      </c>
    </row>
    <row r="142" spans="1:14">
      <c r="A142" s="55">
        <v>30</v>
      </c>
      <c r="B142" s="739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39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37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39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37" t="s">
        <v>20</v>
      </c>
      <c r="C146" s="744" t="s">
        <v>870</v>
      </c>
      <c r="D146" s="740" t="s">
        <v>19</v>
      </c>
      <c r="E146" s="74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39"/>
      <c r="C147" s="746"/>
      <c r="D147" s="741"/>
      <c r="E147" s="74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37" t="s">
        <v>124</v>
      </c>
      <c r="C148" s="744" t="s">
        <v>783</v>
      </c>
      <c r="D148" s="740" t="s">
        <v>19</v>
      </c>
      <c r="E148" s="74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39"/>
      <c r="C149" s="746"/>
      <c r="D149" s="741"/>
      <c r="E149" s="74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37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3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39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37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37" t="s">
        <v>248</v>
      </c>
    </row>
    <row r="154" spans="1:14" ht="27">
      <c r="A154" s="55">
        <v>34</v>
      </c>
      <c r="B154" s="738"/>
      <c r="C154" s="74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38"/>
    </row>
    <row r="155" spans="1:14" ht="27">
      <c r="A155" s="55">
        <v>34</v>
      </c>
      <c r="B155" s="738"/>
      <c r="C155" s="746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39"/>
    </row>
    <row r="156" spans="1:14" ht="27">
      <c r="A156" s="55">
        <v>34</v>
      </c>
      <c r="B156" s="738"/>
      <c r="C156" s="74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37" t="s">
        <v>826</v>
      </c>
    </row>
    <row r="157" spans="1:14" ht="27">
      <c r="A157" s="55">
        <v>34</v>
      </c>
      <c r="B157" s="738"/>
      <c r="C157" s="746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38"/>
    </row>
    <row r="158" spans="1:14" ht="27">
      <c r="A158" s="55">
        <v>34</v>
      </c>
      <c r="B158" s="738"/>
      <c r="C158" s="74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38"/>
    </row>
    <row r="159" spans="1:14" ht="27">
      <c r="A159" s="55">
        <v>34</v>
      </c>
      <c r="B159" s="738"/>
      <c r="C159" s="746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38"/>
    </row>
    <row r="160" spans="1:14" ht="27">
      <c r="A160" s="55">
        <v>34</v>
      </c>
      <c r="B160" s="73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38"/>
    </row>
    <row r="161" spans="1:15" ht="27">
      <c r="A161" s="55">
        <v>34</v>
      </c>
      <c r="B161" s="73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39"/>
    </row>
    <row r="162" spans="1:15" ht="27">
      <c r="A162" s="55">
        <v>34</v>
      </c>
      <c r="B162" s="739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3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3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39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55" t="s">
        <v>850</v>
      </c>
      <c r="C167" s="678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56"/>
      <c r="C168" s="679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56"/>
      <c r="C169" s="679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57"/>
      <c r="C170" s="680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5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5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5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5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5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5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5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56"/>
      <c r="C178" s="678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57"/>
      <c r="C179" s="680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5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56"/>
      <c r="C181" s="74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25" t="s">
        <v>839</v>
      </c>
      <c r="K181" s="740" t="s">
        <v>986</v>
      </c>
      <c r="L181" s="6" t="s">
        <v>911</v>
      </c>
      <c r="M181" s="727">
        <f>180000+200000+200000</f>
        <v>580000</v>
      </c>
      <c r="N181" s="45" t="s">
        <v>807</v>
      </c>
    </row>
    <row r="182" spans="1:14">
      <c r="A182" s="55">
        <v>36</v>
      </c>
      <c r="B182" s="656"/>
      <c r="C182" s="745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26"/>
      <c r="K182" s="741"/>
      <c r="L182" s="6" t="s">
        <v>912</v>
      </c>
      <c r="M182" s="729"/>
      <c r="N182" s="45" t="s">
        <v>807</v>
      </c>
    </row>
    <row r="183" spans="1:14">
      <c r="A183" s="55">
        <v>36</v>
      </c>
      <c r="B183" s="656"/>
      <c r="C183" s="746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5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5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5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56"/>
      <c r="C187" s="678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57"/>
      <c r="C188" s="680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5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5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5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55" t="s">
        <v>940</v>
      </c>
      <c r="C192" s="678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56"/>
      <c r="C193" s="68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5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5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56"/>
      <c r="C196" s="74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56"/>
      <c r="C197" s="746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56"/>
      <c r="C198" s="74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57"/>
      <c r="C199" s="746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55" t="s">
        <v>20</v>
      </c>
      <c r="C200" s="678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56"/>
      <c r="C201" s="68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56"/>
      <c r="C202" s="678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57"/>
      <c r="C203" s="680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5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5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5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55" t="s">
        <v>20</v>
      </c>
      <c r="C207" s="678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56"/>
      <c r="C208" s="68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5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5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5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5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5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5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5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5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5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55" t="s">
        <v>20</v>
      </c>
      <c r="C218" s="678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56"/>
      <c r="C219" s="68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5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5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5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5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5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5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37" t="s">
        <v>248</v>
      </c>
    </row>
    <row r="226" spans="1:14">
      <c r="A226" s="55">
        <v>44</v>
      </c>
      <c r="B226" s="65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38"/>
    </row>
    <row r="227" spans="1:14">
      <c r="A227" s="55">
        <v>44</v>
      </c>
      <c r="B227" s="65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39"/>
    </row>
    <row r="228" spans="1:14">
      <c r="A228" s="55">
        <v>44</v>
      </c>
      <c r="B228" s="65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5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5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5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5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5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5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5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5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5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5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5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5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5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5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5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5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5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5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56"/>
      <c r="C249" s="678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37" t="s">
        <v>248</v>
      </c>
    </row>
    <row r="250" spans="1:14">
      <c r="A250" s="55">
        <v>48</v>
      </c>
      <c r="B250" s="657"/>
      <c r="C250" s="68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39"/>
    </row>
    <row r="251" spans="1:14">
      <c r="A251" s="55">
        <v>48</v>
      </c>
      <c r="B251" s="65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5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5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5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5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56"/>
      <c r="C256" s="678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37" t="s">
        <v>248</v>
      </c>
    </row>
    <row r="257" spans="1:14">
      <c r="A257" s="55">
        <v>49</v>
      </c>
      <c r="B257" s="657"/>
      <c r="C257" s="68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39"/>
    </row>
    <row r="258" spans="1:14" ht="40.5">
      <c r="A258" s="55">
        <v>49</v>
      </c>
      <c r="B258" s="65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5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76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777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51" t="s">
        <v>1104</v>
      </c>
    </row>
    <row r="262" spans="1:14" ht="25.5">
      <c r="A262" s="133">
        <v>49</v>
      </c>
      <c r="B262" s="778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52"/>
    </row>
    <row r="263" spans="1:14" ht="16.5" customHeight="1">
      <c r="A263" s="55">
        <v>50</v>
      </c>
      <c r="B263" s="655" t="s">
        <v>20</v>
      </c>
      <c r="C263" s="678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56"/>
      <c r="C264" s="679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56"/>
      <c r="C265" s="679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56"/>
      <c r="C266" s="679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57"/>
      <c r="C267" s="68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776" t="s">
        <v>659</v>
      </c>
      <c r="C268" s="651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777"/>
      <c r="C269" s="671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778"/>
      <c r="C270" s="652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55" t="s">
        <v>20</v>
      </c>
      <c r="C271" s="678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56"/>
      <c r="C272" s="67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56"/>
      <c r="C273" s="68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5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56"/>
      <c r="C275" s="678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56"/>
      <c r="C276" s="680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5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83" t="s">
        <v>1197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>
      <c r="A279" s="55">
        <v>1</v>
      </c>
      <c r="B279" s="655" t="s">
        <v>20</v>
      </c>
      <c r="C279" s="678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57"/>
      <c r="C280" s="68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55" t="s">
        <v>64</v>
      </c>
      <c r="C281" s="678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56"/>
      <c r="C282" s="680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56"/>
      <c r="C283" s="678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25" t="s">
        <v>1175</v>
      </c>
      <c r="K283" s="781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56"/>
      <c r="C284" s="680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26"/>
      <c r="K284" s="782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5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5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86" t="s">
        <v>124</v>
      </c>
      <c r="C287" s="651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787"/>
      <c r="C288" s="652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776" t="s">
        <v>64</v>
      </c>
      <c r="C289" s="651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77"/>
      <c r="C290" s="77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777"/>
      <c r="C291" s="780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51" t="s">
        <v>639</v>
      </c>
      <c r="K291" s="715" t="s">
        <v>672</v>
      </c>
      <c r="L291" s="149" t="s">
        <v>310</v>
      </c>
      <c r="M291" s="661" t="s">
        <v>673</v>
      </c>
      <c r="N291" s="149" t="s">
        <v>724</v>
      </c>
    </row>
    <row r="292" spans="1:15">
      <c r="A292" s="55">
        <v>2</v>
      </c>
      <c r="B292" s="777"/>
      <c r="C292" s="77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52"/>
      <c r="K292" s="716"/>
      <c r="L292" s="149" t="s">
        <v>310</v>
      </c>
      <c r="M292" s="662"/>
      <c r="N292" s="149" t="s">
        <v>724</v>
      </c>
    </row>
    <row r="293" spans="1:15">
      <c r="A293" s="55">
        <v>2</v>
      </c>
      <c r="B293" s="777"/>
      <c r="C293" s="780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777"/>
      <c r="C294" s="652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778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55" t="s">
        <v>20</v>
      </c>
      <c r="C296" s="678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56"/>
      <c r="C297" s="679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57"/>
      <c r="C298" s="680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5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5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5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55" t="s">
        <v>20</v>
      </c>
      <c r="C302" s="678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56"/>
      <c r="C303" s="679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56"/>
      <c r="C304" s="679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56"/>
      <c r="C305" s="679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57"/>
      <c r="C306" s="680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55" t="s">
        <v>20</v>
      </c>
      <c r="C308" s="678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57"/>
      <c r="C309" s="680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5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5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5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776" t="s">
        <v>308</v>
      </c>
      <c r="C313" s="651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778"/>
      <c r="C314" s="652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55" t="s">
        <v>20</v>
      </c>
      <c r="C316" s="678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56"/>
      <c r="C317" s="679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57"/>
      <c r="C318" s="680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5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5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5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55" t="s">
        <v>20</v>
      </c>
      <c r="C322" s="678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57"/>
      <c r="C323" s="680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5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5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5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5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5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55" t="s">
        <v>20</v>
      </c>
      <c r="C329" s="678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56"/>
      <c r="C330" s="679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57"/>
      <c r="C331" s="68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5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5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55" t="s">
        <v>20</v>
      </c>
      <c r="C334" s="678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56"/>
      <c r="C335" s="679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56"/>
      <c r="C336" s="679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57"/>
      <c r="C337" s="68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5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5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5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5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55" t="s">
        <v>20</v>
      </c>
      <c r="C342" s="678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56"/>
      <c r="C343" s="680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5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5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5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5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5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56"/>
      <c r="C349" s="74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57"/>
      <c r="C350" s="746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776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777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777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777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778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776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777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777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778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5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5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5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5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5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5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5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5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5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5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5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5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5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5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5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76" t="s">
        <v>308</v>
      </c>
      <c r="C375" s="129" t="s">
        <v>1533</v>
      </c>
      <c r="D375" s="651" t="s">
        <v>307</v>
      </c>
      <c r="E375" s="651" t="s">
        <v>323</v>
      </c>
      <c r="F375" s="651" t="s">
        <v>308</v>
      </c>
      <c r="G375" s="653">
        <v>4266</v>
      </c>
      <c r="H375" s="651" t="s">
        <v>641</v>
      </c>
      <c r="I375" s="653" t="s">
        <v>1535</v>
      </c>
      <c r="J375" s="651" t="s">
        <v>1536</v>
      </c>
      <c r="K375" s="788" t="s">
        <v>693</v>
      </c>
      <c r="L375" s="651" t="s">
        <v>325</v>
      </c>
      <c r="M375" s="661" t="s">
        <v>1537</v>
      </c>
      <c r="N375" s="651" t="s">
        <v>426</v>
      </c>
    </row>
    <row r="376" spans="1:19">
      <c r="A376" s="205" t="s">
        <v>1541</v>
      </c>
      <c r="B376" s="777"/>
      <c r="C376" s="130" t="s">
        <v>1534</v>
      </c>
      <c r="D376" s="652"/>
      <c r="E376" s="652"/>
      <c r="F376" s="652"/>
      <c r="G376" s="654"/>
      <c r="H376" s="652"/>
      <c r="I376" s="654"/>
      <c r="J376" s="652"/>
      <c r="K376" s="789"/>
      <c r="L376" s="652"/>
      <c r="M376" s="662"/>
      <c r="N376" s="652"/>
    </row>
    <row r="377" spans="1:19">
      <c r="A377" s="205" t="s">
        <v>1541</v>
      </c>
      <c r="B377" s="777"/>
      <c r="C377" s="129" t="s">
        <v>1538</v>
      </c>
      <c r="D377" s="651" t="s">
        <v>307</v>
      </c>
      <c r="E377" s="651" t="s">
        <v>323</v>
      </c>
      <c r="F377" s="651" t="s">
        <v>308</v>
      </c>
      <c r="G377" s="653">
        <v>3306</v>
      </c>
      <c r="H377" s="651" t="s">
        <v>1154</v>
      </c>
      <c r="I377" s="653" t="s">
        <v>1540</v>
      </c>
      <c r="J377" s="651" t="s">
        <v>1536</v>
      </c>
      <c r="K377" s="788" t="s">
        <v>693</v>
      </c>
      <c r="L377" s="651" t="s">
        <v>325</v>
      </c>
      <c r="M377" s="661" t="s">
        <v>1537</v>
      </c>
      <c r="N377" s="651" t="s">
        <v>426</v>
      </c>
    </row>
    <row r="378" spans="1:19">
      <c r="A378" s="205" t="s">
        <v>1541</v>
      </c>
      <c r="B378" s="778"/>
      <c r="C378" s="130" t="s">
        <v>1539</v>
      </c>
      <c r="D378" s="652"/>
      <c r="E378" s="652"/>
      <c r="F378" s="652"/>
      <c r="G378" s="654"/>
      <c r="H378" s="652"/>
      <c r="I378" s="654"/>
      <c r="J378" s="652"/>
      <c r="K378" s="789"/>
      <c r="L378" s="652"/>
      <c r="M378" s="662"/>
      <c r="N378" s="652"/>
    </row>
    <row r="379" spans="1:19" ht="27" customHeight="1">
      <c r="A379" s="124">
        <v>15</v>
      </c>
      <c r="B379" s="65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5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5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5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5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5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5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5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5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5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5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5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5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5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5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5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5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5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5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5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5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5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5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5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63" t="s">
        <v>1788</v>
      </c>
      <c r="C403" s="234" t="s">
        <v>1754</v>
      </c>
      <c r="D403" s="713" t="s">
        <v>307</v>
      </c>
      <c r="E403" s="713" t="s">
        <v>323</v>
      </c>
      <c r="F403" s="713" t="s">
        <v>308</v>
      </c>
      <c r="G403" s="719">
        <v>3306</v>
      </c>
      <c r="H403" s="713" t="s">
        <v>1154</v>
      </c>
      <c r="I403" s="719" t="s">
        <v>1755</v>
      </c>
      <c r="J403" s="713" t="s">
        <v>665</v>
      </c>
      <c r="K403" s="790" t="s">
        <v>1289</v>
      </c>
      <c r="L403" s="713" t="s">
        <v>325</v>
      </c>
      <c r="M403" s="717" t="s">
        <v>1756</v>
      </c>
      <c r="N403" s="713" t="s">
        <v>666</v>
      </c>
    </row>
    <row r="404" spans="1:14">
      <c r="A404" s="124">
        <v>18</v>
      </c>
      <c r="B404" s="664"/>
      <c r="C404" s="234" t="s">
        <v>1757</v>
      </c>
      <c r="D404" s="714"/>
      <c r="E404" s="714"/>
      <c r="F404" s="714"/>
      <c r="G404" s="720"/>
      <c r="H404" s="714"/>
      <c r="I404" s="720"/>
      <c r="J404" s="714"/>
      <c r="K404" s="791"/>
      <c r="L404" s="714"/>
      <c r="M404" s="718"/>
      <c r="N404" s="714"/>
    </row>
    <row r="405" spans="1:14" ht="22.5">
      <c r="A405" s="124">
        <v>18</v>
      </c>
      <c r="B405" s="664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64"/>
      <c r="C406" s="234" t="s">
        <v>1761</v>
      </c>
      <c r="D406" s="713" t="s">
        <v>307</v>
      </c>
      <c r="E406" s="713" t="s">
        <v>323</v>
      </c>
      <c r="F406" s="713" t="s">
        <v>308</v>
      </c>
      <c r="G406" s="719" t="s">
        <v>1762</v>
      </c>
      <c r="H406" s="713" t="s">
        <v>348</v>
      </c>
      <c r="I406" s="719" t="s">
        <v>1155</v>
      </c>
      <c r="J406" s="713" t="s">
        <v>665</v>
      </c>
      <c r="K406" s="713" t="s">
        <v>1763</v>
      </c>
      <c r="L406" s="713" t="s">
        <v>325</v>
      </c>
      <c r="M406" s="717" t="s">
        <v>1764</v>
      </c>
      <c r="N406" s="713" t="s">
        <v>666</v>
      </c>
    </row>
    <row r="407" spans="1:14">
      <c r="A407" s="124">
        <v>18</v>
      </c>
      <c r="B407" s="664"/>
      <c r="C407" s="234" t="s">
        <v>1765</v>
      </c>
      <c r="D407" s="714"/>
      <c r="E407" s="714"/>
      <c r="F407" s="714"/>
      <c r="G407" s="720"/>
      <c r="H407" s="714"/>
      <c r="I407" s="720"/>
      <c r="J407" s="714"/>
      <c r="K407" s="714"/>
      <c r="L407" s="714"/>
      <c r="M407" s="718"/>
      <c r="N407" s="714"/>
    </row>
    <row r="408" spans="1:14" ht="16.5" customHeight="1">
      <c r="A408" s="124">
        <v>18</v>
      </c>
      <c r="B408" s="664"/>
      <c r="C408" s="236" t="s">
        <v>1766</v>
      </c>
      <c r="D408" s="713" t="s">
        <v>307</v>
      </c>
      <c r="E408" s="713" t="s">
        <v>323</v>
      </c>
      <c r="F408" s="713" t="s">
        <v>308</v>
      </c>
      <c r="G408" s="719" t="s">
        <v>1767</v>
      </c>
      <c r="H408" s="713" t="s">
        <v>330</v>
      </c>
      <c r="I408" s="719" t="s">
        <v>1768</v>
      </c>
      <c r="J408" s="713" t="s">
        <v>665</v>
      </c>
      <c r="K408" s="713" t="s">
        <v>1769</v>
      </c>
      <c r="L408" s="713" t="s">
        <v>325</v>
      </c>
      <c r="M408" s="717" t="s">
        <v>1770</v>
      </c>
      <c r="N408" s="713" t="s">
        <v>1771</v>
      </c>
    </row>
    <row r="409" spans="1:14">
      <c r="A409" s="124">
        <v>18</v>
      </c>
      <c r="B409" s="665"/>
      <c r="C409" s="234" t="s">
        <v>1772</v>
      </c>
      <c r="D409" s="714"/>
      <c r="E409" s="714"/>
      <c r="F409" s="714"/>
      <c r="G409" s="720"/>
      <c r="H409" s="714"/>
      <c r="I409" s="720"/>
      <c r="J409" s="714"/>
      <c r="K409" s="714"/>
      <c r="L409" s="714"/>
      <c r="M409" s="718"/>
      <c r="N409" s="714"/>
    </row>
    <row r="410" spans="1:14" ht="16.5" customHeight="1">
      <c r="A410" s="124">
        <v>18</v>
      </c>
      <c r="B410" s="663" t="s">
        <v>254</v>
      </c>
      <c r="C410" s="721" t="s">
        <v>1773</v>
      </c>
      <c r="D410" s="713" t="s">
        <v>312</v>
      </c>
      <c r="E410" s="713" t="s">
        <v>321</v>
      </c>
      <c r="F410" s="713" t="s">
        <v>710</v>
      </c>
      <c r="G410" s="713" t="s">
        <v>1774</v>
      </c>
      <c r="H410" s="721" t="s">
        <v>1775</v>
      </c>
      <c r="I410" s="235" t="s">
        <v>1776</v>
      </c>
      <c r="J410" s="713"/>
      <c r="K410" s="723" t="s">
        <v>1777</v>
      </c>
      <c r="L410" s="713" t="s">
        <v>310</v>
      </c>
      <c r="M410" s="717" t="s">
        <v>1770</v>
      </c>
      <c r="N410" s="713" t="s">
        <v>1778</v>
      </c>
    </row>
    <row r="411" spans="1:14">
      <c r="A411" s="124">
        <v>18</v>
      </c>
      <c r="B411" s="664"/>
      <c r="C411" s="722"/>
      <c r="D411" s="714"/>
      <c r="E411" s="714"/>
      <c r="F411" s="714"/>
      <c r="G411" s="714"/>
      <c r="H411" s="722"/>
      <c r="I411" s="235" t="s">
        <v>1779</v>
      </c>
      <c r="J411" s="714"/>
      <c r="K411" s="724"/>
      <c r="L411" s="714"/>
      <c r="M411" s="718"/>
      <c r="N411" s="714"/>
    </row>
    <row r="412" spans="1:14" ht="22.5">
      <c r="A412" s="124">
        <v>18</v>
      </c>
      <c r="B412" s="664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64"/>
      <c r="C413" s="721" t="s">
        <v>1782</v>
      </c>
      <c r="D413" s="721" t="s">
        <v>701</v>
      </c>
      <c r="E413" s="713" t="s">
        <v>676</v>
      </c>
      <c r="F413" s="721" t="s">
        <v>1783</v>
      </c>
      <c r="G413" s="721" t="s">
        <v>1784</v>
      </c>
      <c r="H413" s="721" t="s">
        <v>663</v>
      </c>
      <c r="I413" s="235" t="s">
        <v>1785</v>
      </c>
      <c r="J413" s="713" t="s">
        <v>639</v>
      </c>
      <c r="K413" s="713" t="s">
        <v>732</v>
      </c>
      <c r="L413" s="713" t="s">
        <v>310</v>
      </c>
      <c r="M413" s="717" t="s">
        <v>1786</v>
      </c>
      <c r="N413" s="713" t="s">
        <v>1787</v>
      </c>
    </row>
    <row r="414" spans="1:14">
      <c r="A414" s="124">
        <v>18</v>
      </c>
      <c r="B414" s="665"/>
      <c r="C414" s="722"/>
      <c r="D414" s="722"/>
      <c r="E414" s="714"/>
      <c r="F414" s="722"/>
      <c r="G414" s="722"/>
      <c r="H414" s="722"/>
      <c r="I414" s="26"/>
      <c r="J414" s="714"/>
      <c r="K414" s="714"/>
      <c r="L414" s="714"/>
      <c r="M414" s="718"/>
      <c r="N414" s="714"/>
    </row>
    <row r="415" spans="1:14" ht="16.5" customHeight="1">
      <c r="A415" s="124">
        <v>19</v>
      </c>
      <c r="B415" s="663" t="s">
        <v>20</v>
      </c>
      <c r="C415" s="149" t="s">
        <v>1800</v>
      </c>
      <c r="D415" s="651" t="s">
        <v>307</v>
      </c>
      <c r="E415" s="651" t="s">
        <v>323</v>
      </c>
      <c r="F415" s="651" t="s">
        <v>308</v>
      </c>
      <c r="G415" s="653" t="s">
        <v>1802</v>
      </c>
      <c r="H415" s="651" t="s">
        <v>1803</v>
      </c>
      <c r="I415" s="653" t="s">
        <v>1798</v>
      </c>
      <c r="J415" s="651" t="s">
        <v>665</v>
      </c>
      <c r="K415" s="149" t="s">
        <v>1522</v>
      </c>
      <c r="L415" s="651" t="s">
        <v>325</v>
      </c>
      <c r="M415" s="661" t="s">
        <v>1805</v>
      </c>
      <c r="N415" s="651" t="s">
        <v>666</v>
      </c>
    </row>
    <row r="416" spans="1:14">
      <c r="A416" s="124">
        <v>19</v>
      </c>
      <c r="B416" s="664"/>
      <c r="C416" s="149" t="s">
        <v>1801</v>
      </c>
      <c r="D416" s="652"/>
      <c r="E416" s="652"/>
      <c r="F416" s="652"/>
      <c r="G416" s="654"/>
      <c r="H416" s="652"/>
      <c r="I416" s="654"/>
      <c r="J416" s="652"/>
      <c r="K416" s="149" t="s">
        <v>1804</v>
      </c>
      <c r="L416" s="652"/>
      <c r="M416" s="662"/>
      <c r="N416" s="652"/>
    </row>
    <row r="417" spans="1:14">
      <c r="A417" s="124">
        <v>19</v>
      </c>
      <c r="B417" s="664"/>
      <c r="C417" s="149" t="s">
        <v>1806</v>
      </c>
      <c r="D417" s="651" t="s">
        <v>307</v>
      </c>
      <c r="E417" s="651" t="s">
        <v>323</v>
      </c>
      <c r="F417" s="651" t="s">
        <v>308</v>
      </c>
      <c r="G417" s="653" t="s">
        <v>1807</v>
      </c>
      <c r="H417" s="651" t="s">
        <v>1808</v>
      </c>
      <c r="I417" s="653" t="s">
        <v>1809</v>
      </c>
      <c r="J417" s="651" t="s">
        <v>665</v>
      </c>
      <c r="K417" s="715" t="s">
        <v>1156</v>
      </c>
      <c r="L417" s="651" t="s">
        <v>325</v>
      </c>
      <c r="M417" s="661" t="s">
        <v>1810</v>
      </c>
      <c r="N417" s="651" t="s">
        <v>666</v>
      </c>
    </row>
    <row r="418" spans="1:14">
      <c r="A418" s="124">
        <v>19</v>
      </c>
      <c r="B418" s="665"/>
      <c r="C418" s="149" t="s">
        <v>1801</v>
      </c>
      <c r="D418" s="652"/>
      <c r="E418" s="652"/>
      <c r="F418" s="652"/>
      <c r="G418" s="654"/>
      <c r="H418" s="652"/>
      <c r="I418" s="654"/>
      <c r="J418" s="652"/>
      <c r="K418" s="716"/>
      <c r="L418" s="652"/>
      <c r="M418" s="662"/>
      <c r="N418" s="652"/>
    </row>
    <row r="419" spans="1:14" ht="16.5" customHeight="1">
      <c r="A419" s="124">
        <v>19</v>
      </c>
      <c r="B419" s="663" t="s">
        <v>21</v>
      </c>
      <c r="C419" s="705" t="s">
        <v>1811</v>
      </c>
      <c r="D419" s="705" t="s">
        <v>701</v>
      </c>
      <c r="E419" s="651" t="s">
        <v>676</v>
      </c>
      <c r="F419" s="705" t="s">
        <v>1812</v>
      </c>
      <c r="G419" s="705" t="s">
        <v>1813</v>
      </c>
      <c r="H419" s="705" t="s">
        <v>663</v>
      </c>
      <c r="I419" s="653" t="s">
        <v>1814</v>
      </c>
      <c r="J419" s="651"/>
      <c r="K419" s="707" t="s">
        <v>1815</v>
      </c>
      <c r="L419" s="651" t="s">
        <v>310</v>
      </c>
      <c r="M419" s="661" t="s">
        <v>1816</v>
      </c>
      <c r="N419" s="150" t="s">
        <v>1817</v>
      </c>
    </row>
    <row r="420" spans="1:14">
      <c r="A420" s="124">
        <v>19</v>
      </c>
      <c r="B420" s="664"/>
      <c r="C420" s="706"/>
      <c r="D420" s="706"/>
      <c r="E420" s="652"/>
      <c r="F420" s="706"/>
      <c r="G420" s="706"/>
      <c r="H420" s="706"/>
      <c r="I420" s="654"/>
      <c r="J420" s="652"/>
      <c r="K420" s="708"/>
      <c r="L420" s="652"/>
      <c r="M420" s="662"/>
      <c r="N420" s="150" t="s">
        <v>1818</v>
      </c>
    </row>
    <row r="421" spans="1:14">
      <c r="A421" s="124">
        <v>19</v>
      </c>
      <c r="B421" s="664"/>
      <c r="C421" s="709" t="s">
        <v>1819</v>
      </c>
      <c r="D421" s="705" t="s">
        <v>701</v>
      </c>
      <c r="E421" s="651" t="s">
        <v>321</v>
      </c>
      <c r="F421" s="651" t="s">
        <v>338</v>
      </c>
      <c r="G421" s="705" t="s">
        <v>354</v>
      </c>
      <c r="H421" s="705" t="s">
        <v>1820</v>
      </c>
      <c r="I421" s="653" t="s">
        <v>1821</v>
      </c>
      <c r="J421" s="651" t="s">
        <v>639</v>
      </c>
      <c r="K421" s="711" t="s">
        <v>693</v>
      </c>
      <c r="L421" s="651" t="s">
        <v>310</v>
      </c>
      <c r="M421" s="661" t="s">
        <v>1822</v>
      </c>
      <c r="N421" s="149" t="s">
        <v>1823</v>
      </c>
    </row>
    <row r="422" spans="1:14">
      <c r="A422" s="124">
        <v>19</v>
      </c>
      <c r="B422" s="664"/>
      <c r="C422" s="710"/>
      <c r="D422" s="706"/>
      <c r="E422" s="652"/>
      <c r="F422" s="652"/>
      <c r="G422" s="706"/>
      <c r="H422" s="706"/>
      <c r="I422" s="654"/>
      <c r="J422" s="652"/>
      <c r="K422" s="712"/>
      <c r="L422" s="652"/>
      <c r="M422" s="662"/>
      <c r="N422" s="149" t="s">
        <v>1824</v>
      </c>
    </row>
    <row r="423" spans="1:14">
      <c r="A423" s="124">
        <v>19</v>
      </c>
      <c r="B423" s="664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64"/>
      <c r="C424" s="705" t="s">
        <v>1826</v>
      </c>
      <c r="D424" s="705" t="s">
        <v>701</v>
      </c>
      <c r="E424" s="651" t="s">
        <v>321</v>
      </c>
      <c r="F424" s="651" t="s">
        <v>710</v>
      </c>
      <c r="G424" s="651" t="s">
        <v>1774</v>
      </c>
      <c r="H424" s="705" t="s">
        <v>1827</v>
      </c>
      <c r="I424" s="150" t="s">
        <v>1828</v>
      </c>
      <c r="J424" s="651" t="s">
        <v>639</v>
      </c>
      <c r="K424" s="651" t="s">
        <v>693</v>
      </c>
      <c r="L424" s="651" t="s">
        <v>310</v>
      </c>
      <c r="M424" s="661" t="s">
        <v>1537</v>
      </c>
      <c r="N424" s="653" t="s">
        <v>1830</v>
      </c>
    </row>
    <row r="425" spans="1:14">
      <c r="A425" s="124">
        <v>19</v>
      </c>
      <c r="B425" s="664"/>
      <c r="C425" s="706"/>
      <c r="D425" s="706"/>
      <c r="E425" s="652"/>
      <c r="F425" s="652"/>
      <c r="G425" s="652"/>
      <c r="H425" s="706"/>
      <c r="I425" s="150" t="s">
        <v>1829</v>
      </c>
      <c r="J425" s="652"/>
      <c r="K425" s="652"/>
      <c r="L425" s="652"/>
      <c r="M425" s="662"/>
      <c r="N425" s="654"/>
    </row>
    <row r="426" spans="1:14">
      <c r="A426" s="124">
        <v>19</v>
      </c>
      <c r="B426" s="665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63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64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64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64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65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63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65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63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64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64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64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65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63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64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64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64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65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63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64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64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64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65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63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64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65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63" t="s">
        <v>2084</v>
      </c>
      <c r="C452" s="251" t="s">
        <v>1912</v>
      </c>
      <c r="D452" s="685" t="s">
        <v>307</v>
      </c>
      <c r="E452" s="685" t="s">
        <v>323</v>
      </c>
      <c r="F452" s="685" t="s">
        <v>308</v>
      </c>
      <c r="G452" s="685">
        <v>3306</v>
      </c>
      <c r="H452" s="685" t="s">
        <v>1154</v>
      </c>
      <c r="I452" s="685" t="s">
        <v>1913</v>
      </c>
      <c r="J452" s="685" t="s">
        <v>1112</v>
      </c>
      <c r="K452" s="685" t="s">
        <v>693</v>
      </c>
      <c r="L452" s="685" t="s">
        <v>325</v>
      </c>
      <c r="M452" s="683" t="s">
        <v>1914</v>
      </c>
      <c r="N452" s="685" t="s">
        <v>666</v>
      </c>
    </row>
    <row r="453" spans="1:14">
      <c r="A453" s="124">
        <v>23</v>
      </c>
      <c r="B453" s="664"/>
      <c r="C453" s="251" t="s">
        <v>1915</v>
      </c>
      <c r="D453" s="686"/>
      <c r="E453" s="686"/>
      <c r="F453" s="686"/>
      <c r="G453" s="686"/>
      <c r="H453" s="686"/>
      <c r="I453" s="686"/>
      <c r="J453" s="686"/>
      <c r="K453" s="686"/>
      <c r="L453" s="686"/>
      <c r="M453" s="684"/>
      <c r="N453" s="686"/>
    </row>
    <row r="454" spans="1:14">
      <c r="A454" s="124">
        <v>23</v>
      </c>
      <c r="B454" s="664"/>
      <c r="C454" s="251" t="s">
        <v>1916</v>
      </c>
      <c r="D454" s="685" t="s">
        <v>307</v>
      </c>
      <c r="E454" s="685" t="s">
        <v>323</v>
      </c>
      <c r="F454" s="685" t="s">
        <v>308</v>
      </c>
      <c r="G454" s="687" t="s">
        <v>1420</v>
      </c>
      <c r="H454" s="685" t="s">
        <v>1917</v>
      </c>
      <c r="I454" s="687" t="s">
        <v>1155</v>
      </c>
      <c r="J454" s="685" t="s">
        <v>665</v>
      </c>
      <c r="K454" s="701" t="s">
        <v>1769</v>
      </c>
      <c r="L454" s="685" t="s">
        <v>325</v>
      </c>
      <c r="M454" s="683" t="s">
        <v>1537</v>
      </c>
      <c r="N454" s="685" t="s">
        <v>666</v>
      </c>
    </row>
    <row r="455" spans="1:14">
      <c r="A455" s="124">
        <v>23</v>
      </c>
      <c r="B455" s="664"/>
      <c r="C455" s="251" t="s">
        <v>1915</v>
      </c>
      <c r="D455" s="686"/>
      <c r="E455" s="686"/>
      <c r="F455" s="686"/>
      <c r="G455" s="688"/>
      <c r="H455" s="686"/>
      <c r="I455" s="688"/>
      <c r="J455" s="686"/>
      <c r="K455" s="702"/>
      <c r="L455" s="686"/>
      <c r="M455" s="684"/>
      <c r="N455" s="686"/>
    </row>
    <row r="456" spans="1:14">
      <c r="A456" s="124">
        <v>23</v>
      </c>
      <c r="B456" s="664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64"/>
      <c r="C457" s="251" t="s">
        <v>1923</v>
      </c>
      <c r="D457" s="685" t="s">
        <v>307</v>
      </c>
      <c r="E457" s="685" t="s">
        <v>323</v>
      </c>
      <c r="F457" s="685" t="s">
        <v>308</v>
      </c>
      <c r="G457" s="687">
        <v>4267</v>
      </c>
      <c r="H457" s="685" t="s">
        <v>641</v>
      </c>
      <c r="I457" s="687" t="s">
        <v>1155</v>
      </c>
      <c r="J457" s="685" t="s">
        <v>665</v>
      </c>
      <c r="K457" s="701" t="s">
        <v>1769</v>
      </c>
      <c r="L457" s="685" t="s">
        <v>325</v>
      </c>
      <c r="M457" s="683" t="s">
        <v>1537</v>
      </c>
      <c r="N457" s="685" t="s">
        <v>666</v>
      </c>
    </row>
    <row r="458" spans="1:14">
      <c r="A458" s="124">
        <v>23</v>
      </c>
      <c r="B458" s="664"/>
      <c r="C458" s="251" t="s">
        <v>1924</v>
      </c>
      <c r="D458" s="686"/>
      <c r="E458" s="686"/>
      <c r="F458" s="686"/>
      <c r="G458" s="688"/>
      <c r="H458" s="686"/>
      <c r="I458" s="688"/>
      <c r="J458" s="686"/>
      <c r="K458" s="702"/>
      <c r="L458" s="686"/>
      <c r="M458" s="684"/>
      <c r="N458" s="686"/>
    </row>
    <row r="459" spans="1:14">
      <c r="A459" s="124">
        <v>23</v>
      </c>
      <c r="B459" s="664"/>
      <c r="C459" s="251" t="s">
        <v>1923</v>
      </c>
      <c r="D459" s="685" t="s">
        <v>307</v>
      </c>
      <c r="E459" s="685" t="s">
        <v>323</v>
      </c>
      <c r="F459" s="685" t="s">
        <v>308</v>
      </c>
      <c r="G459" s="687" t="s">
        <v>1925</v>
      </c>
      <c r="H459" s="685" t="s">
        <v>663</v>
      </c>
      <c r="I459" s="687" t="s">
        <v>1926</v>
      </c>
      <c r="J459" s="685" t="s">
        <v>350</v>
      </c>
      <c r="K459" s="703" t="s">
        <v>1922</v>
      </c>
      <c r="L459" s="685" t="s">
        <v>325</v>
      </c>
      <c r="M459" s="683" t="s">
        <v>1537</v>
      </c>
      <c r="N459" s="685" t="s">
        <v>426</v>
      </c>
    </row>
    <row r="460" spans="1:14">
      <c r="A460" s="124">
        <v>23</v>
      </c>
      <c r="B460" s="665"/>
      <c r="C460" s="252" t="s">
        <v>1924</v>
      </c>
      <c r="D460" s="686"/>
      <c r="E460" s="686"/>
      <c r="F460" s="686"/>
      <c r="G460" s="688"/>
      <c r="H460" s="686"/>
      <c r="I460" s="688"/>
      <c r="J460" s="686"/>
      <c r="K460" s="704"/>
      <c r="L460" s="686"/>
      <c r="M460" s="684"/>
      <c r="N460" s="686"/>
    </row>
    <row r="461" spans="1:14">
      <c r="A461" s="124">
        <v>23</v>
      </c>
      <c r="B461" s="663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64"/>
      <c r="C462" s="685" t="s">
        <v>1927</v>
      </c>
      <c r="D462" s="685" t="s">
        <v>312</v>
      </c>
      <c r="E462" s="685" t="s">
        <v>676</v>
      </c>
      <c r="F462" s="685" t="s">
        <v>1932</v>
      </c>
      <c r="G462" s="685" t="s">
        <v>1933</v>
      </c>
      <c r="H462" s="792" t="s">
        <v>348</v>
      </c>
      <c r="I462" s="250" t="s">
        <v>1934</v>
      </c>
      <c r="J462" s="685"/>
      <c r="K462" s="687" t="s">
        <v>1930</v>
      </c>
      <c r="L462" s="685" t="s">
        <v>310</v>
      </c>
      <c r="M462" s="683" t="s">
        <v>1834</v>
      </c>
      <c r="N462" s="687" t="s">
        <v>1931</v>
      </c>
    </row>
    <row r="463" spans="1:14">
      <c r="A463" s="124">
        <v>23</v>
      </c>
      <c r="B463" s="664"/>
      <c r="C463" s="686"/>
      <c r="D463" s="686"/>
      <c r="E463" s="686"/>
      <c r="F463" s="686"/>
      <c r="G463" s="686"/>
      <c r="H463" s="793"/>
      <c r="I463" s="250" t="s">
        <v>1935</v>
      </c>
      <c r="J463" s="686"/>
      <c r="K463" s="688"/>
      <c r="L463" s="686"/>
      <c r="M463" s="684"/>
      <c r="N463" s="688"/>
    </row>
    <row r="464" spans="1:14" ht="24">
      <c r="A464" s="124">
        <v>23</v>
      </c>
      <c r="B464" s="664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65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63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64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64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65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63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64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64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64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65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63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64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64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65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63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64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65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63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64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64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64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65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63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64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64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64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65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63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64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64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64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64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65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63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64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65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63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64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64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65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63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65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63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64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64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64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64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64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64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64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65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63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64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65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63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64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64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64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65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63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65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63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64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64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64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65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63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64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65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63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64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65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63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64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64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64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65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63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64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64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65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63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64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64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65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63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64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65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63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64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64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65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63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64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65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63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64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64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65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63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64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64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64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64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65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78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80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78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79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79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80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63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65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78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79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79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80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63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64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64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65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63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64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64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64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64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65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63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64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65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63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64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65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63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64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64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65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63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65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78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79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80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63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64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64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65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63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65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63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64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64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65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698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699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699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699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00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63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64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65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63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64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65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63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64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65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63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65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63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64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65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63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64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64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64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64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64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64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64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64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64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64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64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64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64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64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64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64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64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64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64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64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64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63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64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64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65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697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64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65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63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65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63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64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64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64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65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63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65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63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64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64"/>
      <c r="C687" s="149" t="s">
        <v>2734</v>
      </c>
      <c r="D687" s="651" t="s">
        <v>307</v>
      </c>
      <c r="E687" s="651" t="s">
        <v>323</v>
      </c>
      <c r="F687" s="651" t="s">
        <v>308</v>
      </c>
      <c r="G687" s="653" t="s">
        <v>2727</v>
      </c>
      <c r="H687" s="651" t="s">
        <v>1048</v>
      </c>
      <c r="I687" s="653" t="s">
        <v>705</v>
      </c>
      <c r="J687" s="651" t="s">
        <v>665</v>
      </c>
      <c r="K687" s="693" t="s">
        <v>1769</v>
      </c>
      <c r="L687" s="651"/>
      <c r="M687" s="661" t="s">
        <v>459</v>
      </c>
      <c r="N687" s="651" t="s">
        <v>666</v>
      </c>
    </row>
    <row r="688" spans="1:14">
      <c r="A688" s="124">
        <v>8</v>
      </c>
      <c r="B688" s="664"/>
      <c r="C688" s="149" t="s">
        <v>2735</v>
      </c>
      <c r="D688" s="652"/>
      <c r="E688" s="652"/>
      <c r="F688" s="652"/>
      <c r="G688" s="654"/>
      <c r="H688" s="652"/>
      <c r="I688" s="654"/>
      <c r="J688" s="652"/>
      <c r="K688" s="694"/>
      <c r="L688" s="652"/>
      <c r="M688" s="662"/>
      <c r="N688" s="652"/>
    </row>
    <row r="689" spans="1:14">
      <c r="A689" s="124">
        <v>8</v>
      </c>
      <c r="B689" s="664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64"/>
      <c r="C690" s="149" t="s">
        <v>2738</v>
      </c>
      <c r="D690" s="651" t="s">
        <v>307</v>
      </c>
      <c r="E690" s="651" t="s">
        <v>323</v>
      </c>
      <c r="F690" s="651" t="s">
        <v>308</v>
      </c>
      <c r="G690" s="653" t="s">
        <v>2739</v>
      </c>
      <c r="H690" s="651" t="s">
        <v>641</v>
      </c>
      <c r="I690" s="653" t="s">
        <v>669</v>
      </c>
      <c r="J690" s="651" t="s">
        <v>350</v>
      </c>
      <c r="K690" s="695" t="s">
        <v>2740</v>
      </c>
      <c r="L690" s="651"/>
      <c r="M690" s="661" t="s">
        <v>2777</v>
      </c>
      <c r="N690" s="651" t="s">
        <v>426</v>
      </c>
    </row>
    <row r="691" spans="1:14">
      <c r="A691" s="124">
        <v>8</v>
      </c>
      <c r="B691" s="665"/>
      <c r="C691" s="149" t="s">
        <v>2731</v>
      </c>
      <c r="D691" s="652"/>
      <c r="E691" s="652"/>
      <c r="F691" s="652"/>
      <c r="G691" s="654"/>
      <c r="H691" s="652"/>
      <c r="I691" s="654"/>
      <c r="J691" s="652"/>
      <c r="K691" s="696"/>
      <c r="L691" s="652"/>
      <c r="M691" s="662"/>
      <c r="N691" s="652"/>
    </row>
    <row r="692" spans="1:14">
      <c r="A692" s="124">
        <v>8</v>
      </c>
      <c r="B692" s="663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64"/>
      <c r="C693" s="651" t="s">
        <v>2776</v>
      </c>
      <c r="D693" s="651" t="s">
        <v>312</v>
      </c>
      <c r="E693" s="651" t="s">
        <v>676</v>
      </c>
      <c r="F693" s="150" t="s">
        <v>1812</v>
      </c>
      <c r="G693" s="653" t="s">
        <v>690</v>
      </c>
      <c r="H693" s="653" t="s">
        <v>663</v>
      </c>
      <c r="I693" s="653" t="s">
        <v>2747</v>
      </c>
      <c r="J693" s="653"/>
      <c r="K693" s="653" t="s">
        <v>699</v>
      </c>
      <c r="L693" s="651" t="s">
        <v>310</v>
      </c>
      <c r="M693" s="661" t="s">
        <v>673</v>
      </c>
      <c r="N693" s="651" t="s">
        <v>2748</v>
      </c>
    </row>
    <row r="694" spans="1:14">
      <c r="A694" s="124">
        <v>8</v>
      </c>
      <c r="B694" s="665"/>
      <c r="C694" s="652"/>
      <c r="D694" s="652"/>
      <c r="E694" s="652"/>
      <c r="F694" s="150" t="s">
        <v>2746</v>
      </c>
      <c r="G694" s="654"/>
      <c r="H694" s="654"/>
      <c r="I694" s="654"/>
      <c r="J694" s="654"/>
      <c r="K694" s="654"/>
      <c r="L694" s="652"/>
      <c r="M694" s="662"/>
      <c r="N694" s="671"/>
    </row>
    <row r="695" spans="1:14">
      <c r="A695" s="124">
        <v>9</v>
      </c>
      <c r="B695" s="663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64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64"/>
      <c r="C697" s="251" t="s">
        <v>2753</v>
      </c>
      <c r="D697" s="685" t="s">
        <v>307</v>
      </c>
      <c r="E697" s="685" t="s">
        <v>323</v>
      </c>
      <c r="F697" s="685" t="s">
        <v>308</v>
      </c>
      <c r="G697" s="687" t="s">
        <v>2754</v>
      </c>
      <c r="H697" s="685" t="s">
        <v>406</v>
      </c>
      <c r="I697" s="687" t="s">
        <v>2755</v>
      </c>
      <c r="J697" s="685" t="s">
        <v>665</v>
      </c>
      <c r="K697" s="691" t="s">
        <v>1763</v>
      </c>
      <c r="L697" s="685"/>
      <c r="M697" s="683">
        <v>750000</v>
      </c>
      <c r="N697" s="685" t="s">
        <v>666</v>
      </c>
    </row>
    <row r="698" spans="1:14">
      <c r="A698" s="124">
        <v>9</v>
      </c>
      <c r="B698" s="664"/>
      <c r="C698" s="251" t="s">
        <v>2756</v>
      </c>
      <c r="D698" s="686"/>
      <c r="E698" s="686"/>
      <c r="F698" s="686"/>
      <c r="G698" s="688"/>
      <c r="H698" s="686"/>
      <c r="I698" s="688"/>
      <c r="J698" s="686"/>
      <c r="K698" s="692"/>
      <c r="L698" s="686"/>
      <c r="M698" s="684"/>
      <c r="N698" s="686"/>
    </row>
    <row r="699" spans="1:14">
      <c r="A699" s="124">
        <v>9</v>
      </c>
      <c r="B699" s="664"/>
      <c r="C699" s="251" t="s">
        <v>2753</v>
      </c>
      <c r="D699" s="685" t="s">
        <v>307</v>
      </c>
      <c r="E699" s="685" t="s">
        <v>323</v>
      </c>
      <c r="F699" s="685" t="s">
        <v>308</v>
      </c>
      <c r="G699" s="687" t="s">
        <v>2757</v>
      </c>
      <c r="H699" s="685" t="s">
        <v>663</v>
      </c>
      <c r="I699" s="687" t="s">
        <v>669</v>
      </c>
      <c r="J699" s="685" t="s">
        <v>350</v>
      </c>
      <c r="K699" s="689" t="s">
        <v>2740</v>
      </c>
      <c r="L699" s="685"/>
      <c r="M699" s="683">
        <v>1000000</v>
      </c>
      <c r="N699" s="685" t="s">
        <v>426</v>
      </c>
    </row>
    <row r="700" spans="1:14">
      <c r="A700" s="124">
        <v>9</v>
      </c>
      <c r="B700" s="664"/>
      <c r="C700" s="251" t="s">
        <v>2758</v>
      </c>
      <c r="D700" s="686"/>
      <c r="E700" s="686"/>
      <c r="F700" s="686"/>
      <c r="G700" s="688"/>
      <c r="H700" s="686"/>
      <c r="I700" s="688"/>
      <c r="J700" s="686"/>
      <c r="K700" s="690"/>
      <c r="L700" s="686"/>
      <c r="M700" s="684"/>
      <c r="N700" s="686"/>
    </row>
    <row r="701" spans="1:14">
      <c r="A701" s="124">
        <v>9</v>
      </c>
      <c r="B701" s="665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63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64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65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63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64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65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63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64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64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65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63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65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63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65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63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64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64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64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65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63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64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64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65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63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64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64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64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64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64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64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81" t="s">
        <v>2829</v>
      </c>
    </row>
    <row r="734" spans="1:14" ht="27">
      <c r="A734" s="124">
        <v>15</v>
      </c>
      <c r="B734" s="664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82"/>
    </row>
    <row r="735" spans="1:14">
      <c r="A735" s="124">
        <v>15</v>
      </c>
      <c r="B735" s="664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64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64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64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64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64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64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64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64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64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65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63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64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64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64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65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63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64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64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64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65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63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64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64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65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63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64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64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64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64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64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64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64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64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65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63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64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65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63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64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65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63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64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64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65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63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64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64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65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63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65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63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64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64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65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63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65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78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79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80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63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64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64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64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65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63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64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64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65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63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64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65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63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64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64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65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63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64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64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64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64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65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63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64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64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64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64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64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64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64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65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63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64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64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64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64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65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63" t="s">
        <v>3130</v>
      </c>
      <c r="C835" s="149" t="s">
        <v>3112</v>
      </c>
      <c r="D835" s="651" t="s">
        <v>307</v>
      </c>
      <c r="E835" s="651" t="s">
        <v>323</v>
      </c>
      <c r="F835" s="651" t="s">
        <v>308</v>
      </c>
      <c r="G835" s="653" t="s">
        <v>3080</v>
      </c>
      <c r="H835" s="651" t="s">
        <v>1999</v>
      </c>
      <c r="I835" s="653" t="s">
        <v>3081</v>
      </c>
      <c r="J835" s="651" t="s">
        <v>665</v>
      </c>
      <c r="K835" s="149" t="s">
        <v>3114</v>
      </c>
      <c r="L835" s="651"/>
      <c r="M835" s="675" t="s">
        <v>3115</v>
      </c>
      <c r="N835" s="149" t="s">
        <v>3116</v>
      </c>
    </row>
    <row r="836" spans="1:14">
      <c r="A836" s="124">
        <v>29</v>
      </c>
      <c r="B836" s="664"/>
      <c r="C836" s="149" t="s">
        <v>3113</v>
      </c>
      <c r="D836" s="671"/>
      <c r="E836" s="671"/>
      <c r="F836" s="671"/>
      <c r="G836" s="672"/>
      <c r="H836" s="671"/>
      <c r="I836" s="672"/>
      <c r="J836" s="671"/>
      <c r="K836" s="149" t="s">
        <v>708</v>
      </c>
      <c r="L836" s="671"/>
      <c r="M836" s="676"/>
      <c r="N836" s="149"/>
    </row>
    <row r="837" spans="1:14">
      <c r="A837" s="124">
        <v>29</v>
      </c>
      <c r="B837" s="664"/>
      <c r="C837" s="149"/>
      <c r="D837" s="652"/>
      <c r="E837" s="652"/>
      <c r="F837" s="652"/>
      <c r="G837" s="654"/>
      <c r="H837" s="652"/>
      <c r="I837" s="654"/>
      <c r="J837" s="652"/>
      <c r="K837" s="149"/>
      <c r="L837" s="652"/>
      <c r="M837" s="677"/>
      <c r="N837" s="149" t="s">
        <v>3117</v>
      </c>
    </row>
    <row r="838" spans="1:14">
      <c r="A838" s="124">
        <v>29</v>
      </c>
      <c r="B838" s="664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65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63" t="s">
        <v>21</v>
      </c>
      <c r="C840" s="112" t="s">
        <v>3120</v>
      </c>
      <c r="D840" s="651" t="s">
        <v>312</v>
      </c>
      <c r="E840" s="651" t="s">
        <v>321</v>
      </c>
      <c r="F840" s="653" t="s">
        <v>2609</v>
      </c>
      <c r="G840" s="653" t="s">
        <v>3088</v>
      </c>
      <c r="H840" s="653" t="s">
        <v>3089</v>
      </c>
      <c r="I840" s="653" t="s">
        <v>3090</v>
      </c>
      <c r="J840" s="653" t="s">
        <v>703</v>
      </c>
      <c r="K840" s="653" t="s">
        <v>3091</v>
      </c>
      <c r="L840" s="651" t="s">
        <v>310</v>
      </c>
      <c r="M840" s="675" t="s">
        <v>1822</v>
      </c>
      <c r="N840" s="651" t="s">
        <v>3121</v>
      </c>
    </row>
    <row r="841" spans="1:14">
      <c r="A841" s="124">
        <v>29</v>
      </c>
      <c r="B841" s="664"/>
      <c r="C841" s="112" t="s">
        <v>3094</v>
      </c>
      <c r="D841" s="652"/>
      <c r="E841" s="652"/>
      <c r="F841" s="654"/>
      <c r="G841" s="654"/>
      <c r="H841" s="654"/>
      <c r="I841" s="654"/>
      <c r="J841" s="654"/>
      <c r="K841" s="654"/>
      <c r="L841" s="652"/>
      <c r="M841" s="677"/>
      <c r="N841" s="652"/>
    </row>
    <row r="842" spans="1:14">
      <c r="A842" s="124">
        <v>29</v>
      </c>
      <c r="B842" s="664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64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64"/>
      <c r="C844" s="112" t="s">
        <v>3112</v>
      </c>
      <c r="D844" s="651" t="s">
        <v>312</v>
      </c>
      <c r="E844" s="651" t="s">
        <v>321</v>
      </c>
      <c r="F844" s="653" t="s">
        <v>3097</v>
      </c>
      <c r="G844" s="653" t="s">
        <v>1925</v>
      </c>
      <c r="H844" s="653" t="s">
        <v>3098</v>
      </c>
      <c r="I844" s="150" t="s">
        <v>3123</v>
      </c>
      <c r="J844" s="653"/>
      <c r="K844" s="653" t="s">
        <v>3099</v>
      </c>
      <c r="L844" s="651" t="s">
        <v>310</v>
      </c>
      <c r="M844" s="673" t="s">
        <v>3125</v>
      </c>
      <c r="N844" s="651" t="s">
        <v>1207</v>
      </c>
    </row>
    <row r="845" spans="1:14">
      <c r="A845" s="124">
        <v>29</v>
      </c>
      <c r="B845" s="664"/>
      <c r="C845" s="112" t="s">
        <v>3122</v>
      </c>
      <c r="D845" s="652"/>
      <c r="E845" s="652"/>
      <c r="F845" s="654"/>
      <c r="G845" s="654"/>
      <c r="H845" s="654"/>
      <c r="I845" s="150" t="s">
        <v>3124</v>
      </c>
      <c r="J845" s="654"/>
      <c r="K845" s="654"/>
      <c r="L845" s="652"/>
      <c r="M845" s="674"/>
      <c r="N845" s="652"/>
    </row>
    <row r="846" spans="1:14">
      <c r="A846" s="124">
        <v>29</v>
      </c>
      <c r="B846" s="664"/>
      <c r="C846" s="112" t="s">
        <v>3112</v>
      </c>
      <c r="D846" s="651" t="s">
        <v>312</v>
      </c>
      <c r="E846" s="651" t="s">
        <v>321</v>
      </c>
      <c r="F846" s="653" t="s">
        <v>2609</v>
      </c>
      <c r="G846" s="653" t="s">
        <v>3088</v>
      </c>
      <c r="H846" s="653" t="s">
        <v>3089</v>
      </c>
      <c r="I846" s="653" t="s">
        <v>3100</v>
      </c>
      <c r="J846" s="653" t="s">
        <v>703</v>
      </c>
      <c r="K846" s="653" t="s">
        <v>1055</v>
      </c>
      <c r="L846" s="651" t="s">
        <v>310</v>
      </c>
      <c r="M846" s="675" t="s">
        <v>3127</v>
      </c>
      <c r="N846" s="651" t="s">
        <v>3128</v>
      </c>
    </row>
    <row r="847" spans="1:14">
      <c r="A847" s="124">
        <v>29</v>
      </c>
      <c r="B847" s="664"/>
      <c r="C847" s="112"/>
      <c r="D847" s="671"/>
      <c r="E847" s="671"/>
      <c r="F847" s="672"/>
      <c r="G847" s="672"/>
      <c r="H847" s="672"/>
      <c r="I847" s="672"/>
      <c r="J847" s="672"/>
      <c r="K847" s="672"/>
      <c r="L847" s="671"/>
      <c r="M847" s="676"/>
      <c r="N847" s="671"/>
    </row>
    <row r="848" spans="1:14">
      <c r="A848" s="124">
        <v>29</v>
      </c>
      <c r="B848" s="664"/>
      <c r="C848" s="112" t="s">
        <v>3126</v>
      </c>
      <c r="D848" s="652"/>
      <c r="E848" s="652"/>
      <c r="F848" s="654"/>
      <c r="G848" s="654"/>
      <c r="H848" s="654"/>
      <c r="I848" s="654"/>
      <c r="J848" s="654"/>
      <c r="K848" s="654"/>
      <c r="L848" s="652"/>
      <c r="M848" s="677"/>
      <c r="N848" s="652"/>
    </row>
    <row r="849" spans="1:14">
      <c r="A849" s="124">
        <v>29</v>
      </c>
      <c r="B849" s="664"/>
      <c r="C849" s="112" t="s">
        <v>3129</v>
      </c>
      <c r="D849" s="651" t="s">
        <v>312</v>
      </c>
      <c r="E849" s="651" t="s">
        <v>321</v>
      </c>
      <c r="F849" s="653" t="s">
        <v>338</v>
      </c>
      <c r="G849" s="653" t="s">
        <v>3101</v>
      </c>
      <c r="H849" s="653" t="s">
        <v>355</v>
      </c>
      <c r="I849" s="653" t="s">
        <v>311</v>
      </c>
      <c r="J849" s="653" t="s">
        <v>639</v>
      </c>
      <c r="K849" s="653" t="s">
        <v>3102</v>
      </c>
      <c r="L849" s="651" t="s">
        <v>310</v>
      </c>
      <c r="M849" s="675" t="s">
        <v>1822</v>
      </c>
      <c r="N849" s="651" t="s">
        <v>3128</v>
      </c>
    </row>
    <row r="850" spans="1:14">
      <c r="A850" s="124">
        <v>29</v>
      </c>
      <c r="B850" s="665"/>
      <c r="C850" s="112" t="s">
        <v>3122</v>
      </c>
      <c r="D850" s="652"/>
      <c r="E850" s="652"/>
      <c r="F850" s="654"/>
      <c r="G850" s="654"/>
      <c r="H850" s="654"/>
      <c r="I850" s="654"/>
      <c r="J850" s="654"/>
      <c r="K850" s="654"/>
      <c r="L850" s="652"/>
      <c r="M850" s="677"/>
      <c r="N850" s="652"/>
    </row>
    <row r="851" spans="1:14">
      <c r="A851" s="124">
        <v>30</v>
      </c>
      <c r="B851" s="666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667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667"/>
      <c r="C853" s="149" t="s">
        <v>3139</v>
      </c>
      <c r="D853" s="651" t="s">
        <v>307</v>
      </c>
      <c r="E853" s="651" t="s">
        <v>323</v>
      </c>
      <c r="F853" s="651" t="s">
        <v>308</v>
      </c>
      <c r="G853" s="653" t="s">
        <v>3080</v>
      </c>
      <c r="H853" s="651" t="s">
        <v>1999</v>
      </c>
      <c r="I853" s="653" t="s">
        <v>3141</v>
      </c>
      <c r="J853" s="651" t="s">
        <v>665</v>
      </c>
      <c r="K853" s="149" t="s">
        <v>3142</v>
      </c>
      <c r="L853" s="651"/>
      <c r="M853" s="661" t="s">
        <v>3143</v>
      </c>
      <c r="N853" s="651" t="s">
        <v>666</v>
      </c>
    </row>
    <row r="854" spans="1:14">
      <c r="A854" s="124">
        <v>30</v>
      </c>
      <c r="B854" s="667"/>
      <c r="C854" s="149" t="s">
        <v>3140</v>
      </c>
      <c r="D854" s="652"/>
      <c r="E854" s="652"/>
      <c r="F854" s="652"/>
      <c r="G854" s="654"/>
      <c r="H854" s="652"/>
      <c r="I854" s="654"/>
      <c r="J854" s="652"/>
      <c r="K854" s="149" t="s">
        <v>656</v>
      </c>
      <c r="L854" s="652"/>
      <c r="M854" s="662"/>
      <c r="N854" s="652"/>
    </row>
    <row r="855" spans="1:14">
      <c r="A855" s="124">
        <v>30</v>
      </c>
      <c r="B855" s="668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63" t="s">
        <v>3149</v>
      </c>
      <c r="C856" s="669" t="s">
        <v>3150</v>
      </c>
      <c r="D856" s="651" t="s">
        <v>312</v>
      </c>
      <c r="E856" s="651" t="s">
        <v>321</v>
      </c>
      <c r="F856" s="653" t="s">
        <v>2609</v>
      </c>
      <c r="G856" s="653" t="s">
        <v>2757</v>
      </c>
      <c r="H856" s="653" t="s">
        <v>348</v>
      </c>
      <c r="I856" s="653" t="s">
        <v>3151</v>
      </c>
      <c r="J856" s="653" t="s">
        <v>639</v>
      </c>
      <c r="K856" s="653" t="s">
        <v>699</v>
      </c>
      <c r="L856" s="651" t="s">
        <v>310</v>
      </c>
      <c r="M856" s="661" t="s">
        <v>1816</v>
      </c>
      <c r="N856" s="149" t="s">
        <v>3152</v>
      </c>
    </row>
    <row r="857" spans="1:14">
      <c r="A857" s="124">
        <v>30</v>
      </c>
      <c r="B857" s="664"/>
      <c r="C857" s="670"/>
      <c r="D857" s="652"/>
      <c r="E857" s="652"/>
      <c r="F857" s="654"/>
      <c r="G857" s="654"/>
      <c r="H857" s="654"/>
      <c r="I857" s="654"/>
      <c r="J857" s="654"/>
      <c r="K857" s="654"/>
      <c r="L857" s="652"/>
      <c r="M857" s="662"/>
      <c r="N857" s="149" t="s">
        <v>3153</v>
      </c>
    </row>
    <row r="858" spans="1:14" ht="16.5" customHeight="1">
      <c r="A858" s="124">
        <v>30</v>
      </c>
      <c r="B858" s="664"/>
      <c r="C858" s="669" t="s">
        <v>3150</v>
      </c>
      <c r="D858" s="651" t="s">
        <v>312</v>
      </c>
      <c r="E858" s="651" t="s">
        <v>321</v>
      </c>
      <c r="F858" s="653" t="s">
        <v>710</v>
      </c>
      <c r="G858" s="150" t="s">
        <v>3154</v>
      </c>
      <c r="H858" s="653" t="s">
        <v>641</v>
      </c>
      <c r="I858" s="653" t="s">
        <v>3155</v>
      </c>
      <c r="J858" s="653"/>
      <c r="K858" s="653" t="s">
        <v>693</v>
      </c>
      <c r="L858" s="651" t="s">
        <v>310</v>
      </c>
      <c r="M858" s="661" t="s">
        <v>1537</v>
      </c>
      <c r="N858" s="651" t="s">
        <v>1778</v>
      </c>
    </row>
    <row r="859" spans="1:14">
      <c r="A859" s="124">
        <v>30</v>
      </c>
      <c r="B859" s="664"/>
      <c r="C859" s="670"/>
      <c r="D859" s="652"/>
      <c r="E859" s="652"/>
      <c r="F859" s="654"/>
      <c r="G859" s="150">
        <v>2651</v>
      </c>
      <c r="H859" s="654"/>
      <c r="I859" s="654"/>
      <c r="J859" s="654"/>
      <c r="K859" s="654"/>
      <c r="L859" s="652"/>
      <c r="M859" s="662"/>
      <c r="N859" s="652"/>
    </row>
    <row r="860" spans="1:14">
      <c r="A860" s="124">
        <v>30</v>
      </c>
      <c r="B860" s="664"/>
      <c r="C860" s="669" t="s">
        <v>3156</v>
      </c>
      <c r="D860" s="651" t="s">
        <v>312</v>
      </c>
      <c r="E860" s="651" t="s">
        <v>321</v>
      </c>
      <c r="F860" s="653" t="s">
        <v>721</v>
      </c>
      <c r="G860" s="653" t="s">
        <v>1762</v>
      </c>
      <c r="H860" s="653" t="s">
        <v>348</v>
      </c>
      <c r="I860" s="150" t="s">
        <v>3157</v>
      </c>
      <c r="J860" s="653"/>
      <c r="K860" s="653" t="s">
        <v>3159</v>
      </c>
      <c r="L860" s="651" t="s">
        <v>310</v>
      </c>
      <c r="M860" s="661" t="s">
        <v>1939</v>
      </c>
      <c r="N860" s="651" t="s">
        <v>1207</v>
      </c>
    </row>
    <row r="861" spans="1:14">
      <c r="A861" s="124">
        <v>30</v>
      </c>
      <c r="B861" s="664"/>
      <c r="C861" s="670"/>
      <c r="D861" s="652"/>
      <c r="E861" s="652"/>
      <c r="F861" s="654"/>
      <c r="G861" s="654"/>
      <c r="H861" s="654"/>
      <c r="I861" s="150" t="s">
        <v>3158</v>
      </c>
      <c r="J861" s="654"/>
      <c r="K861" s="654"/>
      <c r="L861" s="652"/>
      <c r="M861" s="662"/>
      <c r="N861" s="652"/>
    </row>
    <row r="862" spans="1:14">
      <c r="A862" s="124">
        <v>30</v>
      </c>
      <c r="B862" s="664"/>
      <c r="C862" s="112" t="s">
        <v>3160</v>
      </c>
      <c r="D862" s="651" t="s">
        <v>312</v>
      </c>
      <c r="E862" s="651" t="s">
        <v>321</v>
      </c>
      <c r="F862" s="653" t="s">
        <v>691</v>
      </c>
      <c r="G862" s="653" t="s">
        <v>3095</v>
      </c>
      <c r="H862" s="653" t="s">
        <v>355</v>
      </c>
      <c r="I862" s="653" t="s">
        <v>3162</v>
      </c>
      <c r="J862" s="653" t="s">
        <v>639</v>
      </c>
      <c r="K862" s="653" t="s">
        <v>656</v>
      </c>
      <c r="L862" s="651" t="s">
        <v>310</v>
      </c>
      <c r="M862" s="661" t="s">
        <v>1537</v>
      </c>
      <c r="N862" s="651" t="s">
        <v>1207</v>
      </c>
    </row>
    <row r="863" spans="1:14">
      <c r="A863" s="124">
        <v>30</v>
      </c>
      <c r="B863" s="664"/>
      <c r="C863" s="112" t="s">
        <v>3161</v>
      </c>
      <c r="D863" s="652"/>
      <c r="E863" s="652"/>
      <c r="F863" s="654"/>
      <c r="G863" s="654"/>
      <c r="H863" s="654"/>
      <c r="I863" s="654"/>
      <c r="J863" s="654"/>
      <c r="K863" s="654"/>
      <c r="L863" s="652"/>
      <c r="M863" s="662"/>
      <c r="N863" s="652"/>
    </row>
    <row r="864" spans="1:14">
      <c r="A864" s="124">
        <v>30</v>
      </c>
      <c r="B864" s="664"/>
      <c r="C864" s="112" t="s">
        <v>3163</v>
      </c>
      <c r="D864" s="651" t="s">
        <v>312</v>
      </c>
      <c r="E864" s="651" t="s">
        <v>321</v>
      </c>
      <c r="F864" s="653" t="s">
        <v>338</v>
      </c>
      <c r="G864" s="653" t="s">
        <v>3101</v>
      </c>
      <c r="H864" s="653" t="s">
        <v>355</v>
      </c>
      <c r="I864" s="653" t="s">
        <v>3164</v>
      </c>
      <c r="J864" s="653" t="s">
        <v>639</v>
      </c>
      <c r="K864" s="653" t="s">
        <v>714</v>
      </c>
      <c r="L864" s="651" t="s">
        <v>310</v>
      </c>
      <c r="M864" s="661" t="s">
        <v>1816</v>
      </c>
      <c r="N864" s="651" t="s">
        <v>1207</v>
      </c>
    </row>
    <row r="865" spans="1:14">
      <c r="A865" s="124">
        <v>30</v>
      </c>
      <c r="B865" s="664"/>
      <c r="C865" s="112" t="s">
        <v>3140</v>
      </c>
      <c r="D865" s="652"/>
      <c r="E865" s="652"/>
      <c r="F865" s="654"/>
      <c r="G865" s="654"/>
      <c r="H865" s="654"/>
      <c r="I865" s="654"/>
      <c r="J865" s="654"/>
      <c r="K865" s="654"/>
      <c r="L865" s="652"/>
      <c r="M865" s="662"/>
      <c r="N865" s="652"/>
    </row>
    <row r="866" spans="1:14" ht="25.5">
      <c r="A866" s="124">
        <v>30</v>
      </c>
      <c r="B866" s="664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64"/>
      <c r="C867" s="669" t="s">
        <v>3144</v>
      </c>
      <c r="D867" s="651" t="s">
        <v>312</v>
      </c>
      <c r="E867" s="651" t="s">
        <v>676</v>
      </c>
      <c r="F867" s="653" t="s">
        <v>661</v>
      </c>
      <c r="G867" s="653" t="s">
        <v>662</v>
      </c>
      <c r="H867" s="653" t="s">
        <v>663</v>
      </c>
      <c r="I867" s="150" t="s">
        <v>3167</v>
      </c>
      <c r="J867" s="653" t="s">
        <v>639</v>
      </c>
      <c r="K867" s="653" t="s">
        <v>732</v>
      </c>
      <c r="L867" s="651" t="s">
        <v>310</v>
      </c>
      <c r="M867" s="661" t="s">
        <v>1834</v>
      </c>
      <c r="N867" s="651" t="s">
        <v>3169</v>
      </c>
    </row>
    <row r="868" spans="1:14">
      <c r="A868" s="124">
        <v>30</v>
      </c>
      <c r="B868" s="665"/>
      <c r="C868" s="670"/>
      <c r="D868" s="652"/>
      <c r="E868" s="652"/>
      <c r="F868" s="654"/>
      <c r="G868" s="654"/>
      <c r="H868" s="654"/>
      <c r="I868" s="150" t="s">
        <v>3168</v>
      </c>
      <c r="J868" s="654"/>
      <c r="K868" s="654"/>
      <c r="L868" s="652"/>
      <c r="M868" s="662"/>
      <c r="N868" s="652"/>
    </row>
    <row r="869" spans="1:14">
      <c r="A869" s="124">
        <v>31</v>
      </c>
      <c r="B869" s="663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64"/>
      <c r="C870" s="149" t="s">
        <v>3173</v>
      </c>
      <c r="D870" s="651" t="s">
        <v>307</v>
      </c>
      <c r="E870" s="651" t="s">
        <v>323</v>
      </c>
      <c r="F870" s="651" t="s">
        <v>308</v>
      </c>
      <c r="G870" s="653">
        <v>1566</v>
      </c>
      <c r="H870" s="651" t="s">
        <v>1917</v>
      </c>
      <c r="I870" s="653" t="s">
        <v>3175</v>
      </c>
      <c r="J870" s="651" t="s">
        <v>665</v>
      </c>
      <c r="K870" s="651" t="s">
        <v>3176</v>
      </c>
      <c r="L870" s="651"/>
      <c r="M870" s="661" t="s">
        <v>3177</v>
      </c>
      <c r="N870" s="651" t="s">
        <v>666</v>
      </c>
    </row>
    <row r="871" spans="1:14">
      <c r="A871" s="124">
        <v>31</v>
      </c>
      <c r="B871" s="664"/>
      <c r="C871" s="149" t="s">
        <v>3174</v>
      </c>
      <c r="D871" s="652"/>
      <c r="E871" s="652"/>
      <c r="F871" s="652"/>
      <c r="G871" s="654"/>
      <c r="H871" s="652"/>
      <c r="I871" s="654"/>
      <c r="J871" s="652"/>
      <c r="K871" s="652"/>
      <c r="L871" s="652"/>
      <c r="M871" s="662"/>
      <c r="N871" s="652"/>
    </row>
    <row r="872" spans="1:14">
      <c r="A872" s="124">
        <v>31</v>
      </c>
      <c r="B872" s="664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64"/>
      <c r="C873" s="403" t="s">
        <v>3173</v>
      </c>
      <c r="D873" s="651" t="s">
        <v>307</v>
      </c>
      <c r="E873" s="651" t="s">
        <v>323</v>
      </c>
      <c r="F873" s="651" t="s">
        <v>308</v>
      </c>
      <c r="G873" s="653" t="s">
        <v>3180</v>
      </c>
      <c r="H873" s="651" t="s">
        <v>3181</v>
      </c>
      <c r="I873" s="653" t="s">
        <v>333</v>
      </c>
      <c r="J873" s="651" t="s">
        <v>1536</v>
      </c>
      <c r="K873" s="651" t="s">
        <v>1158</v>
      </c>
      <c r="L873" s="651"/>
      <c r="M873" s="661" t="s">
        <v>3182</v>
      </c>
      <c r="N873" s="651" t="s">
        <v>426</v>
      </c>
    </row>
    <row r="874" spans="1:14">
      <c r="A874" s="124">
        <v>31</v>
      </c>
      <c r="B874" s="665"/>
      <c r="C874" s="403" t="s">
        <v>3179</v>
      </c>
      <c r="D874" s="652"/>
      <c r="E874" s="652"/>
      <c r="F874" s="652"/>
      <c r="G874" s="654"/>
      <c r="H874" s="652"/>
      <c r="I874" s="654"/>
      <c r="J874" s="652"/>
      <c r="K874" s="652"/>
      <c r="L874" s="652"/>
      <c r="M874" s="662"/>
      <c r="N874" s="652"/>
    </row>
    <row r="875" spans="1:14">
      <c r="A875" s="124">
        <v>31</v>
      </c>
      <c r="B875" s="663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64"/>
      <c r="C876" s="651" t="s">
        <v>3161</v>
      </c>
      <c r="D876" s="651" t="s">
        <v>312</v>
      </c>
      <c r="E876" s="651" t="s">
        <v>676</v>
      </c>
      <c r="F876" s="653" t="s">
        <v>661</v>
      </c>
      <c r="G876" s="653" t="s">
        <v>662</v>
      </c>
      <c r="H876" s="653" t="s">
        <v>663</v>
      </c>
      <c r="I876" s="150" t="s">
        <v>3167</v>
      </c>
      <c r="J876" s="653"/>
      <c r="K876" s="653" t="s">
        <v>699</v>
      </c>
      <c r="L876" s="651" t="s">
        <v>310</v>
      </c>
      <c r="M876" s="661" t="s">
        <v>3172</v>
      </c>
      <c r="N876" s="651" t="s">
        <v>3185</v>
      </c>
    </row>
    <row r="877" spans="1:14">
      <c r="A877" s="124">
        <v>31</v>
      </c>
      <c r="B877" s="664"/>
      <c r="C877" s="652"/>
      <c r="D877" s="652"/>
      <c r="E877" s="652"/>
      <c r="F877" s="654"/>
      <c r="G877" s="654"/>
      <c r="H877" s="654"/>
      <c r="I877" s="150" t="s">
        <v>3168</v>
      </c>
      <c r="J877" s="654"/>
      <c r="K877" s="654"/>
      <c r="L877" s="652"/>
      <c r="M877" s="662"/>
      <c r="N877" s="652"/>
    </row>
    <row r="878" spans="1:14" ht="16.5" customHeight="1">
      <c r="A878" s="124">
        <v>31</v>
      </c>
      <c r="B878" s="664"/>
      <c r="C878" s="149" t="s">
        <v>3186</v>
      </c>
      <c r="D878" s="651" t="s">
        <v>312</v>
      </c>
      <c r="E878" s="651" t="s">
        <v>321</v>
      </c>
      <c r="F878" s="653" t="s">
        <v>3097</v>
      </c>
      <c r="G878" s="653" t="s">
        <v>1925</v>
      </c>
      <c r="H878" s="653" t="s">
        <v>3098</v>
      </c>
      <c r="I878" s="653" t="s">
        <v>3187</v>
      </c>
      <c r="J878" s="653"/>
      <c r="K878" s="653" t="s">
        <v>3188</v>
      </c>
      <c r="L878" s="651" t="s">
        <v>310</v>
      </c>
      <c r="M878" s="661" t="s">
        <v>3189</v>
      </c>
      <c r="N878" s="651" t="s">
        <v>3184</v>
      </c>
    </row>
    <row r="879" spans="1:14">
      <c r="A879" s="124">
        <v>31</v>
      </c>
      <c r="B879" s="664"/>
      <c r="C879" s="149" t="s">
        <v>3144</v>
      </c>
      <c r="D879" s="652"/>
      <c r="E879" s="652"/>
      <c r="F879" s="654"/>
      <c r="G879" s="654"/>
      <c r="H879" s="654"/>
      <c r="I879" s="654"/>
      <c r="J879" s="654"/>
      <c r="K879" s="654"/>
      <c r="L879" s="652"/>
      <c r="M879" s="662"/>
      <c r="N879" s="652"/>
    </row>
    <row r="880" spans="1:14">
      <c r="A880" s="124">
        <v>31</v>
      </c>
      <c r="B880" s="664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64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64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64"/>
      <c r="C883" s="112" t="s">
        <v>3199</v>
      </c>
      <c r="D883" s="651" t="s">
        <v>312</v>
      </c>
      <c r="E883" s="651" t="s">
        <v>321</v>
      </c>
      <c r="F883" s="653" t="s">
        <v>338</v>
      </c>
      <c r="G883" s="653" t="s">
        <v>3201</v>
      </c>
      <c r="H883" s="653" t="s">
        <v>3202</v>
      </c>
      <c r="I883" s="653" t="s">
        <v>3203</v>
      </c>
      <c r="J883" s="653" t="s">
        <v>3204</v>
      </c>
      <c r="K883" s="653" t="s">
        <v>3205</v>
      </c>
      <c r="L883" s="651" t="s">
        <v>310</v>
      </c>
      <c r="M883" s="661" t="s">
        <v>3206</v>
      </c>
      <c r="N883" s="651" t="s">
        <v>3169</v>
      </c>
    </row>
    <row r="884" spans="1:14">
      <c r="A884" s="124">
        <v>31</v>
      </c>
      <c r="B884" s="665"/>
      <c r="C884" s="112" t="s">
        <v>3200</v>
      </c>
      <c r="D884" s="652"/>
      <c r="E884" s="652"/>
      <c r="F884" s="654"/>
      <c r="G884" s="654"/>
      <c r="H884" s="654"/>
      <c r="I884" s="654"/>
      <c r="J884" s="654"/>
      <c r="K884" s="654"/>
      <c r="L884" s="652"/>
      <c r="M884" s="662"/>
      <c r="N884" s="652"/>
    </row>
    <row r="885" spans="1:14" ht="27">
      <c r="A885" s="124">
        <v>32</v>
      </c>
      <c r="B885" s="658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659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659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660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658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659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659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660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658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659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660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658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659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660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5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5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5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5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5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5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5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5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5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5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5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5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5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5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5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5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5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5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5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5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5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5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5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5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5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5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5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5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794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794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794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794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794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794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794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794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794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794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794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794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794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794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794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794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794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794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794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794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794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794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794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794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794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794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794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794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794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794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794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794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794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794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794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794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794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794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794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794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794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794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794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794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794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794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794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794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794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794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794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794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794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794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794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794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794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794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794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794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794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794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794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794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794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794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794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794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794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794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794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794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794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794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794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794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794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794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794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794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794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794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794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794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794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794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794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794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794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794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794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794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794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794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794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794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794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794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794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794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794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794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794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794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794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794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794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794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794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794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794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794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794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794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794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794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794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794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794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794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794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794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794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794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794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794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794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794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794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794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794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794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794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794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794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794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794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794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794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794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794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794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794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794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794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794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794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794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794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794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794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794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794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794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794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794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794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794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794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794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794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794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794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794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794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794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794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794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794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794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794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794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794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794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794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794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794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794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794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794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794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794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794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794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794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794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794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794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794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794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794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794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794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794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794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794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794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794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794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794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794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794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794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794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794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794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794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794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794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794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794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794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794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794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794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794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794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794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794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794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794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794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794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794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794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794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794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794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794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794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794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794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794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794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794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794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794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794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94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794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794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794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794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794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794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794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794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794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794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794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794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794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794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794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794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794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794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794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794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794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794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794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650" t="s">
        <v>5020</v>
      </c>
      <c r="C1189" s="524" t="s">
        <v>5001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5002</v>
      </c>
    </row>
    <row r="1190" spans="1:14">
      <c r="A1190" s="531">
        <v>2</v>
      </c>
      <c r="B1190" s="650"/>
      <c r="C1190" s="524" t="s">
        <v>5003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5002</v>
      </c>
    </row>
    <row r="1191" spans="1:14">
      <c r="A1191" s="531">
        <v>2</v>
      </c>
      <c r="B1191" s="650"/>
      <c r="C1191" s="524" t="s">
        <v>5004</v>
      </c>
      <c r="D1191" s="523" t="s">
        <v>307</v>
      </c>
      <c r="E1191" s="523" t="s">
        <v>323</v>
      </c>
      <c r="F1191" s="523" t="s">
        <v>308</v>
      </c>
      <c r="G1191" s="524" t="s">
        <v>4983</v>
      </c>
      <c r="H1191" s="523" t="s">
        <v>3146</v>
      </c>
      <c r="I1191" s="524" t="s">
        <v>5005</v>
      </c>
      <c r="J1191" s="523" t="s">
        <v>665</v>
      </c>
      <c r="K1191" s="523" t="s">
        <v>5006</v>
      </c>
      <c r="L1191" s="523"/>
      <c r="M1191" s="542">
        <v>1000000</v>
      </c>
      <c r="N1191" s="523"/>
    </row>
    <row r="1192" spans="1:14">
      <c r="A1192" s="531">
        <v>2</v>
      </c>
      <c r="B1192" s="650"/>
      <c r="C1192" s="524" t="s">
        <v>5007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4960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650"/>
      <c r="C1193" s="524" t="s">
        <v>5008</v>
      </c>
      <c r="D1193" s="523" t="s">
        <v>307</v>
      </c>
      <c r="E1193" s="523" t="s">
        <v>323</v>
      </c>
      <c r="F1193" s="523" t="s">
        <v>308</v>
      </c>
      <c r="G1193" s="524" t="s">
        <v>5009</v>
      </c>
      <c r="H1193" s="523" t="s">
        <v>348</v>
      </c>
      <c r="I1193" s="524" t="s">
        <v>5010</v>
      </c>
      <c r="J1193" s="523" t="s">
        <v>665</v>
      </c>
      <c r="K1193" s="523" t="s">
        <v>4988</v>
      </c>
      <c r="L1193" s="523"/>
      <c r="M1193" s="542">
        <v>750000</v>
      </c>
      <c r="N1193" s="523"/>
    </row>
    <row r="1194" spans="1:14">
      <c r="A1194" s="531">
        <v>2</v>
      </c>
      <c r="B1194" s="650"/>
      <c r="C1194" s="524" t="s">
        <v>5004</v>
      </c>
      <c r="D1194" s="523" t="s">
        <v>307</v>
      </c>
      <c r="E1194" s="523" t="s">
        <v>323</v>
      </c>
      <c r="F1194" s="523" t="s">
        <v>308</v>
      </c>
      <c r="G1194" s="524" t="s">
        <v>5011</v>
      </c>
      <c r="H1194" s="523" t="s">
        <v>5012</v>
      </c>
      <c r="I1194" s="524" t="s">
        <v>5013</v>
      </c>
      <c r="J1194" s="523" t="s">
        <v>665</v>
      </c>
      <c r="K1194" s="523" t="s">
        <v>5014</v>
      </c>
      <c r="L1194" s="523"/>
      <c r="M1194" s="542">
        <v>750000</v>
      </c>
      <c r="N1194" s="523"/>
    </row>
    <row r="1195" spans="1:14">
      <c r="A1195" s="531">
        <v>2</v>
      </c>
      <c r="B1195" s="650"/>
      <c r="C1195" s="524" t="s">
        <v>5007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5015</v>
      </c>
      <c r="J1195" s="523" t="s">
        <v>665</v>
      </c>
      <c r="K1195" s="523" t="s">
        <v>5016</v>
      </c>
      <c r="L1195" s="523"/>
      <c r="M1195" s="542">
        <v>500000</v>
      </c>
      <c r="N1195" s="523"/>
    </row>
    <row r="1196" spans="1:14">
      <c r="A1196" s="531">
        <v>2</v>
      </c>
      <c r="B1196" s="650"/>
      <c r="C1196" s="524" t="s">
        <v>5017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5018</v>
      </c>
      <c r="J1196" s="523" t="s">
        <v>665</v>
      </c>
      <c r="K1196" s="523" t="s">
        <v>5019</v>
      </c>
      <c r="L1196" s="523"/>
      <c r="M1196" s="542">
        <v>1000000</v>
      </c>
      <c r="N1196" s="523"/>
    </row>
    <row r="1197" spans="1:14">
      <c r="A1197" s="531">
        <v>2</v>
      </c>
      <c r="B1197" s="650" t="s">
        <v>21</v>
      </c>
      <c r="C1197" s="524" t="s">
        <v>5021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5022</v>
      </c>
      <c r="J1197" s="524"/>
      <c r="K1197" s="524" t="s">
        <v>5023</v>
      </c>
      <c r="L1197" s="523" t="s">
        <v>310</v>
      </c>
      <c r="M1197" s="548">
        <v>900000</v>
      </c>
      <c r="N1197" s="523" t="s">
        <v>5024</v>
      </c>
    </row>
    <row r="1198" spans="1:14">
      <c r="A1198" s="531">
        <v>2</v>
      </c>
      <c r="B1198" s="650"/>
      <c r="C1198" s="524" t="s">
        <v>5021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5025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5024</v>
      </c>
    </row>
    <row r="1199" spans="1:14">
      <c r="A1199" s="531">
        <v>2</v>
      </c>
      <c r="B1199" s="650"/>
      <c r="C1199" s="524" t="s">
        <v>5026</v>
      </c>
      <c r="D1199" s="523" t="s">
        <v>312</v>
      </c>
      <c r="E1199" s="523" t="s">
        <v>321</v>
      </c>
      <c r="F1199" s="524" t="s">
        <v>5027</v>
      </c>
      <c r="G1199" s="524">
        <v>7064</v>
      </c>
      <c r="H1199" s="524" t="s">
        <v>1239</v>
      </c>
      <c r="I1199" s="524" t="s">
        <v>5028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5024</v>
      </c>
    </row>
    <row r="1200" spans="1:14">
      <c r="A1200" s="531">
        <v>2</v>
      </c>
      <c r="B1200" s="650"/>
      <c r="C1200" s="524" t="s">
        <v>5026</v>
      </c>
      <c r="D1200" s="523" t="s">
        <v>312</v>
      </c>
      <c r="E1200" s="523" t="s">
        <v>321</v>
      </c>
      <c r="F1200" s="524" t="s">
        <v>5027</v>
      </c>
      <c r="G1200" s="524">
        <v>7064</v>
      </c>
      <c r="H1200" s="524" t="s">
        <v>1239</v>
      </c>
      <c r="I1200" s="524" t="s">
        <v>5029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5024</v>
      </c>
    </row>
    <row r="1201" spans="1:14">
      <c r="A1201" s="531">
        <v>2</v>
      </c>
      <c r="B1201" s="650"/>
      <c r="C1201" s="524" t="s">
        <v>5030</v>
      </c>
      <c r="D1201" s="523" t="s">
        <v>312</v>
      </c>
      <c r="E1201" s="523" t="s">
        <v>321</v>
      </c>
      <c r="F1201" s="524" t="s">
        <v>5031</v>
      </c>
      <c r="G1201" s="524">
        <v>1017</v>
      </c>
      <c r="H1201" s="524" t="s">
        <v>348</v>
      </c>
      <c r="I1201" s="524" t="s">
        <v>5032</v>
      </c>
      <c r="J1201" s="524"/>
      <c r="K1201" s="524" t="s">
        <v>4981</v>
      </c>
      <c r="L1201" s="523" t="s">
        <v>310</v>
      </c>
      <c r="M1201" s="548">
        <v>600000</v>
      </c>
      <c r="N1201" s="523" t="s">
        <v>5024</v>
      </c>
    </row>
    <row r="1202" spans="1:14">
      <c r="A1202" s="531">
        <v>2</v>
      </c>
      <c r="B1202" s="650"/>
      <c r="C1202" s="524" t="s">
        <v>5033</v>
      </c>
      <c r="D1202" s="523" t="s">
        <v>312</v>
      </c>
      <c r="E1202" s="523" t="s">
        <v>676</v>
      </c>
      <c r="F1202" s="524" t="s">
        <v>2609</v>
      </c>
      <c r="G1202" s="524" t="s">
        <v>5034</v>
      </c>
      <c r="H1202" s="524" t="s">
        <v>3089</v>
      </c>
      <c r="I1202" s="524" t="s">
        <v>5035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5035</v>
      </c>
    </row>
    <row r="1203" spans="1:14" ht="22.5">
      <c r="A1203" s="531">
        <v>2</v>
      </c>
      <c r="B1203" s="650"/>
      <c r="C1203" s="524" t="s">
        <v>5036</v>
      </c>
      <c r="D1203" s="523" t="s">
        <v>312</v>
      </c>
      <c r="E1203" s="523" t="s">
        <v>676</v>
      </c>
      <c r="F1203" s="532" t="s">
        <v>5037</v>
      </c>
      <c r="G1203" s="524" t="s">
        <v>5038</v>
      </c>
      <c r="H1203" s="524" t="s">
        <v>5039</v>
      </c>
      <c r="I1203" s="524" t="s">
        <v>5040</v>
      </c>
      <c r="J1203" s="524"/>
      <c r="K1203" s="524" t="s">
        <v>5041</v>
      </c>
      <c r="L1203" s="523" t="s">
        <v>310</v>
      </c>
      <c r="M1203" s="548">
        <v>1000000</v>
      </c>
      <c r="N1203" s="160" t="s">
        <v>5042</v>
      </c>
    </row>
    <row r="1204" spans="1:14">
      <c r="A1204" s="531">
        <v>2</v>
      </c>
      <c r="B1204" s="650"/>
      <c r="C1204" s="524" t="s">
        <v>5043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5044</v>
      </c>
      <c r="J1204" s="524"/>
      <c r="K1204" s="524" t="s">
        <v>5045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650"/>
      <c r="C1205" s="524" t="s">
        <v>5046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5047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650"/>
      <c r="C1206" s="524" t="s">
        <v>5048</v>
      </c>
      <c r="D1206" s="523" t="s">
        <v>312</v>
      </c>
      <c r="E1206" s="523" t="s">
        <v>321</v>
      </c>
      <c r="F1206" s="524" t="s">
        <v>691</v>
      </c>
      <c r="G1206" s="524" t="s">
        <v>5049</v>
      </c>
      <c r="H1206" s="524" t="s">
        <v>3202</v>
      </c>
      <c r="I1206" s="524" t="s">
        <v>5050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650"/>
      <c r="C1207" s="524" t="s">
        <v>5048</v>
      </c>
      <c r="D1207" s="523" t="s">
        <v>312</v>
      </c>
      <c r="E1207" s="523" t="s">
        <v>321</v>
      </c>
      <c r="F1207" s="524" t="s">
        <v>691</v>
      </c>
      <c r="G1207" s="524" t="s">
        <v>5049</v>
      </c>
      <c r="H1207" s="524" t="s">
        <v>1199</v>
      </c>
      <c r="I1207" s="524" t="s">
        <v>5051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650"/>
      <c r="C1208" s="797" t="s">
        <v>5052</v>
      </c>
      <c r="D1208" s="795" t="s">
        <v>312</v>
      </c>
      <c r="E1208" s="795" t="s">
        <v>676</v>
      </c>
      <c r="F1208" s="797" t="s">
        <v>338</v>
      </c>
      <c r="G1208" s="797" t="s">
        <v>354</v>
      </c>
      <c r="H1208" s="797" t="s">
        <v>5053</v>
      </c>
      <c r="I1208" s="533" t="s">
        <v>5054</v>
      </c>
      <c r="J1208" s="797" t="s">
        <v>639</v>
      </c>
      <c r="K1208" s="797" t="s">
        <v>714</v>
      </c>
      <c r="L1208" s="795" t="s">
        <v>310</v>
      </c>
      <c r="M1208" s="796">
        <v>250000</v>
      </c>
      <c r="N1208" s="795" t="s">
        <v>5035</v>
      </c>
    </row>
    <row r="1209" spans="1:14">
      <c r="A1209" s="531">
        <v>2</v>
      </c>
      <c r="B1209" s="650"/>
      <c r="C1209" s="797"/>
      <c r="D1209" s="795"/>
      <c r="E1209" s="795"/>
      <c r="F1209" s="797"/>
      <c r="G1209" s="797"/>
      <c r="H1209" s="797"/>
      <c r="I1209" s="533" t="s">
        <v>5055</v>
      </c>
      <c r="J1209" s="797"/>
      <c r="K1209" s="797"/>
      <c r="L1209" s="795"/>
      <c r="M1209" s="796"/>
      <c r="N1209" s="795"/>
    </row>
    <row r="1210" spans="1:14">
      <c r="A1210" s="531">
        <v>2</v>
      </c>
      <c r="B1210" s="650"/>
      <c r="C1210" s="524" t="s">
        <v>5052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5056</v>
      </c>
      <c r="J1210" s="524"/>
      <c r="K1210" s="524" t="s">
        <v>5057</v>
      </c>
      <c r="L1210" s="523" t="s">
        <v>310</v>
      </c>
      <c r="M1210" s="542">
        <v>250000</v>
      </c>
      <c r="N1210" s="523" t="s">
        <v>5035</v>
      </c>
    </row>
    <row r="1211" spans="1:14">
      <c r="A1211" s="531">
        <v>3</v>
      </c>
      <c r="B1211" s="650" t="s">
        <v>20</v>
      </c>
      <c r="C1211" s="524" t="s">
        <v>5046</v>
      </c>
      <c r="D1211" s="523" t="s">
        <v>307</v>
      </c>
      <c r="E1211" s="523" t="s">
        <v>323</v>
      </c>
      <c r="F1211" s="523" t="s">
        <v>308</v>
      </c>
      <c r="G1211" s="524" t="s">
        <v>5058</v>
      </c>
      <c r="H1211" s="524" t="s">
        <v>3202</v>
      </c>
      <c r="I1211" s="524" t="s">
        <v>5059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5060</v>
      </c>
    </row>
    <row r="1212" spans="1:14">
      <c r="A1212" s="531">
        <v>3</v>
      </c>
      <c r="B1212" s="650"/>
      <c r="C1212" s="524" t="s">
        <v>5052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5061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5060</v>
      </c>
    </row>
    <row r="1213" spans="1:14">
      <c r="A1213" s="531">
        <v>3</v>
      </c>
      <c r="B1213" s="650"/>
      <c r="C1213" s="524" t="s">
        <v>5062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5063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650"/>
      <c r="C1214" s="524" t="s">
        <v>5064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4960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650"/>
      <c r="C1215" s="524" t="s">
        <v>5065</v>
      </c>
      <c r="D1215" s="523" t="s">
        <v>307</v>
      </c>
      <c r="E1215" s="523" t="s">
        <v>323</v>
      </c>
      <c r="F1215" s="523" t="s">
        <v>308</v>
      </c>
      <c r="G1215" s="524" t="s">
        <v>4844</v>
      </c>
      <c r="H1215" s="524" t="s">
        <v>663</v>
      </c>
      <c r="I1215" s="524" t="s">
        <v>4960</v>
      </c>
      <c r="J1215" s="523" t="s">
        <v>665</v>
      </c>
      <c r="K1215" s="523" t="s">
        <v>4988</v>
      </c>
      <c r="L1215" s="523"/>
      <c r="M1215" s="542">
        <v>750000</v>
      </c>
      <c r="N1215" s="523"/>
    </row>
    <row r="1216" spans="1:14">
      <c r="A1216" s="531">
        <v>3</v>
      </c>
      <c r="B1216" s="650"/>
      <c r="C1216" s="524" t="s">
        <v>5066</v>
      </c>
      <c r="D1216" s="523" t="s">
        <v>307</v>
      </c>
      <c r="E1216" s="523" t="s">
        <v>323</v>
      </c>
      <c r="F1216" s="523" t="s">
        <v>308</v>
      </c>
      <c r="G1216" s="524" t="s">
        <v>5009</v>
      </c>
      <c r="H1216" s="523" t="s">
        <v>348</v>
      </c>
      <c r="I1216" s="524" t="s">
        <v>5063</v>
      </c>
      <c r="J1216" s="523" t="s">
        <v>665</v>
      </c>
      <c r="K1216" s="523" t="s">
        <v>5014</v>
      </c>
      <c r="L1216" s="523"/>
      <c r="M1216" s="542">
        <v>750000</v>
      </c>
      <c r="N1216" s="523"/>
    </row>
    <row r="1217" spans="1:14">
      <c r="A1217" s="531">
        <v>3</v>
      </c>
      <c r="B1217" s="650"/>
      <c r="C1217" s="524" t="s">
        <v>5067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5068</v>
      </c>
      <c r="J1217" s="523" t="s">
        <v>665</v>
      </c>
      <c r="K1217" s="523" t="s">
        <v>5016</v>
      </c>
      <c r="L1217" s="523"/>
      <c r="M1217" s="542">
        <v>500000</v>
      </c>
      <c r="N1217" s="523"/>
    </row>
    <row r="1218" spans="1:14">
      <c r="A1218" s="531">
        <v>3</v>
      </c>
      <c r="B1218" s="650" t="s">
        <v>5092</v>
      </c>
      <c r="C1218" s="524" t="s">
        <v>5046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5069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5070</v>
      </c>
    </row>
    <row r="1219" spans="1:14">
      <c r="A1219" s="531">
        <v>3</v>
      </c>
      <c r="B1219" s="650"/>
      <c r="C1219" s="524" t="s">
        <v>5007</v>
      </c>
      <c r="D1219" s="523" t="s">
        <v>312</v>
      </c>
      <c r="E1219" s="523" t="s">
        <v>321</v>
      </c>
      <c r="F1219" s="523" t="s">
        <v>5031</v>
      </c>
      <c r="G1219" s="523">
        <v>1017</v>
      </c>
      <c r="H1219" s="523" t="s">
        <v>348</v>
      </c>
      <c r="I1219" s="524" t="s">
        <v>5071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5070</v>
      </c>
    </row>
    <row r="1220" spans="1:14">
      <c r="A1220" s="531">
        <v>3</v>
      </c>
      <c r="B1220" s="650"/>
      <c r="C1220" s="524" t="s">
        <v>5072</v>
      </c>
      <c r="D1220" s="523" t="s">
        <v>312</v>
      </c>
      <c r="E1220" s="523" t="s">
        <v>676</v>
      </c>
      <c r="F1220" s="524" t="s">
        <v>5073</v>
      </c>
      <c r="G1220" s="524" t="s">
        <v>404</v>
      </c>
      <c r="H1220" s="524" t="s">
        <v>5074</v>
      </c>
      <c r="I1220" s="524" t="s">
        <v>5075</v>
      </c>
      <c r="J1220" s="524"/>
      <c r="K1220" s="524" t="s">
        <v>4981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650"/>
      <c r="C1221" s="524" t="s">
        <v>5072</v>
      </c>
      <c r="D1221" s="523" t="s">
        <v>312</v>
      </c>
      <c r="E1221" s="523" t="s">
        <v>321</v>
      </c>
      <c r="F1221" s="533" t="s">
        <v>2609</v>
      </c>
      <c r="G1221" s="524" t="s">
        <v>5034</v>
      </c>
      <c r="H1221" s="524" t="s">
        <v>3089</v>
      </c>
      <c r="I1221" s="524" t="s">
        <v>5076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5077</v>
      </c>
    </row>
    <row r="1222" spans="1:14">
      <c r="A1222" s="531">
        <v>3</v>
      </c>
      <c r="B1222" s="650"/>
      <c r="C1222" s="797" t="s">
        <v>5078</v>
      </c>
      <c r="D1222" s="795" t="s">
        <v>312</v>
      </c>
      <c r="E1222" s="795" t="s">
        <v>676</v>
      </c>
      <c r="F1222" s="524" t="s">
        <v>5079</v>
      </c>
      <c r="G1222" s="524" t="s">
        <v>5081</v>
      </c>
      <c r="H1222" s="797" t="s">
        <v>348</v>
      </c>
      <c r="I1222" s="524" t="s">
        <v>5083</v>
      </c>
      <c r="J1222" s="797"/>
      <c r="K1222" s="797" t="s">
        <v>706</v>
      </c>
      <c r="L1222" s="795" t="s">
        <v>310</v>
      </c>
      <c r="M1222" s="796">
        <v>500000</v>
      </c>
      <c r="N1222" s="795" t="s">
        <v>5077</v>
      </c>
    </row>
    <row r="1223" spans="1:14">
      <c r="A1223" s="531">
        <v>3</v>
      </c>
      <c r="B1223" s="650"/>
      <c r="C1223" s="797"/>
      <c r="D1223" s="795"/>
      <c r="E1223" s="795"/>
      <c r="F1223" s="524" t="s">
        <v>5080</v>
      </c>
      <c r="G1223" s="524" t="s">
        <v>5082</v>
      </c>
      <c r="H1223" s="797"/>
      <c r="I1223" s="524" t="s">
        <v>5084</v>
      </c>
      <c r="J1223" s="797"/>
      <c r="K1223" s="797"/>
      <c r="L1223" s="795"/>
      <c r="M1223" s="796"/>
      <c r="N1223" s="795"/>
    </row>
    <row r="1224" spans="1:14">
      <c r="A1224" s="531">
        <v>3</v>
      </c>
      <c r="B1224" s="650"/>
      <c r="C1224" s="524" t="s">
        <v>5078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5056</v>
      </c>
      <c r="J1224" s="524"/>
      <c r="K1224" s="524" t="s">
        <v>5057</v>
      </c>
      <c r="L1224" s="523" t="s">
        <v>310</v>
      </c>
      <c r="M1224" s="548">
        <v>300000</v>
      </c>
      <c r="N1224" s="523" t="s">
        <v>5077</v>
      </c>
    </row>
    <row r="1225" spans="1:14">
      <c r="A1225" s="531">
        <v>3</v>
      </c>
      <c r="B1225" s="650"/>
      <c r="C1225" s="524" t="s">
        <v>5078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5085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650"/>
      <c r="C1226" s="524" t="s">
        <v>5086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5087</v>
      </c>
      <c r="I1226" s="533" t="s">
        <v>5088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650"/>
      <c r="C1227" s="524" t="s">
        <v>5086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5089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650"/>
      <c r="C1228" s="524" t="s">
        <v>5090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5091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5077</v>
      </c>
    </row>
    <row r="1229" spans="1:14">
      <c r="A1229" s="531">
        <v>4</v>
      </c>
      <c r="B1229" s="650" t="s">
        <v>20</v>
      </c>
      <c r="C1229" s="524" t="s">
        <v>5107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5061</v>
      </c>
      <c r="J1229" s="523" t="s">
        <v>665</v>
      </c>
      <c r="K1229" s="523" t="s">
        <v>5093</v>
      </c>
      <c r="L1229" s="523"/>
      <c r="M1229" s="542">
        <v>1250000</v>
      </c>
      <c r="N1229" s="523" t="s">
        <v>5094</v>
      </c>
    </row>
    <row r="1230" spans="1:14">
      <c r="A1230" s="531">
        <v>4</v>
      </c>
      <c r="B1230" s="650"/>
      <c r="C1230" s="524" t="s">
        <v>5095</v>
      </c>
      <c r="D1230" s="523" t="s">
        <v>307</v>
      </c>
      <c r="E1230" s="523" t="s">
        <v>323</v>
      </c>
      <c r="F1230" s="523" t="s">
        <v>308</v>
      </c>
      <c r="G1230" s="524" t="s">
        <v>5096</v>
      </c>
      <c r="H1230" s="524" t="s">
        <v>5012</v>
      </c>
      <c r="I1230" s="524" t="s">
        <v>5097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650"/>
      <c r="C1231" s="524" t="s">
        <v>5098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5099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650"/>
      <c r="C1232" s="524" t="s">
        <v>5100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5101</v>
      </c>
      <c r="J1232" s="523" t="s">
        <v>665</v>
      </c>
      <c r="K1232" s="523" t="s">
        <v>4988</v>
      </c>
      <c r="L1232" s="523"/>
      <c r="M1232" s="542">
        <v>750000</v>
      </c>
      <c r="N1232" s="523"/>
    </row>
    <row r="1233" spans="1:14">
      <c r="A1233" s="531">
        <v>4</v>
      </c>
      <c r="B1233" s="650"/>
      <c r="C1233" s="524" t="s">
        <v>5102</v>
      </c>
      <c r="D1233" s="523" t="s">
        <v>307</v>
      </c>
      <c r="E1233" s="523" t="s">
        <v>323</v>
      </c>
      <c r="F1233" s="523" t="s">
        <v>308</v>
      </c>
      <c r="G1233" s="524" t="s">
        <v>5103</v>
      </c>
      <c r="H1233" s="523" t="s">
        <v>1048</v>
      </c>
      <c r="I1233" s="524" t="s">
        <v>5104</v>
      </c>
      <c r="J1233" s="523" t="s">
        <v>665</v>
      </c>
      <c r="K1233" s="523" t="s">
        <v>5016</v>
      </c>
      <c r="L1233" s="523"/>
      <c r="M1233" s="542">
        <v>750000</v>
      </c>
      <c r="N1233" s="523"/>
    </row>
    <row r="1234" spans="1:14">
      <c r="A1234" s="531">
        <v>4</v>
      </c>
      <c r="B1234" s="650"/>
      <c r="C1234" s="524" t="s">
        <v>5100</v>
      </c>
      <c r="D1234" s="523" t="s">
        <v>307</v>
      </c>
      <c r="E1234" s="523" t="s">
        <v>323</v>
      </c>
      <c r="F1234" s="523" t="s">
        <v>308</v>
      </c>
      <c r="G1234" s="524" t="s">
        <v>5105</v>
      </c>
      <c r="H1234" s="523" t="s">
        <v>355</v>
      </c>
      <c r="I1234" s="524" t="s">
        <v>5106</v>
      </c>
      <c r="J1234" s="523" t="s">
        <v>665</v>
      </c>
      <c r="K1234" s="523" t="s">
        <v>5014</v>
      </c>
      <c r="L1234" s="523"/>
      <c r="M1234" s="542">
        <v>500000</v>
      </c>
      <c r="N1234" s="523"/>
    </row>
    <row r="1235" spans="1:14">
      <c r="A1235" s="531">
        <v>4</v>
      </c>
      <c r="B1235" s="650" t="s">
        <v>5092</v>
      </c>
      <c r="C1235" s="524" t="s">
        <v>5108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5109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5110</v>
      </c>
    </row>
    <row r="1236" spans="1:14">
      <c r="A1236" s="531">
        <v>4</v>
      </c>
      <c r="B1236" s="650"/>
      <c r="C1236" s="524" t="s">
        <v>5108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5111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5110</v>
      </c>
    </row>
    <row r="1237" spans="1:14">
      <c r="A1237" s="531">
        <v>4</v>
      </c>
      <c r="B1237" s="650"/>
      <c r="C1237" s="524" t="s">
        <v>5090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5112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5113</v>
      </c>
    </row>
    <row r="1238" spans="1:14">
      <c r="A1238" s="531">
        <v>4</v>
      </c>
      <c r="B1238" s="650"/>
      <c r="C1238" s="524" t="s">
        <v>5114</v>
      </c>
      <c r="D1238" s="523" t="s">
        <v>312</v>
      </c>
      <c r="E1238" s="523" t="s">
        <v>676</v>
      </c>
      <c r="F1238" s="524" t="s">
        <v>5115</v>
      </c>
      <c r="G1238" s="524">
        <v>3006</v>
      </c>
      <c r="H1238" s="524" t="s">
        <v>348</v>
      </c>
      <c r="I1238" s="533" t="s">
        <v>5116</v>
      </c>
      <c r="J1238" s="524"/>
      <c r="K1238" s="524" t="s">
        <v>5041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650"/>
      <c r="C1239" s="524" t="s">
        <v>5098</v>
      </c>
      <c r="D1239" s="523" t="s">
        <v>312</v>
      </c>
      <c r="E1239" s="523" t="s">
        <v>676</v>
      </c>
      <c r="F1239" s="524" t="s">
        <v>5117</v>
      </c>
      <c r="G1239" s="524">
        <v>222003</v>
      </c>
      <c r="H1239" s="524" t="s">
        <v>3098</v>
      </c>
      <c r="I1239" s="533" t="s">
        <v>5118</v>
      </c>
      <c r="J1239" s="524" t="s">
        <v>5119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650"/>
      <c r="C1240" s="524" t="s">
        <v>5120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5121</v>
      </c>
      <c r="J1240" s="524" t="s">
        <v>5122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650"/>
      <c r="C1241" s="524" t="s">
        <v>5123</v>
      </c>
      <c r="D1241" s="523" t="s">
        <v>312</v>
      </c>
      <c r="E1241" s="523" t="s">
        <v>321</v>
      </c>
      <c r="F1241" s="524" t="s">
        <v>2609</v>
      </c>
      <c r="G1241" s="524" t="s">
        <v>4969</v>
      </c>
      <c r="H1241" s="524"/>
      <c r="I1241" s="524" t="s">
        <v>5124</v>
      </c>
      <c r="J1241" s="524"/>
      <c r="K1241" s="524" t="s">
        <v>5125</v>
      </c>
      <c r="L1241" s="523" t="s">
        <v>5126</v>
      </c>
      <c r="M1241" s="548">
        <v>1500000</v>
      </c>
      <c r="N1241" s="523" t="s">
        <v>3245</v>
      </c>
    </row>
    <row r="1242" spans="1:14" ht="22.5">
      <c r="A1242" s="531">
        <v>4</v>
      </c>
      <c r="B1242" s="650"/>
      <c r="C1242" s="524" t="s">
        <v>5127</v>
      </c>
      <c r="D1242" s="523" t="s">
        <v>312</v>
      </c>
      <c r="E1242" s="523" t="s">
        <v>321</v>
      </c>
      <c r="F1242" s="524" t="s">
        <v>691</v>
      </c>
      <c r="G1242" s="524" t="s">
        <v>5049</v>
      </c>
      <c r="H1242" s="524" t="s">
        <v>5128</v>
      </c>
      <c r="I1242" s="532" t="s">
        <v>5129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650" t="s">
        <v>5152</v>
      </c>
      <c r="C1243" s="524" t="s">
        <v>5130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5131</v>
      </c>
      <c r="J1243" s="523" t="s">
        <v>665</v>
      </c>
      <c r="K1243" s="523" t="s">
        <v>5041</v>
      </c>
      <c r="L1243" s="523"/>
      <c r="M1243" s="542">
        <v>1000000</v>
      </c>
      <c r="N1243" s="523" t="s">
        <v>5132</v>
      </c>
    </row>
    <row r="1244" spans="1:14">
      <c r="A1244" s="531">
        <v>5</v>
      </c>
      <c r="B1244" s="650"/>
      <c r="C1244" s="524" t="s">
        <v>5133</v>
      </c>
      <c r="D1244" s="523" t="s">
        <v>307</v>
      </c>
      <c r="E1244" s="523" t="s">
        <v>323</v>
      </c>
      <c r="F1244" s="523" t="s">
        <v>308</v>
      </c>
      <c r="G1244" s="524" t="s">
        <v>5134</v>
      </c>
      <c r="H1244" s="524" t="s">
        <v>1048</v>
      </c>
      <c r="I1244" s="524" t="s">
        <v>5135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650"/>
      <c r="C1245" s="524" t="s">
        <v>5136</v>
      </c>
      <c r="D1245" s="523" t="s">
        <v>307</v>
      </c>
      <c r="E1245" s="523" t="s">
        <v>323</v>
      </c>
      <c r="F1245" s="523" t="s">
        <v>308</v>
      </c>
      <c r="G1245" s="524" t="s">
        <v>5137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650"/>
      <c r="C1246" s="524" t="s">
        <v>5138</v>
      </c>
      <c r="D1246" s="523" t="s">
        <v>307</v>
      </c>
      <c r="E1246" s="523" t="s">
        <v>323</v>
      </c>
      <c r="F1246" s="523" t="s">
        <v>308</v>
      </c>
      <c r="G1246" s="524" t="s">
        <v>5139</v>
      </c>
      <c r="H1246" s="524" t="s">
        <v>5140</v>
      </c>
      <c r="I1246" s="524" t="s">
        <v>5141</v>
      </c>
      <c r="J1246" s="523" t="s">
        <v>665</v>
      </c>
      <c r="K1246" s="523" t="s">
        <v>4988</v>
      </c>
      <c r="L1246" s="523"/>
      <c r="M1246" s="542">
        <v>750000</v>
      </c>
      <c r="N1246" s="523"/>
    </row>
    <row r="1247" spans="1:14">
      <c r="A1247" s="531">
        <v>5</v>
      </c>
      <c r="B1247" s="650"/>
      <c r="C1247" s="524" t="s">
        <v>5136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5016</v>
      </c>
      <c r="L1247" s="523"/>
      <c r="M1247" s="542">
        <v>500000</v>
      </c>
      <c r="N1247" s="523"/>
    </row>
    <row r="1248" spans="1:14">
      <c r="A1248" s="531">
        <v>5</v>
      </c>
      <c r="B1248" s="650"/>
      <c r="C1248" s="524" t="s">
        <v>5138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5014</v>
      </c>
      <c r="L1248" s="523"/>
      <c r="M1248" s="542">
        <v>750000</v>
      </c>
      <c r="N1248" s="523"/>
    </row>
    <row r="1249" spans="1:14">
      <c r="A1249" s="531">
        <v>5</v>
      </c>
      <c r="B1249" s="650" t="s">
        <v>5092</v>
      </c>
      <c r="C1249" s="524" t="s">
        <v>5142</v>
      </c>
      <c r="D1249" s="523" t="s">
        <v>312</v>
      </c>
      <c r="E1249" s="523" t="s">
        <v>676</v>
      </c>
      <c r="F1249" s="523" t="s">
        <v>5031</v>
      </c>
      <c r="G1249" s="523">
        <v>1017</v>
      </c>
      <c r="H1249" s="523" t="s">
        <v>348</v>
      </c>
      <c r="I1249" s="524" t="s">
        <v>5104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650"/>
      <c r="C1250" s="797" t="s">
        <v>5143</v>
      </c>
      <c r="D1250" s="795" t="s">
        <v>312</v>
      </c>
      <c r="E1250" s="795" t="s">
        <v>676</v>
      </c>
      <c r="F1250" s="795" t="s">
        <v>5031</v>
      </c>
      <c r="G1250" s="795">
        <v>1017</v>
      </c>
      <c r="H1250" s="795" t="s">
        <v>348</v>
      </c>
      <c r="I1250" s="524" t="s">
        <v>5144</v>
      </c>
      <c r="J1250" s="797"/>
      <c r="K1250" s="797" t="s">
        <v>693</v>
      </c>
      <c r="L1250" s="795" t="s">
        <v>310</v>
      </c>
      <c r="M1250" s="796">
        <v>500000</v>
      </c>
      <c r="N1250" s="795" t="s">
        <v>5077</v>
      </c>
    </row>
    <row r="1251" spans="1:14">
      <c r="A1251" s="531">
        <v>5</v>
      </c>
      <c r="B1251" s="650"/>
      <c r="C1251" s="797"/>
      <c r="D1251" s="795"/>
      <c r="E1251" s="795"/>
      <c r="F1251" s="795"/>
      <c r="G1251" s="795"/>
      <c r="H1251" s="795"/>
      <c r="I1251" s="524" t="s">
        <v>5145</v>
      </c>
      <c r="J1251" s="797"/>
      <c r="K1251" s="797"/>
      <c r="L1251" s="795"/>
      <c r="M1251" s="796"/>
      <c r="N1251" s="795"/>
    </row>
    <row r="1252" spans="1:14">
      <c r="A1252" s="531">
        <v>5</v>
      </c>
      <c r="B1252" s="650"/>
      <c r="C1252" s="524" t="s">
        <v>5146</v>
      </c>
      <c r="D1252" s="523" t="s">
        <v>312</v>
      </c>
      <c r="E1252" s="523" t="s">
        <v>321</v>
      </c>
      <c r="F1252" s="524" t="s">
        <v>5147</v>
      </c>
      <c r="G1252" s="524" t="s">
        <v>5049</v>
      </c>
      <c r="H1252" s="524" t="s">
        <v>5128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650"/>
      <c r="C1253" s="524" t="s">
        <v>5146</v>
      </c>
      <c r="D1253" s="523" t="s">
        <v>312</v>
      </c>
      <c r="E1253" s="523" t="s">
        <v>321</v>
      </c>
      <c r="F1253" s="524" t="s">
        <v>5147</v>
      </c>
      <c r="G1253" s="524" t="s">
        <v>5049</v>
      </c>
      <c r="H1253" s="524" t="s">
        <v>5128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650"/>
      <c r="C1254" s="797" t="s">
        <v>5148</v>
      </c>
      <c r="D1254" s="795" t="s">
        <v>312</v>
      </c>
      <c r="E1254" s="795" t="s">
        <v>676</v>
      </c>
      <c r="F1254" s="797" t="s">
        <v>5115</v>
      </c>
      <c r="G1254" s="797">
        <v>3006</v>
      </c>
      <c r="H1254" s="797" t="s">
        <v>348</v>
      </c>
      <c r="I1254" s="533" t="s">
        <v>5149</v>
      </c>
      <c r="J1254" s="797"/>
      <c r="K1254" s="797" t="s">
        <v>706</v>
      </c>
      <c r="L1254" s="795" t="s">
        <v>310</v>
      </c>
      <c r="M1254" s="796">
        <v>500000</v>
      </c>
      <c r="N1254" s="795" t="s">
        <v>5077</v>
      </c>
    </row>
    <row r="1255" spans="1:14">
      <c r="A1255" s="531">
        <v>5</v>
      </c>
      <c r="B1255" s="650"/>
      <c r="C1255" s="797"/>
      <c r="D1255" s="795"/>
      <c r="E1255" s="795"/>
      <c r="F1255" s="797"/>
      <c r="G1255" s="797"/>
      <c r="H1255" s="797"/>
      <c r="I1255" s="533" t="s">
        <v>5150</v>
      </c>
      <c r="J1255" s="797"/>
      <c r="K1255" s="797"/>
      <c r="L1255" s="795"/>
      <c r="M1255" s="796"/>
      <c r="N1255" s="795"/>
    </row>
    <row r="1256" spans="1:14">
      <c r="A1256" s="531">
        <v>5</v>
      </c>
      <c r="B1256" s="650"/>
      <c r="C1256" s="797" t="s">
        <v>5148</v>
      </c>
      <c r="D1256" s="795" t="s">
        <v>312</v>
      </c>
      <c r="E1256" s="795" t="s">
        <v>676</v>
      </c>
      <c r="F1256" s="797" t="s">
        <v>5115</v>
      </c>
      <c r="G1256" s="797">
        <v>3006</v>
      </c>
      <c r="H1256" s="797" t="s">
        <v>348</v>
      </c>
      <c r="I1256" s="533" t="s">
        <v>5149</v>
      </c>
      <c r="J1256" s="797"/>
      <c r="K1256" s="797" t="s">
        <v>4981</v>
      </c>
      <c r="L1256" s="795" t="s">
        <v>310</v>
      </c>
      <c r="M1256" s="796">
        <v>600000</v>
      </c>
      <c r="N1256" s="795" t="s">
        <v>5077</v>
      </c>
    </row>
    <row r="1257" spans="1:14">
      <c r="A1257" s="531">
        <v>5</v>
      </c>
      <c r="B1257" s="650"/>
      <c r="C1257" s="797"/>
      <c r="D1257" s="795"/>
      <c r="E1257" s="795"/>
      <c r="F1257" s="797"/>
      <c r="G1257" s="797"/>
      <c r="H1257" s="797"/>
      <c r="I1257" s="533" t="s">
        <v>5150</v>
      </c>
      <c r="J1257" s="797"/>
      <c r="K1257" s="797"/>
      <c r="L1257" s="795"/>
      <c r="M1257" s="796"/>
      <c r="N1257" s="795"/>
    </row>
    <row r="1258" spans="1:14">
      <c r="A1258" s="531">
        <v>5</v>
      </c>
      <c r="B1258" s="650"/>
      <c r="C1258" s="524" t="s">
        <v>5148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5151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5077</v>
      </c>
    </row>
    <row r="1259" spans="1:14">
      <c r="A1259" s="531">
        <v>6</v>
      </c>
      <c r="B1259" s="650" t="s">
        <v>5020</v>
      </c>
      <c r="C1259" s="524" t="s">
        <v>5153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5063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650"/>
      <c r="C1260" s="524" t="s">
        <v>5154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4988</v>
      </c>
      <c r="L1260" s="523"/>
      <c r="M1260" s="542">
        <v>750000</v>
      </c>
      <c r="N1260" s="523"/>
    </row>
    <row r="1261" spans="1:14">
      <c r="A1261" s="531">
        <v>6</v>
      </c>
      <c r="B1261" s="650"/>
      <c r="C1261" s="524" t="s">
        <v>5153</v>
      </c>
      <c r="D1261" s="523" t="s">
        <v>307</v>
      </c>
      <c r="E1261" s="523" t="s">
        <v>323</v>
      </c>
      <c r="F1261" s="523" t="s">
        <v>308</v>
      </c>
      <c r="G1261" s="524" t="s">
        <v>5105</v>
      </c>
      <c r="H1261" s="524" t="s">
        <v>355</v>
      </c>
      <c r="I1261" s="524" t="s">
        <v>4960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650"/>
      <c r="C1262" s="524" t="s">
        <v>5154</v>
      </c>
      <c r="D1262" s="523" t="s">
        <v>307</v>
      </c>
      <c r="E1262" s="523" t="s">
        <v>323</v>
      </c>
      <c r="F1262" s="523" t="s">
        <v>308</v>
      </c>
      <c r="G1262" s="524" t="s">
        <v>5134</v>
      </c>
      <c r="H1262" s="524" t="s">
        <v>1048</v>
      </c>
      <c r="I1262" s="524" t="s">
        <v>4960</v>
      </c>
      <c r="J1262" s="523" t="s">
        <v>665</v>
      </c>
      <c r="K1262" s="523" t="s">
        <v>4988</v>
      </c>
      <c r="L1262" s="523"/>
      <c r="M1262" s="542">
        <v>750000</v>
      </c>
      <c r="N1262" s="523"/>
    </row>
    <row r="1263" spans="1:14">
      <c r="A1263" s="531">
        <v>6</v>
      </c>
      <c r="B1263" s="650"/>
      <c r="C1263" s="524" t="s">
        <v>5155</v>
      </c>
      <c r="D1263" s="523" t="s">
        <v>307</v>
      </c>
      <c r="E1263" s="523" t="s">
        <v>323</v>
      </c>
      <c r="F1263" s="523" t="s">
        <v>308</v>
      </c>
      <c r="G1263" s="524" t="s">
        <v>5011</v>
      </c>
      <c r="H1263" s="524" t="s">
        <v>5012</v>
      </c>
      <c r="I1263" s="524" t="s">
        <v>5106</v>
      </c>
      <c r="J1263" s="523" t="s">
        <v>665</v>
      </c>
      <c r="K1263" s="523" t="s">
        <v>5156</v>
      </c>
      <c r="L1263" s="523"/>
      <c r="M1263" s="542">
        <v>1250000</v>
      </c>
      <c r="N1263" s="523"/>
    </row>
    <row r="1264" spans="1:14">
      <c r="A1264" s="531">
        <v>6</v>
      </c>
      <c r="B1264" s="650" t="s">
        <v>21</v>
      </c>
      <c r="C1264" s="524" t="s">
        <v>5146</v>
      </c>
      <c r="D1264" s="523" t="s">
        <v>312</v>
      </c>
      <c r="E1264" s="523" t="s">
        <v>676</v>
      </c>
      <c r="F1264" s="524" t="s">
        <v>5117</v>
      </c>
      <c r="G1264" s="524">
        <v>222003</v>
      </c>
      <c r="H1264" s="524" t="s">
        <v>348</v>
      </c>
      <c r="I1264" s="533" t="s">
        <v>5157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5158</v>
      </c>
    </row>
    <row r="1265" spans="1:14">
      <c r="A1265" s="531">
        <v>6</v>
      </c>
      <c r="B1265" s="650"/>
      <c r="C1265" s="524" t="s">
        <v>5159</v>
      </c>
      <c r="D1265" s="523" t="s">
        <v>312</v>
      </c>
      <c r="E1265" s="523" t="s">
        <v>321</v>
      </c>
      <c r="F1265" s="524" t="s">
        <v>5147</v>
      </c>
      <c r="G1265" s="524" t="s">
        <v>5049</v>
      </c>
      <c r="H1265" s="524" t="s">
        <v>1199</v>
      </c>
      <c r="I1265" s="524" t="s">
        <v>5160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5158</v>
      </c>
    </row>
    <row r="1266" spans="1:14">
      <c r="A1266" s="531">
        <v>6</v>
      </c>
      <c r="B1266" s="650"/>
      <c r="C1266" s="524" t="s">
        <v>5161</v>
      </c>
      <c r="D1266" s="523" t="s">
        <v>312</v>
      </c>
      <c r="E1266" s="523" t="s">
        <v>321</v>
      </c>
      <c r="F1266" s="524" t="s">
        <v>5147</v>
      </c>
      <c r="G1266" s="524" t="s">
        <v>5049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5162</v>
      </c>
    </row>
    <row r="1267" spans="1:14">
      <c r="A1267" s="531">
        <v>6</v>
      </c>
      <c r="B1267" s="650"/>
      <c r="C1267" s="524" t="s">
        <v>5163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5164</v>
      </c>
      <c r="I1267" s="533" t="s">
        <v>5165</v>
      </c>
      <c r="J1267" s="524" t="s">
        <v>639</v>
      </c>
      <c r="K1267" s="524" t="s">
        <v>5166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650"/>
      <c r="C1268" s="797" t="s">
        <v>5167</v>
      </c>
      <c r="D1268" s="795" t="s">
        <v>312</v>
      </c>
      <c r="E1268" s="795" t="s">
        <v>676</v>
      </c>
      <c r="F1268" s="524" t="s">
        <v>5168</v>
      </c>
      <c r="G1268" s="532" t="s">
        <v>5170</v>
      </c>
      <c r="H1268" s="404" t="s">
        <v>348</v>
      </c>
      <c r="I1268" s="797" t="s">
        <v>5173</v>
      </c>
      <c r="J1268" s="797" t="s">
        <v>639</v>
      </c>
      <c r="K1268" s="797" t="s">
        <v>693</v>
      </c>
      <c r="L1268" s="795" t="s">
        <v>310</v>
      </c>
      <c r="M1268" s="796">
        <v>500000</v>
      </c>
      <c r="N1268" s="795" t="s">
        <v>1778</v>
      </c>
    </row>
    <row r="1269" spans="1:14">
      <c r="A1269" s="531">
        <v>6</v>
      </c>
      <c r="B1269" s="650"/>
      <c r="C1269" s="797"/>
      <c r="D1269" s="795"/>
      <c r="E1269" s="795"/>
      <c r="F1269" s="524" t="s">
        <v>5169</v>
      </c>
      <c r="G1269" s="532" t="s">
        <v>5171</v>
      </c>
      <c r="H1269" s="404" t="s">
        <v>5172</v>
      </c>
      <c r="I1269" s="797"/>
      <c r="J1269" s="797"/>
      <c r="K1269" s="797"/>
      <c r="L1269" s="795"/>
      <c r="M1269" s="796"/>
      <c r="N1269" s="795"/>
    </row>
    <row r="1270" spans="1:14" ht="24">
      <c r="A1270" s="531">
        <v>6</v>
      </c>
      <c r="B1270" s="650"/>
      <c r="C1270" s="524" t="s">
        <v>5167</v>
      </c>
      <c r="D1270" s="523" t="s">
        <v>312</v>
      </c>
      <c r="E1270" s="523" t="s">
        <v>321</v>
      </c>
      <c r="F1270" s="533" t="s">
        <v>721</v>
      </c>
      <c r="G1270" s="524" t="s">
        <v>5174</v>
      </c>
      <c r="H1270" s="524" t="s">
        <v>3089</v>
      </c>
      <c r="I1270" s="533" t="s">
        <v>5175</v>
      </c>
      <c r="J1270" s="524" t="s">
        <v>703</v>
      </c>
      <c r="K1270" s="524" t="s">
        <v>5176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650"/>
      <c r="C1271" s="524" t="s">
        <v>5167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5177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650" t="s">
        <v>5152</v>
      </c>
      <c r="C1272" s="524" t="s">
        <v>5178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5179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5180</v>
      </c>
    </row>
    <row r="1273" spans="1:14">
      <c r="A1273" s="531">
        <v>7</v>
      </c>
      <c r="B1273" s="650"/>
      <c r="C1273" s="524" t="s">
        <v>5181</v>
      </c>
      <c r="D1273" s="523" t="s">
        <v>307</v>
      </c>
      <c r="E1273" s="523" t="s">
        <v>323</v>
      </c>
      <c r="F1273" s="523" t="s">
        <v>308</v>
      </c>
      <c r="G1273" s="524" t="s">
        <v>5182</v>
      </c>
      <c r="H1273" s="524" t="s">
        <v>348</v>
      </c>
      <c r="I1273" s="524" t="s">
        <v>4960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650"/>
      <c r="C1274" s="524" t="s">
        <v>5181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650"/>
      <c r="C1275" s="524" t="s">
        <v>5181</v>
      </c>
      <c r="D1275" s="523" t="s">
        <v>307</v>
      </c>
      <c r="E1275" s="523" t="s">
        <v>323</v>
      </c>
      <c r="F1275" s="523" t="s">
        <v>308</v>
      </c>
      <c r="G1275" s="524" t="s">
        <v>5096</v>
      </c>
      <c r="H1275" s="524" t="s">
        <v>5012</v>
      </c>
      <c r="I1275" s="524" t="s">
        <v>5104</v>
      </c>
      <c r="J1275" s="523" t="s">
        <v>665</v>
      </c>
      <c r="K1275" s="523" t="s">
        <v>5016</v>
      </c>
      <c r="L1275" s="523"/>
      <c r="M1275" s="542">
        <v>500000</v>
      </c>
      <c r="N1275" s="523"/>
    </row>
    <row r="1276" spans="1:14">
      <c r="A1276" s="531">
        <v>7</v>
      </c>
      <c r="B1276" s="650"/>
      <c r="C1276" s="524" t="s">
        <v>5183</v>
      </c>
      <c r="D1276" s="523" t="s">
        <v>307</v>
      </c>
      <c r="E1276" s="523" t="s">
        <v>323</v>
      </c>
      <c r="F1276" s="523" t="s">
        <v>308</v>
      </c>
      <c r="G1276" s="524" t="s">
        <v>5134</v>
      </c>
      <c r="H1276" s="524" t="s">
        <v>1048</v>
      </c>
      <c r="I1276" s="524" t="s">
        <v>5184</v>
      </c>
      <c r="J1276" s="523" t="s">
        <v>665</v>
      </c>
      <c r="K1276" s="523" t="s">
        <v>5019</v>
      </c>
      <c r="L1276" s="523"/>
      <c r="M1276" s="542">
        <v>1000000</v>
      </c>
      <c r="N1276" s="523"/>
    </row>
    <row r="1277" spans="1:14">
      <c r="A1277" s="531">
        <v>7</v>
      </c>
      <c r="B1277" s="650" t="s">
        <v>5195</v>
      </c>
      <c r="C1277" s="524" t="s">
        <v>5185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5091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650"/>
      <c r="C1278" s="524" t="s">
        <v>5185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5186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650"/>
      <c r="C1279" s="524" t="s">
        <v>5187</v>
      </c>
      <c r="D1279" s="523" t="s">
        <v>312</v>
      </c>
      <c r="E1279" s="523" t="s">
        <v>321</v>
      </c>
      <c r="F1279" s="524" t="s">
        <v>691</v>
      </c>
      <c r="G1279" s="524" t="s">
        <v>5049</v>
      </c>
      <c r="H1279" s="524" t="s">
        <v>1199</v>
      </c>
      <c r="I1279" s="524" t="s">
        <v>5188</v>
      </c>
      <c r="J1279" s="524"/>
      <c r="K1279" s="524" t="s">
        <v>5189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650"/>
      <c r="C1280" s="524" t="s">
        <v>5187</v>
      </c>
      <c r="D1280" s="523" t="s">
        <v>312</v>
      </c>
      <c r="E1280" s="523" t="s">
        <v>321</v>
      </c>
      <c r="F1280" s="524" t="s">
        <v>5117</v>
      </c>
      <c r="G1280" s="524">
        <v>222003</v>
      </c>
      <c r="H1280" s="524" t="s">
        <v>3098</v>
      </c>
      <c r="I1280" s="524" t="s">
        <v>5190</v>
      </c>
      <c r="J1280" s="524"/>
      <c r="K1280" s="524" t="s">
        <v>5166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650" t="s">
        <v>20</v>
      </c>
      <c r="C1281" s="616" t="s">
        <v>5191</v>
      </c>
      <c r="D1281" s="608" t="s">
        <v>307</v>
      </c>
      <c r="E1281" s="608" t="s">
        <v>323</v>
      </c>
      <c r="F1281" s="608" t="s">
        <v>308</v>
      </c>
      <c r="G1281" s="616" t="s">
        <v>5105</v>
      </c>
      <c r="H1281" s="616" t="s">
        <v>355</v>
      </c>
      <c r="I1281" s="616" t="s">
        <v>4960</v>
      </c>
      <c r="J1281" s="608" t="s">
        <v>665</v>
      </c>
      <c r="K1281" s="608" t="s">
        <v>3215</v>
      </c>
      <c r="L1281" s="608"/>
      <c r="M1281" s="609">
        <v>1250000</v>
      </c>
      <c r="N1281" s="523"/>
    </row>
    <row r="1282" spans="1:14">
      <c r="A1282" s="531">
        <v>8</v>
      </c>
      <c r="B1282" s="650"/>
      <c r="C1282" s="524" t="s">
        <v>5191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5192</v>
      </c>
      <c r="J1282" s="523" t="s">
        <v>665</v>
      </c>
      <c r="K1282" s="523" t="s">
        <v>5156</v>
      </c>
      <c r="L1282" s="523"/>
      <c r="M1282" s="542">
        <v>1250000</v>
      </c>
      <c r="N1282" s="523"/>
    </row>
    <row r="1283" spans="1:14">
      <c r="A1283" s="531">
        <v>8</v>
      </c>
      <c r="B1283" s="650"/>
      <c r="C1283" s="616" t="s">
        <v>5193</v>
      </c>
      <c r="D1283" s="608" t="s">
        <v>307</v>
      </c>
      <c r="E1283" s="608" t="s">
        <v>323</v>
      </c>
      <c r="F1283" s="608" t="s">
        <v>308</v>
      </c>
      <c r="G1283" s="616" t="s">
        <v>3083</v>
      </c>
      <c r="H1283" s="616" t="s">
        <v>355</v>
      </c>
      <c r="I1283" s="616" t="s">
        <v>311</v>
      </c>
      <c r="J1283" s="608" t="s">
        <v>665</v>
      </c>
      <c r="K1283" s="608" t="s">
        <v>4988</v>
      </c>
      <c r="L1283" s="608"/>
      <c r="M1283" s="609">
        <v>750000</v>
      </c>
      <c r="N1283" s="523"/>
    </row>
    <row r="1284" spans="1:14">
      <c r="A1284" s="531">
        <v>8</v>
      </c>
      <c r="B1284" s="650"/>
      <c r="C1284" s="616" t="s">
        <v>5194</v>
      </c>
      <c r="D1284" s="608" t="s">
        <v>307</v>
      </c>
      <c r="E1284" s="608" t="s">
        <v>323</v>
      </c>
      <c r="F1284" s="608" t="s">
        <v>308</v>
      </c>
      <c r="G1284" s="616" t="s">
        <v>4844</v>
      </c>
      <c r="H1284" s="616" t="s">
        <v>663</v>
      </c>
      <c r="I1284" s="616" t="s">
        <v>1097</v>
      </c>
      <c r="J1284" s="608" t="s">
        <v>665</v>
      </c>
      <c r="K1284" s="608" t="s">
        <v>3134</v>
      </c>
      <c r="L1284" s="608"/>
      <c r="M1284" s="609">
        <v>500000</v>
      </c>
      <c r="N1284" s="523"/>
    </row>
    <row r="1285" spans="1:14">
      <c r="A1285" s="531">
        <v>8</v>
      </c>
      <c r="B1285" s="650" t="s">
        <v>5208</v>
      </c>
      <c r="C1285" s="524" t="s">
        <v>5187</v>
      </c>
      <c r="D1285" s="523" t="s">
        <v>312</v>
      </c>
      <c r="E1285" s="523" t="s">
        <v>321</v>
      </c>
      <c r="F1285" s="524" t="s">
        <v>5117</v>
      </c>
      <c r="G1285" s="524">
        <v>222003</v>
      </c>
      <c r="H1285" s="524" t="s">
        <v>3098</v>
      </c>
      <c r="I1285" s="524" t="s">
        <v>5196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5197</v>
      </c>
    </row>
    <row r="1286" spans="1:14">
      <c r="A1286" s="531">
        <v>8</v>
      </c>
      <c r="B1286" s="650"/>
      <c r="C1286" s="524" t="s">
        <v>5187</v>
      </c>
      <c r="D1286" s="523" t="s">
        <v>312</v>
      </c>
      <c r="E1286" s="523" t="s">
        <v>321</v>
      </c>
      <c r="F1286" s="524" t="s">
        <v>691</v>
      </c>
      <c r="G1286" s="524" t="s">
        <v>5198</v>
      </c>
      <c r="H1286" s="524" t="s">
        <v>5199</v>
      </c>
      <c r="I1286" s="524" t="s">
        <v>5200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5197</v>
      </c>
    </row>
    <row r="1287" spans="1:14">
      <c r="A1287" s="531">
        <v>8</v>
      </c>
      <c r="B1287" s="650"/>
      <c r="C1287" s="524" t="s">
        <v>5201</v>
      </c>
      <c r="D1287" s="523" t="s">
        <v>312</v>
      </c>
      <c r="E1287" s="523" t="s">
        <v>321</v>
      </c>
      <c r="F1287" s="524" t="s">
        <v>691</v>
      </c>
      <c r="G1287" s="524" t="s">
        <v>5049</v>
      </c>
      <c r="H1287" s="524" t="s">
        <v>1199</v>
      </c>
      <c r="I1287" s="524" t="s">
        <v>5202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650"/>
      <c r="C1288" s="524" t="s">
        <v>5203</v>
      </c>
      <c r="D1288" s="523" t="s">
        <v>312</v>
      </c>
      <c r="E1288" s="523" t="s">
        <v>321</v>
      </c>
      <c r="F1288" s="524" t="s">
        <v>691</v>
      </c>
      <c r="G1288" s="524" t="s">
        <v>5049</v>
      </c>
      <c r="H1288" s="524" t="s">
        <v>1199</v>
      </c>
      <c r="I1288" s="524" t="s">
        <v>5047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650"/>
      <c r="C1289" s="798" t="s">
        <v>5203</v>
      </c>
      <c r="D1289" s="799" t="s">
        <v>312</v>
      </c>
      <c r="E1289" s="799" t="s">
        <v>676</v>
      </c>
      <c r="F1289" s="591" t="s">
        <v>5168</v>
      </c>
      <c r="G1289" s="592" t="s">
        <v>5170</v>
      </c>
      <c r="H1289" s="592" t="s">
        <v>348</v>
      </c>
      <c r="I1289" s="798" t="s">
        <v>5173</v>
      </c>
      <c r="J1289" s="798"/>
      <c r="K1289" s="798" t="s">
        <v>693</v>
      </c>
      <c r="L1289" s="799" t="s">
        <v>310</v>
      </c>
      <c r="M1289" s="800">
        <v>500000</v>
      </c>
      <c r="N1289" s="795" t="s">
        <v>5077</v>
      </c>
    </row>
    <row r="1290" spans="1:14" ht="19.5">
      <c r="A1290" s="531">
        <v>8</v>
      </c>
      <c r="B1290" s="650"/>
      <c r="C1290" s="797"/>
      <c r="D1290" s="795"/>
      <c r="E1290" s="795"/>
      <c r="F1290" s="524" t="s">
        <v>5169</v>
      </c>
      <c r="G1290" s="532" t="s">
        <v>5171</v>
      </c>
      <c r="H1290" s="534" t="s">
        <v>5172</v>
      </c>
      <c r="I1290" s="797"/>
      <c r="J1290" s="797"/>
      <c r="K1290" s="797"/>
      <c r="L1290" s="795"/>
      <c r="M1290" s="796"/>
      <c r="N1290" s="795"/>
    </row>
    <row r="1291" spans="1:14">
      <c r="A1291" s="531">
        <v>8</v>
      </c>
      <c r="B1291" s="650"/>
      <c r="C1291" s="798" t="s">
        <v>5204</v>
      </c>
      <c r="D1291" s="799" t="s">
        <v>312</v>
      </c>
      <c r="E1291" s="799" t="s">
        <v>321</v>
      </c>
      <c r="F1291" s="801" t="s">
        <v>710</v>
      </c>
      <c r="G1291" s="798" t="s">
        <v>3131</v>
      </c>
      <c r="H1291" s="798" t="s">
        <v>3132</v>
      </c>
      <c r="I1291" s="591" t="s">
        <v>5421</v>
      </c>
      <c r="J1291" s="798" t="s">
        <v>639</v>
      </c>
      <c r="K1291" s="798" t="s">
        <v>714</v>
      </c>
      <c r="L1291" s="799" t="s">
        <v>310</v>
      </c>
      <c r="M1291" s="800">
        <v>250000</v>
      </c>
      <c r="N1291" s="795" t="s">
        <v>5077</v>
      </c>
    </row>
    <row r="1292" spans="1:14">
      <c r="A1292" s="531">
        <v>8</v>
      </c>
      <c r="B1292" s="650"/>
      <c r="C1292" s="797"/>
      <c r="D1292" s="795"/>
      <c r="E1292" s="795"/>
      <c r="F1292" s="802"/>
      <c r="G1292" s="797"/>
      <c r="H1292" s="797"/>
      <c r="I1292" s="524" t="s">
        <v>5205</v>
      </c>
      <c r="J1292" s="797"/>
      <c r="K1292" s="797"/>
      <c r="L1292" s="795"/>
      <c r="M1292" s="796"/>
      <c r="N1292" s="795"/>
    </row>
    <row r="1293" spans="1:14">
      <c r="A1293" s="531">
        <v>8</v>
      </c>
      <c r="B1293" s="650"/>
      <c r="C1293" s="798" t="s">
        <v>5206</v>
      </c>
      <c r="D1293" s="799" t="s">
        <v>312</v>
      </c>
      <c r="E1293" s="799" t="s">
        <v>321</v>
      </c>
      <c r="F1293" s="798" t="s">
        <v>338</v>
      </c>
      <c r="G1293" s="798" t="s">
        <v>3201</v>
      </c>
      <c r="H1293" s="798" t="s">
        <v>3086</v>
      </c>
      <c r="I1293" s="591" t="s">
        <v>5422</v>
      </c>
      <c r="J1293" s="798" t="s">
        <v>639</v>
      </c>
      <c r="K1293" s="798" t="s">
        <v>693</v>
      </c>
      <c r="L1293" s="799" t="s">
        <v>310</v>
      </c>
      <c r="M1293" s="800">
        <v>500000</v>
      </c>
      <c r="N1293" s="795" t="s">
        <v>1207</v>
      </c>
    </row>
    <row r="1294" spans="1:14">
      <c r="A1294" s="531">
        <v>8</v>
      </c>
      <c r="B1294" s="650"/>
      <c r="C1294" s="797"/>
      <c r="D1294" s="795"/>
      <c r="E1294" s="795"/>
      <c r="F1294" s="797"/>
      <c r="G1294" s="797"/>
      <c r="H1294" s="797"/>
      <c r="I1294" s="524" t="s">
        <v>5207</v>
      </c>
      <c r="J1294" s="797"/>
      <c r="K1294" s="797"/>
      <c r="L1294" s="795"/>
      <c r="M1294" s="796"/>
      <c r="N1294" s="795"/>
    </row>
    <row r="1295" spans="1:14">
      <c r="A1295" s="531">
        <v>9</v>
      </c>
      <c r="B1295" s="650" t="s">
        <v>5215</v>
      </c>
      <c r="C1295" s="524" t="s">
        <v>5209</v>
      </c>
      <c r="D1295" s="523" t="s">
        <v>307</v>
      </c>
      <c r="E1295" s="523" t="s">
        <v>323</v>
      </c>
      <c r="F1295" s="523" t="s">
        <v>308</v>
      </c>
      <c r="G1295" s="524" t="s">
        <v>5139</v>
      </c>
      <c r="H1295" s="524" t="s">
        <v>5140</v>
      </c>
      <c r="I1295" s="524" t="s">
        <v>5104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5180</v>
      </c>
    </row>
    <row r="1296" spans="1:14">
      <c r="A1296" s="531">
        <v>9</v>
      </c>
      <c r="B1296" s="650"/>
      <c r="C1296" s="524" t="s">
        <v>5204</v>
      </c>
      <c r="D1296" s="523" t="s">
        <v>307</v>
      </c>
      <c r="E1296" s="523" t="s">
        <v>323</v>
      </c>
      <c r="F1296" s="523" t="s">
        <v>308</v>
      </c>
      <c r="G1296" s="524" t="s">
        <v>5096</v>
      </c>
      <c r="H1296" s="524" t="s">
        <v>5012</v>
      </c>
      <c r="I1296" s="524" t="s">
        <v>5104</v>
      </c>
      <c r="J1296" s="523" t="s">
        <v>665</v>
      </c>
      <c r="K1296" s="523" t="s">
        <v>5166</v>
      </c>
      <c r="L1296" s="523"/>
      <c r="M1296" s="542">
        <v>300000</v>
      </c>
      <c r="N1296" s="523" t="s">
        <v>5210</v>
      </c>
    </row>
    <row r="1297" spans="1:14">
      <c r="A1297" s="531">
        <v>9</v>
      </c>
      <c r="B1297" s="650"/>
      <c r="C1297" s="578" t="s">
        <v>5211</v>
      </c>
      <c r="D1297" s="579" t="s">
        <v>307</v>
      </c>
      <c r="E1297" s="579" t="s">
        <v>323</v>
      </c>
      <c r="F1297" s="579" t="s">
        <v>308</v>
      </c>
      <c r="G1297" s="578" t="s">
        <v>5212</v>
      </c>
      <c r="H1297" s="578" t="s">
        <v>663</v>
      </c>
      <c r="I1297" s="578" t="s">
        <v>1097</v>
      </c>
      <c r="J1297" s="579" t="s">
        <v>665</v>
      </c>
      <c r="K1297" s="579" t="s">
        <v>5016</v>
      </c>
      <c r="L1297" s="579"/>
      <c r="M1297" s="580">
        <v>500000</v>
      </c>
      <c r="N1297" s="523"/>
    </row>
    <row r="1298" spans="1:14">
      <c r="A1298" s="531">
        <v>9</v>
      </c>
      <c r="B1298" s="650"/>
      <c r="C1298" s="578" t="s">
        <v>5213</v>
      </c>
      <c r="D1298" s="579" t="s">
        <v>307</v>
      </c>
      <c r="E1298" s="579" t="s">
        <v>323</v>
      </c>
      <c r="F1298" s="579" t="s">
        <v>308</v>
      </c>
      <c r="G1298" s="578">
        <v>1570</v>
      </c>
      <c r="H1298" s="578" t="s">
        <v>3208</v>
      </c>
      <c r="I1298" s="578" t="s">
        <v>5063</v>
      </c>
      <c r="J1298" s="579" t="s">
        <v>665</v>
      </c>
      <c r="K1298" s="579" t="s">
        <v>5016</v>
      </c>
      <c r="L1298" s="579"/>
      <c r="M1298" s="580">
        <v>500000</v>
      </c>
      <c r="N1298" s="523"/>
    </row>
    <row r="1299" spans="1:14">
      <c r="A1299" s="531">
        <v>9</v>
      </c>
      <c r="B1299" s="650"/>
      <c r="C1299" s="616" t="s">
        <v>5214</v>
      </c>
      <c r="D1299" s="608" t="s">
        <v>307</v>
      </c>
      <c r="E1299" s="608" t="s">
        <v>323</v>
      </c>
      <c r="F1299" s="608" t="s">
        <v>308</v>
      </c>
      <c r="G1299" s="616">
        <v>8263</v>
      </c>
      <c r="H1299" s="616" t="s">
        <v>3208</v>
      </c>
      <c r="I1299" s="616" t="s">
        <v>1097</v>
      </c>
      <c r="J1299" s="608" t="s">
        <v>665</v>
      </c>
      <c r="K1299" s="608" t="s">
        <v>5006</v>
      </c>
      <c r="L1299" s="608"/>
      <c r="M1299" s="609">
        <v>1000000</v>
      </c>
      <c r="N1299" s="523"/>
    </row>
    <row r="1300" spans="1:14">
      <c r="A1300" s="531">
        <v>9</v>
      </c>
      <c r="B1300" s="650"/>
      <c r="C1300" s="616" t="s">
        <v>5211</v>
      </c>
      <c r="D1300" s="608" t="s">
        <v>307</v>
      </c>
      <c r="E1300" s="608" t="s">
        <v>323</v>
      </c>
      <c r="F1300" s="608" t="s">
        <v>308</v>
      </c>
      <c r="G1300" s="616">
        <v>594</v>
      </c>
      <c r="H1300" s="616" t="s">
        <v>1048</v>
      </c>
      <c r="I1300" s="616" t="s">
        <v>4960</v>
      </c>
      <c r="J1300" s="608" t="s">
        <v>665</v>
      </c>
      <c r="K1300" s="608" t="s">
        <v>3134</v>
      </c>
      <c r="L1300" s="608"/>
      <c r="M1300" s="609">
        <v>500000</v>
      </c>
      <c r="N1300" s="523"/>
    </row>
    <row r="1301" spans="1:14">
      <c r="A1301" s="531">
        <v>9</v>
      </c>
      <c r="B1301" s="650"/>
      <c r="C1301" s="616" t="s">
        <v>5213</v>
      </c>
      <c r="D1301" s="608" t="s">
        <v>307</v>
      </c>
      <c r="E1301" s="608" t="s">
        <v>323</v>
      </c>
      <c r="F1301" s="608" t="s">
        <v>308</v>
      </c>
      <c r="G1301" s="616" t="s">
        <v>4983</v>
      </c>
      <c r="H1301" s="616" t="s">
        <v>1917</v>
      </c>
      <c r="I1301" s="616" t="s">
        <v>1097</v>
      </c>
      <c r="J1301" s="608" t="s">
        <v>665</v>
      </c>
      <c r="K1301" s="608" t="s">
        <v>3134</v>
      </c>
      <c r="L1301" s="608"/>
      <c r="M1301" s="609">
        <v>500000</v>
      </c>
      <c r="N1301" s="523"/>
    </row>
    <row r="1302" spans="1:14">
      <c r="A1302" s="531">
        <v>9</v>
      </c>
      <c r="B1302" s="650" t="s">
        <v>5241</v>
      </c>
      <c r="C1302" s="591" t="s">
        <v>5216</v>
      </c>
      <c r="D1302" s="593" t="s">
        <v>312</v>
      </c>
      <c r="E1302" s="593" t="s">
        <v>321</v>
      </c>
      <c r="F1302" s="591" t="s">
        <v>338</v>
      </c>
      <c r="G1302" s="591" t="s">
        <v>3201</v>
      </c>
      <c r="H1302" s="591" t="s">
        <v>3086</v>
      </c>
      <c r="I1302" s="591" t="s">
        <v>5423</v>
      </c>
      <c r="J1302" s="591"/>
      <c r="K1302" s="591" t="s">
        <v>693</v>
      </c>
      <c r="L1302" s="593" t="s">
        <v>310</v>
      </c>
      <c r="M1302" s="594">
        <v>600000</v>
      </c>
      <c r="N1302" s="523" t="s">
        <v>5217</v>
      </c>
    </row>
    <row r="1303" spans="1:14">
      <c r="A1303" s="531">
        <v>9</v>
      </c>
      <c r="B1303" s="650"/>
      <c r="C1303" s="524" t="s">
        <v>5206</v>
      </c>
      <c r="D1303" s="523" t="s">
        <v>312</v>
      </c>
      <c r="E1303" s="523" t="s">
        <v>676</v>
      </c>
      <c r="F1303" s="524" t="s">
        <v>5218</v>
      </c>
      <c r="G1303" s="524" t="s">
        <v>404</v>
      </c>
      <c r="H1303" s="524" t="s">
        <v>5074</v>
      </c>
      <c r="I1303" s="524" t="s">
        <v>5219</v>
      </c>
      <c r="J1303" s="524"/>
      <c r="K1303" s="524" t="s">
        <v>4981</v>
      </c>
      <c r="L1303" s="523" t="s">
        <v>310</v>
      </c>
      <c r="M1303" s="548">
        <v>600000</v>
      </c>
      <c r="N1303" s="523" t="s">
        <v>5217</v>
      </c>
    </row>
    <row r="1304" spans="1:14">
      <c r="A1304" s="531">
        <v>9</v>
      </c>
      <c r="B1304" s="650"/>
      <c r="C1304" s="798" t="s">
        <v>5220</v>
      </c>
      <c r="D1304" s="799" t="s">
        <v>312</v>
      </c>
      <c r="E1304" s="799" t="s">
        <v>321</v>
      </c>
      <c r="F1304" s="798" t="s">
        <v>338</v>
      </c>
      <c r="G1304" s="798" t="s">
        <v>3201</v>
      </c>
      <c r="H1304" s="798" t="s">
        <v>3086</v>
      </c>
      <c r="I1304" s="595" t="s">
        <v>5221</v>
      </c>
      <c r="J1304" s="798" t="s">
        <v>639</v>
      </c>
      <c r="K1304" s="798" t="s">
        <v>714</v>
      </c>
      <c r="L1304" s="799" t="s">
        <v>310</v>
      </c>
      <c r="M1304" s="800">
        <v>250000</v>
      </c>
      <c r="N1304" s="795" t="s">
        <v>5077</v>
      </c>
    </row>
    <row r="1305" spans="1:14">
      <c r="A1305" s="531">
        <v>9</v>
      </c>
      <c r="B1305" s="650"/>
      <c r="C1305" s="797"/>
      <c r="D1305" s="795"/>
      <c r="E1305" s="795"/>
      <c r="F1305" s="797"/>
      <c r="G1305" s="797"/>
      <c r="H1305" s="797"/>
      <c r="I1305" s="533" t="s">
        <v>5222</v>
      </c>
      <c r="J1305" s="797"/>
      <c r="K1305" s="797"/>
      <c r="L1305" s="795"/>
      <c r="M1305" s="796"/>
      <c r="N1305" s="795"/>
    </row>
    <row r="1306" spans="1:14">
      <c r="A1306" s="531">
        <v>9</v>
      </c>
      <c r="B1306" s="650"/>
      <c r="C1306" s="798" t="s">
        <v>5220</v>
      </c>
      <c r="D1306" s="799" t="s">
        <v>312</v>
      </c>
      <c r="E1306" s="799" t="s">
        <v>321</v>
      </c>
      <c r="F1306" s="798" t="s">
        <v>5223</v>
      </c>
      <c r="G1306" s="591" t="s">
        <v>690</v>
      </c>
      <c r="H1306" s="798" t="s">
        <v>5225</v>
      </c>
      <c r="I1306" s="591" t="s">
        <v>5424</v>
      </c>
      <c r="J1306" s="798"/>
      <c r="K1306" s="798" t="s">
        <v>714</v>
      </c>
      <c r="L1306" s="799" t="s">
        <v>310</v>
      </c>
      <c r="M1306" s="800">
        <v>250000</v>
      </c>
      <c r="N1306" s="795" t="s">
        <v>5077</v>
      </c>
    </row>
    <row r="1307" spans="1:14">
      <c r="A1307" s="531">
        <v>9</v>
      </c>
      <c r="B1307" s="650"/>
      <c r="C1307" s="797"/>
      <c r="D1307" s="795"/>
      <c r="E1307" s="795"/>
      <c r="F1307" s="797"/>
      <c r="G1307" s="524" t="s">
        <v>5224</v>
      </c>
      <c r="H1307" s="797"/>
      <c r="I1307" s="524" t="s">
        <v>5226</v>
      </c>
      <c r="J1307" s="797"/>
      <c r="K1307" s="797"/>
      <c r="L1307" s="795"/>
      <c r="M1307" s="796"/>
      <c r="N1307" s="795"/>
    </row>
    <row r="1308" spans="1:14">
      <c r="A1308" s="531">
        <v>9</v>
      </c>
      <c r="B1308" s="650"/>
      <c r="C1308" s="524" t="s">
        <v>5220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5227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650"/>
      <c r="C1309" s="798" t="s">
        <v>5228</v>
      </c>
      <c r="D1309" s="799" t="s">
        <v>312</v>
      </c>
      <c r="E1309" s="799" t="s">
        <v>321</v>
      </c>
      <c r="F1309" s="798" t="s">
        <v>338</v>
      </c>
      <c r="G1309" s="591" t="s">
        <v>3437</v>
      </c>
      <c r="H1309" s="798" t="s">
        <v>5074</v>
      </c>
      <c r="I1309" s="798" t="s">
        <v>5425</v>
      </c>
      <c r="J1309" s="798"/>
      <c r="K1309" s="798" t="s">
        <v>693</v>
      </c>
      <c r="L1309" s="799" t="s">
        <v>310</v>
      </c>
      <c r="M1309" s="800">
        <v>500000</v>
      </c>
      <c r="N1309" s="795" t="s">
        <v>5077</v>
      </c>
    </row>
    <row r="1310" spans="1:14">
      <c r="A1310" s="531">
        <v>9</v>
      </c>
      <c r="B1310" s="650"/>
      <c r="C1310" s="797"/>
      <c r="D1310" s="795"/>
      <c r="E1310" s="795"/>
      <c r="F1310" s="797"/>
      <c r="G1310" s="524" t="s">
        <v>5229</v>
      </c>
      <c r="H1310" s="797"/>
      <c r="I1310" s="797"/>
      <c r="J1310" s="797"/>
      <c r="K1310" s="797"/>
      <c r="L1310" s="795"/>
      <c r="M1310" s="796"/>
      <c r="N1310" s="795"/>
    </row>
    <row r="1311" spans="1:14" ht="24">
      <c r="A1311" s="531">
        <v>9</v>
      </c>
      <c r="B1311" s="650"/>
      <c r="C1311" s="524" t="s">
        <v>5230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5231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5077</v>
      </c>
    </row>
    <row r="1312" spans="1:14">
      <c r="A1312" s="531">
        <v>9</v>
      </c>
      <c r="B1312" s="650"/>
      <c r="C1312" s="798" t="s">
        <v>5232</v>
      </c>
      <c r="D1312" s="799" t="s">
        <v>312</v>
      </c>
      <c r="E1312" s="799" t="s">
        <v>676</v>
      </c>
      <c r="F1312" s="798" t="s">
        <v>5233</v>
      </c>
      <c r="G1312" s="592" t="s">
        <v>1925</v>
      </c>
      <c r="H1312" s="798" t="s">
        <v>348</v>
      </c>
      <c r="I1312" s="798" t="s">
        <v>5428</v>
      </c>
      <c r="J1312" s="798"/>
      <c r="K1312" s="798" t="s">
        <v>693</v>
      </c>
      <c r="L1312" s="799" t="s">
        <v>310</v>
      </c>
      <c r="M1312" s="803">
        <v>500000</v>
      </c>
      <c r="N1312" s="795" t="s">
        <v>1931</v>
      </c>
    </row>
    <row r="1313" spans="1:14">
      <c r="A1313" s="531">
        <v>9</v>
      </c>
      <c r="B1313" s="650"/>
      <c r="C1313" s="797"/>
      <c r="D1313" s="795"/>
      <c r="E1313" s="795"/>
      <c r="F1313" s="797"/>
      <c r="G1313" s="532" t="s">
        <v>5234</v>
      </c>
      <c r="H1313" s="797"/>
      <c r="I1313" s="797"/>
      <c r="J1313" s="797"/>
      <c r="K1313" s="797"/>
      <c r="L1313" s="795"/>
      <c r="M1313" s="804"/>
      <c r="N1313" s="795"/>
    </row>
    <row r="1314" spans="1:14">
      <c r="A1314" s="531">
        <v>10</v>
      </c>
      <c r="B1314" s="650" t="s">
        <v>5215</v>
      </c>
      <c r="C1314" s="578" t="s">
        <v>5235</v>
      </c>
      <c r="D1314" s="579" t="s">
        <v>307</v>
      </c>
      <c r="E1314" s="579" t="s">
        <v>323</v>
      </c>
      <c r="F1314" s="579" t="s">
        <v>308</v>
      </c>
      <c r="G1314" s="578">
        <v>8263</v>
      </c>
      <c r="H1314" s="578" t="s">
        <v>3208</v>
      </c>
      <c r="I1314" s="578" t="s">
        <v>1097</v>
      </c>
      <c r="J1314" s="579" t="s">
        <v>665</v>
      </c>
      <c r="K1314" s="579" t="s">
        <v>5014</v>
      </c>
      <c r="L1314" s="579"/>
      <c r="M1314" s="580">
        <v>750000</v>
      </c>
      <c r="N1314" s="523"/>
    </row>
    <row r="1315" spans="1:14">
      <c r="A1315" s="531">
        <v>10</v>
      </c>
      <c r="B1315" s="650"/>
      <c r="C1315" s="578" t="s">
        <v>5236</v>
      </c>
      <c r="D1315" s="579" t="s">
        <v>307</v>
      </c>
      <c r="E1315" s="579" t="s">
        <v>323</v>
      </c>
      <c r="F1315" s="579" t="s">
        <v>308</v>
      </c>
      <c r="G1315" s="578" t="s">
        <v>5237</v>
      </c>
      <c r="H1315" s="578" t="s">
        <v>5238</v>
      </c>
      <c r="I1315" s="578" t="s">
        <v>5239</v>
      </c>
      <c r="J1315" s="579" t="s">
        <v>665</v>
      </c>
      <c r="K1315" s="579" t="s">
        <v>5016</v>
      </c>
      <c r="L1315" s="579"/>
      <c r="M1315" s="580">
        <v>500000</v>
      </c>
      <c r="N1315" s="523"/>
    </row>
    <row r="1316" spans="1:14">
      <c r="A1316" s="531">
        <v>10</v>
      </c>
      <c r="B1316" s="650"/>
      <c r="C1316" s="616" t="s">
        <v>5240</v>
      </c>
      <c r="D1316" s="608" t="s">
        <v>307</v>
      </c>
      <c r="E1316" s="608" t="s">
        <v>323</v>
      </c>
      <c r="F1316" s="608" t="s">
        <v>308</v>
      </c>
      <c r="G1316" s="616" t="s">
        <v>5009</v>
      </c>
      <c r="H1316" s="616" t="s">
        <v>348</v>
      </c>
      <c r="I1316" s="616" t="s">
        <v>4960</v>
      </c>
      <c r="J1316" s="608" t="s">
        <v>665</v>
      </c>
      <c r="K1316" s="608" t="s">
        <v>3215</v>
      </c>
      <c r="L1316" s="608"/>
      <c r="M1316" s="609">
        <v>1250000</v>
      </c>
      <c r="N1316" s="523"/>
    </row>
    <row r="1317" spans="1:14">
      <c r="A1317" s="531">
        <v>10</v>
      </c>
      <c r="B1317" s="650"/>
      <c r="C1317" s="616" t="s">
        <v>5240</v>
      </c>
      <c r="D1317" s="608" t="s">
        <v>307</v>
      </c>
      <c r="E1317" s="608" t="s">
        <v>323</v>
      </c>
      <c r="F1317" s="608" t="s">
        <v>308</v>
      </c>
      <c r="G1317" s="616" t="s">
        <v>4844</v>
      </c>
      <c r="H1317" s="616" t="s">
        <v>663</v>
      </c>
      <c r="I1317" s="616" t="s">
        <v>1097</v>
      </c>
      <c r="J1317" s="608" t="s">
        <v>665</v>
      </c>
      <c r="K1317" s="608" t="s">
        <v>3215</v>
      </c>
      <c r="L1317" s="608"/>
      <c r="M1317" s="609">
        <v>1250000</v>
      </c>
      <c r="N1317" s="523"/>
    </row>
    <row r="1318" spans="1:14">
      <c r="A1318" s="531">
        <v>10</v>
      </c>
      <c r="B1318" s="650" t="s">
        <v>5092</v>
      </c>
      <c r="C1318" s="524" t="s">
        <v>5228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5242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5243</v>
      </c>
    </row>
    <row r="1319" spans="1:14">
      <c r="A1319" s="531">
        <v>10</v>
      </c>
      <c r="B1319" s="650"/>
      <c r="C1319" s="591" t="s">
        <v>5426</v>
      </c>
      <c r="D1319" s="593" t="s">
        <v>312</v>
      </c>
      <c r="E1319" s="593" t="s">
        <v>321</v>
      </c>
      <c r="F1319" s="592" t="s">
        <v>338</v>
      </c>
      <c r="G1319" s="591" t="s">
        <v>3083</v>
      </c>
      <c r="H1319" s="591" t="s">
        <v>3086</v>
      </c>
      <c r="I1319" s="591" t="s">
        <v>5427</v>
      </c>
      <c r="J1319" s="591" t="s">
        <v>639</v>
      </c>
      <c r="K1319" s="591" t="s">
        <v>693</v>
      </c>
      <c r="L1319" s="593" t="s">
        <v>310</v>
      </c>
      <c r="M1319" s="594">
        <v>500000</v>
      </c>
      <c r="N1319" s="523" t="s">
        <v>5243</v>
      </c>
    </row>
    <row r="1320" spans="1:14" ht="25.5">
      <c r="A1320" s="531">
        <v>10</v>
      </c>
      <c r="B1320" s="650"/>
      <c r="C1320" s="524" t="s">
        <v>5232</v>
      </c>
      <c r="D1320" s="523" t="s">
        <v>312</v>
      </c>
      <c r="E1320" s="523" t="s">
        <v>676</v>
      </c>
      <c r="F1320" s="524" t="s">
        <v>5244</v>
      </c>
      <c r="G1320" s="524">
        <v>7064</v>
      </c>
      <c r="H1320" s="524" t="s">
        <v>1239</v>
      </c>
      <c r="I1320" s="524" t="s">
        <v>5245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5243</v>
      </c>
    </row>
    <row r="1321" spans="1:14">
      <c r="A1321" s="531">
        <v>10</v>
      </c>
      <c r="B1321" s="650"/>
      <c r="C1321" s="797" t="s">
        <v>5246</v>
      </c>
      <c r="D1321" s="795" t="s">
        <v>312</v>
      </c>
      <c r="E1321" s="795" t="s">
        <v>321</v>
      </c>
      <c r="F1321" s="797" t="s">
        <v>338</v>
      </c>
      <c r="G1321" s="797" t="s">
        <v>3201</v>
      </c>
      <c r="H1321" s="797" t="s">
        <v>3086</v>
      </c>
      <c r="I1321" s="533" t="s">
        <v>5221</v>
      </c>
      <c r="J1321" s="797" t="s">
        <v>639</v>
      </c>
      <c r="K1321" s="797" t="s">
        <v>706</v>
      </c>
      <c r="L1321" s="795" t="s">
        <v>310</v>
      </c>
      <c r="M1321" s="796">
        <v>500000</v>
      </c>
      <c r="N1321" s="795" t="s">
        <v>1207</v>
      </c>
    </row>
    <row r="1322" spans="1:14">
      <c r="A1322" s="531">
        <v>10</v>
      </c>
      <c r="B1322" s="650"/>
      <c r="C1322" s="797"/>
      <c r="D1322" s="795"/>
      <c r="E1322" s="795"/>
      <c r="F1322" s="797"/>
      <c r="G1322" s="797"/>
      <c r="H1322" s="797"/>
      <c r="I1322" s="533" t="s">
        <v>5222</v>
      </c>
      <c r="J1322" s="797"/>
      <c r="K1322" s="797"/>
      <c r="L1322" s="795"/>
      <c r="M1322" s="796"/>
      <c r="N1322" s="795"/>
    </row>
    <row r="1323" spans="1:14">
      <c r="A1323" s="531">
        <v>10</v>
      </c>
      <c r="B1323" s="650"/>
      <c r="C1323" s="524" t="s">
        <v>5247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5248</v>
      </c>
      <c r="J1323" s="524" t="s">
        <v>639</v>
      </c>
      <c r="K1323" s="524" t="s">
        <v>5249</v>
      </c>
      <c r="L1323" s="523" t="s">
        <v>310</v>
      </c>
      <c r="M1323" s="548">
        <v>250000</v>
      </c>
      <c r="N1323" s="523" t="s">
        <v>5077</v>
      </c>
    </row>
    <row r="1324" spans="1:14">
      <c r="A1324" s="531">
        <v>10</v>
      </c>
      <c r="B1324" s="650"/>
      <c r="C1324" s="591" t="s">
        <v>5247</v>
      </c>
      <c r="D1324" s="593" t="s">
        <v>312</v>
      </c>
      <c r="E1324" s="593" t="s">
        <v>676</v>
      </c>
      <c r="F1324" s="591" t="s">
        <v>721</v>
      </c>
      <c r="G1324" s="591" t="s">
        <v>1762</v>
      </c>
      <c r="H1324" s="591" t="s">
        <v>348</v>
      </c>
      <c r="I1324" s="591" t="s">
        <v>5429</v>
      </c>
      <c r="J1324" s="591" t="s">
        <v>639</v>
      </c>
      <c r="K1324" s="591" t="s">
        <v>714</v>
      </c>
      <c r="L1324" s="593" t="s">
        <v>310</v>
      </c>
      <c r="M1324" s="594">
        <v>250000</v>
      </c>
      <c r="N1324" s="523" t="s">
        <v>5077</v>
      </c>
    </row>
    <row r="1325" spans="1:14">
      <c r="A1325" s="531">
        <v>10</v>
      </c>
      <c r="B1325" s="650"/>
      <c r="C1325" s="524" t="s">
        <v>5247</v>
      </c>
      <c r="D1325" s="523" t="s">
        <v>312</v>
      </c>
      <c r="E1325" s="523" t="s">
        <v>676</v>
      </c>
      <c r="F1325" s="524" t="s">
        <v>721</v>
      </c>
      <c r="G1325" s="524" t="s">
        <v>5250</v>
      </c>
      <c r="H1325" s="524" t="s">
        <v>731</v>
      </c>
      <c r="I1325" s="524" t="s">
        <v>5251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5077</v>
      </c>
    </row>
    <row r="1326" spans="1:14">
      <c r="A1326" s="531">
        <v>10</v>
      </c>
      <c r="B1326" s="650"/>
      <c r="C1326" s="797" t="s">
        <v>5247</v>
      </c>
      <c r="D1326" s="795" t="s">
        <v>312</v>
      </c>
      <c r="E1326" s="795" t="s">
        <v>321</v>
      </c>
      <c r="F1326" s="797" t="s">
        <v>338</v>
      </c>
      <c r="G1326" s="797" t="s">
        <v>3201</v>
      </c>
      <c r="H1326" s="797" t="s">
        <v>3086</v>
      </c>
      <c r="I1326" s="533" t="s">
        <v>5221</v>
      </c>
      <c r="J1326" s="797"/>
      <c r="K1326" s="797" t="s">
        <v>706</v>
      </c>
      <c r="L1326" s="795" t="s">
        <v>310</v>
      </c>
      <c r="M1326" s="796">
        <v>500000</v>
      </c>
      <c r="N1326" s="795" t="s">
        <v>1207</v>
      </c>
    </row>
    <row r="1327" spans="1:14">
      <c r="A1327" s="531">
        <v>10</v>
      </c>
      <c r="B1327" s="650"/>
      <c r="C1327" s="797"/>
      <c r="D1327" s="795"/>
      <c r="E1327" s="795"/>
      <c r="F1327" s="797"/>
      <c r="G1327" s="797"/>
      <c r="H1327" s="797"/>
      <c r="I1327" s="533" t="s">
        <v>5222</v>
      </c>
      <c r="J1327" s="797"/>
      <c r="K1327" s="797"/>
      <c r="L1327" s="795"/>
      <c r="M1327" s="796"/>
      <c r="N1327" s="795"/>
    </row>
    <row r="1328" spans="1:14" ht="25.5">
      <c r="A1328" s="531">
        <v>10</v>
      </c>
      <c r="B1328" s="650"/>
      <c r="C1328" s="524" t="s">
        <v>5247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5252</v>
      </c>
      <c r="J1328" s="524"/>
      <c r="K1328" s="524" t="s">
        <v>5253</v>
      </c>
      <c r="L1328" s="523" t="s">
        <v>310</v>
      </c>
      <c r="M1328" s="548">
        <v>600000</v>
      </c>
      <c r="N1328" s="523" t="s">
        <v>5077</v>
      </c>
    </row>
    <row r="1329" spans="1:14">
      <c r="A1329" s="531">
        <v>10</v>
      </c>
      <c r="B1329" s="650"/>
      <c r="C1329" s="798" t="s">
        <v>5254</v>
      </c>
      <c r="D1329" s="799" t="s">
        <v>312</v>
      </c>
      <c r="E1329" s="799" t="s">
        <v>676</v>
      </c>
      <c r="F1329" s="591" t="s">
        <v>5255</v>
      </c>
      <c r="G1329" s="798" t="s">
        <v>5257</v>
      </c>
      <c r="H1329" s="798" t="s">
        <v>663</v>
      </c>
      <c r="I1329" s="798" t="s">
        <v>5430</v>
      </c>
      <c r="J1329" s="798" t="s">
        <v>639</v>
      </c>
      <c r="K1329" s="798" t="s">
        <v>714</v>
      </c>
      <c r="L1329" s="799" t="s">
        <v>310</v>
      </c>
      <c r="M1329" s="800">
        <v>250000</v>
      </c>
      <c r="N1329" s="795" t="s">
        <v>5077</v>
      </c>
    </row>
    <row r="1330" spans="1:14">
      <c r="A1330" s="531">
        <v>10</v>
      </c>
      <c r="B1330" s="650"/>
      <c r="C1330" s="797"/>
      <c r="D1330" s="795"/>
      <c r="E1330" s="795"/>
      <c r="F1330" s="524" t="s">
        <v>5256</v>
      </c>
      <c r="G1330" s="797"/>
      <c r="H1330" s="797"/>
      <c r="I1330" s="797"/>
      <c r="J1330" s="797"/>
      <c r="K1330" s="797"/>
      <c r="L1330" s="795"/>
      <c r="M1330" s="796"/>
      <c r="N1330" s="795"/>
    </row>
    <row r="1331" spans="1:14">
      <c r="A1331" s="531">
        <v>10</v>
      </c>
      <c r="B1331" s="650"/>
      <c r="C1331" s="798" t="s">
        <v>5258</v>
      </c>
      <c r="D1331" s="799" t="s">
        <v>312</v>
      </c>
      <c r="E1331" s="799" t="s">
        <v>676</v>
      </c>
      <c r="F1331" s="798" t="s">
        <v>5259</v>
      </c>
      <c r="G1331" s="592" t="s">
        <v>5171</v>
      </c>
      <c r="H1331" s="805" t="s">
        <v>348</v>
      </c>
      <c r="I1331" s="591" t="s">
        <v>5431</v>
      </c>
      <c r="J1331" s="798"/>
      <c r="K1331" s="798" t="s">
        <v>693</v>
      </c>
      <c r="L1331" s="799" t="s">
        <v>310</v>
      </c>
      <c r="M1331" s="800">
        <v>500000</v>
      </c>
      <c r="N1331" s="795" t="s">
        <v>5077</v>
      </c>
    </row>
    <row r="1332" spans="1:14">
      <c r="A1332" s="531">
        <v>10</v>
      </c>
      <c r="B1332" s="650"/>
      <c r="C1332" s="797"/>
      <c r="D1332" s="795"/>
      <c r="E1332" s="795"/>
      <c r="F1332" s="797"/>
      <c r="G1332" s="532" t="s">
        <v>5260</v>
      </c>
      <c r="H1332" s="806"/>
      <c r="I1332" s="524" t="s">
        <v>5262</v>
      </c>
      <c r="J1332" s="797"/>
      <c r="K1332" s="797"/>
      <c r="L1332" s="795"/>
      <c r="M1332" s="796"/>
      <c r="N1332" s="795"/>
    </row>
    <row r="1333" spans="1:14">
      <c r="A1333" s="531">
        <v>11</v>
      </c>
      <c r="B1333" s="650" t="s">
        <v>5278</v>
      </c>
      <c r="C1333" s="533" t="s">
        <v>5263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5264</v>
      </c>
      <c r="J1333" s="535" t="s">
        <v>665</v>
      </c>
      <c r="K1333" s="535" t="s">
        <v>5166</v>
      </c>
      <c r="L1333" s="535"/>
      <c r="M1333" s="538">
        <v>300000</v>
      </c>
      <c r="N1333" s="535" t="s">
        <v>5265</v>
      </c>
    </row>
    <row r="1334" spans="1:14">
      <c r="A1334" s="531">
        <v>11</v>
      </c>
      <c r="B1334" s="650"/>
      <c r="C1334" s="581" t="s">
        <v>5266</v>
      </c>
      <c r="D1334" s="582" t="s">
        <v>307</v>
      </c>
      <c r="E1334" s="582" t="s">
        <v>323</v>
      </c>
      <c r="F1334" s="582" t="s">
        <v>308</v>
      </c>
      <c r="G1334" s="581" t="s">
        <v>4983</v>
      </c>
      <c r="H1334" s="581" t="s">
        <v>3208</v>
      </c>
      <c r="I1334" s="581" t="s">
        <v>1097</v>
      </c>
      <c r="J1334" s="582" t="s">
        <v>665</v>
      </c>
      <c r="K1334" s="582" t="s">
        <v>5156</v>
      </c>
      <c r="L1334" s="582"/>
      <c r="M1334" s="583">
        <v>1250000</v>
      </c>
      <c r="N1334" s="535"/>
    </row>
    <row r="1335" spans="1:14">
      <c r="A1335" s="531">
        <v>11</v>
      </c>
      <c r="B1335" s="650"/>
      <c r="C1335" s="617" t="s">
        <v>5266</v>
      </c>
      <c r="D1335" s="610" t="s">
        <v>307</v>
      </c>
      <c r="E1335" s="610" t="s">
        <v>323</v>
      </c>
      <c r="F1335" s="610" t="s">
        <v>308</v>
      </c>
      <c r="G1335" s="617" t="s">
        <v>4983</v>
      </c>
      <c r="H1335" s="617" t="s">
        <v>3208</v>
      </c>
      <c r="I1335" s="617" t="s">
        <v>5436</v>
      </c>
      <c r="J1335" s="610" t="s">
        <v>665</v>
      </c>
      <c r="K1335" s="610" t="s">
        <v>5267</v>
      </c>
      <c r="L1335" s="610"/>
      <c r="M1335" s="611">
        <v>750000</v>
      </c>
      <c r="N1335" s="535"/>
    </row>
    <row r="1336" spans="1:14">
      <c r="A1336" s="531">
        <v>11</v>
      </c>
      <c r="B1336" s="650"/>
      <c r="C1336" s="617" t="s">
        <v>5266</v>
      </c>
      <c r="D1336" s="610" t="s">
        <v>307</v>
      </c>
      <c r="E1336" s="610" t="s">
        <v>323</v>
      </c>
      <c r="F1336" s="610" t="s">
        <v>308</v>
      </c>
      <c r="G1336" s="617" t="s">
        <v>4983</v>
      </c>
      <c r="H1336" s="617" t="s">
        <v>3208</v>
      </c>
      <c r="I1336" s="617" t="s">
        <v>5239</v>
      </c>
      <c r="J1336" s="610" t="s">
        <v>665</v>
      </c>
      <c r="K1336" s="610" t="s">
        <v>5268</v>
      </c>
      <c r="L1336" s="610"/>
      <c r="M1336" s="611">
        <v>500000</v>
      </c>
      <c r="N1336" s="535"/>
    </row>
    <row r="1337" spans="1:14">
      <c r="A1337" s="531">
        <v>11</v>
      </c>
      <c r="B1337" s="650"/>
      <c r="C1337" s="617" t="s">
        <v>5266</v>
      </c>
      <c r="D1337" s="610" t="s">
        <v>307</v>
      </c>
      <c r="E1337" s="610" t="s">
        <v>323</v>
      </c>
      <c r="F1337" s="610" t="s">
        <v>308</v>
      </c>
      <c r="G1337" s="617" t="s">
        <v>5269</v>
      </c>
      <c r="H1337" s="617" t="s">
        <v>3146</v>
      </c>
      <c r="I1337" s="617" t="s">
        <v>4960</v>
      </c>
      <c r="J1337" s="610" t="s">
        <v>665</v>
      </c>
      <c r="K1337" s="610" t="s">
        <v>3215</v>
      </c>
      <c r="L1337" s="610"/>
      <c r="M1337" s="611">
        <v>1250000</v>
      </c>
      <c r="N1337" s="535"/>
    </row>
    <row r="1338" spans="1:14">
      <c r="A1338" s="531">
        <v>11</v>
      </c>
      <c r="B1338" s="650"/>
      <c r="C1338" s="598" t="s">
        <v>5266</v>
      </c>
      <c r="D1338" s="599" t="s">
        <v>307</v>
      </c>
      <c r="E1338" s="599" t="s">
        <v>323</v>
      </c>
      <c r="F1338" s="599" t="s">
        <v>308</v>
      </c>
      <c r="G1338" s="598">
        <v>7062</v>
      </c>
      <c r="H1338" s="598" t="s">
        <v>348</v>
      </c>
      <c r="I1338" s="598" t="s">
        <v>4960</v>
      </c>
      <c r="J1338" s="599" t="s">
        <v>665</v>
      </c>
      <c r="K1338" s="599" t="s">
        <v>693</v>
      </c>
      <c r="L1338" s="599"/>
      <c r="M1338" s="600">
        <v>500000</v>
      </c>
      <c r="N1338" s="535"/>
    </row>
    <row r="1339" spans="1:14">
      <c r="A1339" s="531">
        <v>11</v>
      </c>
      <c r="B1339" s="650" t="s">
        <v>5208</v>
      </c>
      <c r="C1339" s="805" t="s">
        <v>5263</v>
      </c>
      <c r="D1339" s="807" t="s">
        <v>312</v>
      </c>
      <c r="E1339" s="807" t="s">
        <v>676</v>
      </c>
      <c r="F1339" s="805" t="s">
        <v>5259</v>
      </c>
      <c r="G1339" s="595" t="s">
        <v>5171</v>
      </c>
      <c r="H1339" s="805" t="s">
        <v>348</v>
      </c>
      <c r="I1339" s="595" t="s">
        <v>5261</v>
      </c>
      <c r="J1339" s="805"/>
      <c r="K1339" s="805" t="s">
        <v>693</v>
      </c>
      <c r="L1339" s="807" t="s">
        <v>310</v>
      </c>
      <c r="M1339" s="809">
        <v>500000</v>
      </c>
      <c r="N1339" s="806" t="s">
        <v>5270</v>
      </c>
    </row>
    <row r="1340" spans="1:14">
      <c r="A1340" s="531">
        <v>11</v>
      </c>
      <c r="B1340" s="650"/>
      <c r="C1340" s="806"/>
      <c r="D1340" s="808"/>
      <c r="E1340" s="808"/>
      <c r="F1340" s="806"/>
      <c r="G1340" s="533" t="s">
        <v>5260</v>
      </c>
      <c r="H1340" s="806"/>
      <c r="I1340" s="533" t="s">
        <v>5262</v>
      </c>
      <c r="J1340" s="806"/>
      <c r="K1340" s="806"/>
      <c r="L1340" s="808"/>
      <c r="M1340" s="810"/>
      <c r="N1340" s="806"/>
    </row>
    <row r="1341" spans="1:14">
      <c r="A1341" s="531">
        <v>11</v>
      </c>
      <c r="B1341" s="650"/>
      <c r="C1341" s="617" t="s">
        <v>5432</v>
      </c>
      <c r="D1341" s="610" t="s">
        <v>312</v>
      </c>
      <c r="E1341" s="610" t="s">
        <v>321</v>
      </c>
      <c r="F1341" s="617" t="s">
        <v>2609</v>
      </c>
      <c r="G1341" s="617" t="s">
        <v>4969</v>
      </c>
      <c r="H1341" s="617" t="s">
        <v>3146</v>
      </c>
      <c r="I1341" s="617" t="s">
        <v>5433</v>
      </c>
      <c r="J1341" s="598" t="s">
        <v>1112</v>
      </c>
      <c r="K1341" s="598" t="s">
        <v>5271</v>
      </c>
      <c r="L1341" s="599" t="s">
        <v>310</v>
      </c>
      <c r="M1341" s="601">
        <v>500000</v>
      </c>
      <c r="N1341" s="533" t="s">
        <v>5272</v>
      </c>
    </row>
    <row r="1342" spans="1:14">
      <c r="A1342" s="531">
        <v>11</v>
      </c>
      <c r="B1342" s="650"/>
      <c r="C1342" s="536" t="s">
        <v>5273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5274</v>
      </c>
      <c r="J1342" s="536" t="s">
        <v>703</v>
      </c>
      <c r="K1342" s="536" t="s">
        <v>5275</v>
      </c>
      <c r="L1342" s="537" t="s">
        <v>310</v>
      </c>
      <c r="M1342" s="549">
        <v>800000</v>
      </c>
      <c r="N1342" s="533" t="s">
        <v>5276</v>
      </c>
    </row>
    <row r="1343" spans="1:14" ht="36">
      <c r="A1343" s="531">
        <v>11</v>
      </c>
      <c r="B1343" s="650"/>
      <c r="C1343" s="595" t="s">
        <v>5273</v>
      </c>
      <c r="D1343" s="596" t="s">
        <v>312</v>
      </c>
      <c r="E1343" s="596" t="s">
        <v>321</v>
      </c>
      <c r="F1343" s="595" t="s">
        <v>710</v>
      </c>
      <c r="G1343" s="595" t="s">
        <v>3131</v>
      </c>
      <c r="H1343" s="595" t="s">
        <v>3132</v>
      </c>
      <c r="I1343" s="595" t="s">
        <v>5434</v>
      </c>
      <c r="J1343" s="595" t="s">
        <v>639</v>
      </c>
      <c r="K1343" s="595" t="s">
        <v>714</v>
      </c>
      <c r="L1343" s="596" t="s">
        <v>310</v>
      </c>
      <c r="M1343" s="597">
        <v>250000</v>
      </c>
      <c r="N1343" s="533" t="s">
        <v>5277</v>
      </c>
    </row>
    <row r="1344" spans="1:14">
      <c r="A1344" s="531">
        <v>12</v>
      </c>
      <c r="B1344" s="650" t="s">
        <v>5215</v>
      </c>
      <c r="C1344" s="618">
        <v>46102</v>
      </c>
      <c r="D1344" s="612" t="s">
        <v>19</v>
      </c>
      <c r="E1344" s="612" t="s">
        <v>25</v>
      </c>
      <c r="F1344" s="612" t="s">
        <v>308</v>
      </c>
      <c r="G1344" s="619">
        <v>7062</v>
      </c>
      <c r="H1344" s="620" t="s">
        <v>4959</v>
      </c>
      <c r="I1344" s="621" t="s">
        <v>4961</v>
      </c>
      <c r="J1344" s="612" t="s">
        <v>4963</v>
      </c>
      <c r="K1344" s="612" t="s">
        <v>4964</v>
      </c>
      <c r="L1344" s="612"/>
      <c r="M1344" s="613">
        <v>250000</v>
      </c>
      <c r="N1344" s="26"/>
    </row>
    <row r="1345" spans="1:14">
      <c r="A1345" s="531">
        <v>12</v>
      </c>
      <c r="B1345" s="650"/>
      <c r="C1345" s="602">
        <v>46104</v>
      </c>
      <c r="D1345" s="603" t="s">
        <v>19</v>
      </c>
      <c r="E1345" s="603" t="s">
        <v>25</v>
      </c>
      <c r="F1345" s="603" t="s">
        <v>308</v>
      </c>
      <c r="G1345" s="604" t="s">
        <v>4970</v>
      </c>
      <c r="H1345" s="605" t="s">
        <v>4971</v>
      </c>
      <c r="I1345" s="606" t="s">
        <v>5435</v>
      </c>
      <c r="J1345" s="603" t="s">
        <v>4963</v>
      </c>
      <c r="K1345" s="603" t="s">
        <v>4982</v>
      </c>
      <c r="L1345" s="603"/>
      <c r="M1345" s="607">
        <f>250000*2</f>
        <v>500000</v>
      </c>
      <c r="N1345" s="26"/>
    </row>
    <row r="1346" spans="1:14">
      <c r="A1346" s="531">
        <v>12</v>
      </c>
      <c r="B1346" s="650"/>
      <c r="C1346" s="602" t="s">
        <v>4967</v>
      </c>
      <c r="D1346" s="603" t="s">
        <v>19</v>
      </c>
      <c r="E1346" s="603" t="s">
        <v>25</v>
      </c>
      <c r="F1346" s="603" t="s">
        <v>308</v>
      </c>
      <c r="G1346" s="604" t="s">
        <v>4965</v>
      </c>
      <c r="H1346" s="605" t="s">
        <v>4966</v>
      </c>
      <c r="I1346" s="606" t="s">
        <v>4961</v>
      </c>
      <c r="J1346" s="603" t="s">
        <v>4963</v>
      </c>
      <c r="K1346" s="603" t="s">
        <v>4968</v>
      </c>
      <c r="L1346" s="603"/>
      <c r="M1346" s="607">
        <f>250000*4</f>
        <v>1000000</v>
      </c>
      <c r="N1346" s="26"/>
    </row>
    <row r="1347" spans="1:14">
      <c r="A1347" s="531">
        <v>12</v>
      </c>
      <c r="B1347" s="650"/>
      <c r="C1347" s="618" t="s">
        <v>4958</v>
      </c>
      <c r="D1347" s="612" t="s">
        <v>19</v>
      </c>
      <c r="E1347" s="612" t="s">
        <v>25</v>
      </c>
      <c r="F1347" s="612" t="s">
        <v>308</v>
      </c>
      <c r="G1347" s="619" t="s">
        <v>4984</v>
      </c>
      <c r="H1347" s="620" t="s">
        <v>4985</v>
      </c>
      <c r="I1347" s="621" t="s">
        <v>4986</v>
      </c>
      <c r="J1347" s="612" t="s">
        <v>4962</v>
      </c>
      <c r="K1347" s="584" t="s">
        <v>5418</v>
      </c>
      <c r="L1347" s="525"/>
      <c r="M1347" s="590">
        <f>250000*10</f>
        <v>2500000</v>
      </c>
      <c r="N1347" s="26"/>
    </row>
    <row r="1348" spans="1:14">
      <c r="A1348" s="531">
        <v>12</v>
      </c>
      <c r="B1348" s="650"/>
      <c r="C1348" s="514" t="s">
        <v>4990</v>
      </c>
      <c r="D1348" s="525" t="s">
        <v>19</v>
      </c>
      <c r="E1348" s="525" t="s">
        <v>25</v>
      </c>
      <c r="F1348" s="525" t="s">
        <v>308</v>
      </c>
      <c r="G1348" s="507" t="s">
        <v>4984</v>
      </c>
      <c r="H1348" s="508" t="s">
        <v>4995</v>
      </c>
      <c r="I1348" s="258" t="s">
        <v>4994</v>
      </c>
      <c r="J1348" s="525" t="s">
        <v>4987</v>
      </c>
      <c r="K1348" s="614" t="s">
        <v>4991</v>
      </c>
      <c r="L1348" s="614"/>
      <c r="M1348" s="615">
        <f>250000*2</f>
        <v>500000</v>
      </c>
      <c r="N1348" s="26"/>
    </row>
    <row r="1349" spans="1:14">
      <c r="A1349" s="531">
        <v>12</v>
      </c>
      <c r="B1349" s="650"/>
      <c r="C1349" s="514" t="s">
        <v>4958</v>
      </c>
      <c r="D1349" s="525" t="s">
        <v>19</v>
      </c>
      <c r="E1349" s="525" t="s">
        <v>25</v>
      </c>
      <c r="F1349" s="525" t="s">
        <v>308</v>
      </c>
      <c r="G1349" s="507" t="s">
        <v>4992</v>
      </c>
      <c r="H1349" s="508" t="s">
        <v>4993</v>
      </c>
      <c r="I1349" s="258" t="s">
        <v>4994</v>
      </c>
      <c r="J1349" s="525" t="s">
        <v>4987</v>
      </c>
      <c r="K1349" s="614" t="s">
        <v>4989</v>
      </c>
      <c r="L1349" s="614"/>
      <c r="M1349" s="615">
        <f>250000*3</f>
        <v>750000</v>
      </c>
      <c r="N1349" s="26"/>
    </row>
    <row r="1350" spans="1:14">
      <c r="A1350" s="531">
        <v>12</v>
      </c>
      <c r="B1350" s="650" t="s">
        <v>5241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4978</v>
      </c>
      <c r="J1350" s="482"/>
      <c r="K1350" s="481" t="s">
        <v>4979</v>
      </c>
      <c r="L1350" s="137" t="s">
        <v>4980</v>
      </c>
      <c r="M1350" s="511">
        <v>500000</v>
      </c>
      <c r="N1350" s="512" t="s">
        <v>4997</v>
      </c>
    </row>
    <row r="1351" spans="1:14">
      <c r="A1351" s="531">
        <v>12</v>
      </c>
      <c r="B1351" s="650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4976</v>
      </c>
      <c r="J1351" s="482" t="s">
        <v>4975</v>
      </c>
      <c r="K1351" s="482" t="s">
        <v>488</v>
      </c>
      <c r="L1351" s="137" t="s">
        <v>15</v>
      </c>
      <c r="M1351" s="513">
        <v>500000</v>
      </c>
      <c r="N1351" s="512" t="s">
        <v>4998</v>
      </c>
    </row>
    <row r="1352" spans="1:14" ht="27">
      <c r="A1352" s="531">
        <v>12</v>
      </c>
      <c r="B1352" s="650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4977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4999</v>
      </c>
    </row>
    <row r="1353" spans="1:14">
      <c r="A1353" s="531">
        <v>12</v>
      </c>
      <c r="B1353" s="650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4996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5000</v>
      </c>
    </row>
    <row r="1354" spans="1:14">
      <c r="A1354" s="531">
        <v>13</v>
      </c>
      <c r="B1354" s="650" t="s">
        <v>5417</v>
      </c>
      <c r="C1354" s="414">
        <v>46106</v>
      </c>
      <c r="D1354" s="567" t="s">
        <v>125</v>
      </c>
      <c r="E1354" s="567" t="s">
        <v>152</v>
      </c>
      <c r="F1354" s="567" t="s">
        <v>5303</v>
      </c>
      <c r="G1354" s="507">
        <v>594</v>
      </c>
      <c r="H1354" s="508" t="s">
        <v>265</v>
      </c>
      <c r="I1354" s="258" t="s">
        <v>5305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650"/>
      <c r="C1355" s="414">
        <v>46107</v>
      </c>
      <c r="D1355" s="567" t="s">
        <v>125</v>
      </c>
      <c r="E1355" s="567" t="s">
        <v>152</v>
      </c>
      <c r="F1355" s="567" t="s">
        <v>5303</v>
      </c>
      <c r="G1355" s="507" t="s">
        <v>3625</v>
      </c>
      <c r="H1355" s="508" t="s">
        <v>34</v>
      </c>
      <c r="I1355" s="258" t="s">
        <v>5345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650"/>
      <c r="C1356" s="414">
        <v>46107</v>
      </c>
      <c r="D1356" s="567" t="s">
        <v>49</v>
      </c>
      <c r="E1356" s="567" t="s">
        <v>152</v>
      </c>
      <c r="F1356" s="567" t="s">
        <v>5303</v>
      </c>
      <c r="G1356" s="507" t="s">
        <v>5347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650"/>
      <c r="C1357" s="414">
        <v>46108</v>
      </c>
      <c r="D1357" s="567" t="s">
        <v>49</v>
      </c>
      <c r="E1357" s="567" t="s">
        <v>152</v>
      </c>
      <c r="F1357" s="567" t="s">
        <v>5303</v>
      </c>
      <c r="G1357" s="507" t="s">
        <v>3625</v>
      </c>
      <c r="H1357" s="508" t="s">
        <v>34</v>
      </c>
      <c r="I1357" s="258" t="s">
        <v>5345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650"/>
      <c r="C1358" s="588" t="s">
        <v>5380</v>
      </c>
      <c r="D1358" s="584" t="s">
        <v>49</v>
      </c>
      <c r="E1358" s="584" t="s">
        <v>152</v>
      </c>
      <c r="F1358" s="584" t="s">
        <v>5303</v>
      </c>
      <c r="G1358" s="585" t="s">
        <v>4984</v>
      </c>
      <c r="H1358" s="586" t="s">
        <v>483</v>
      </c>
      <c r="I1358" s="587" t="s">
        <v>5384</v>
      </c>
      <c r="J1358" s="584" t="s">
        <v>127</v>
      </c>
      <c r="K1358" s="584" t="s">
        <v>5419</v>
      </c>
      <c r="L1358" s="567"/>
      <c r="M1358" s="590">
        <f>250000*7</f>
        <v>1750000</v>
      </c>
      <c r="N1358" s="26"/>
    </row>
    <row r="1359" spans="1:14" ht="27">
      <c r="A1359" s="531">
        <v>13</v>
      </c>
      <c r="B1359" s="650"/>
      <c r="C1359" s="414" t="s">
        <v>5386</v>
      </c>
      <c r="D1359" s="567" t="s">
        <v>49</v>
      </c>
      <c r="E1359" s="567" t="s">
        <v>152</v>
      </c>
      <c r="F1359" s="567" t="s">
        <v>5303</v>
      </c>
      <c r="G1359" s="507" t="s">
        <v>4984</v>
      </c>
      <c r="H1359" s="508" t="s">
        <v>483</v>
      </c>
      <c r="I1359" s="258" t="s">
        <v>5387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650"/>
      <c r="C1360" s="414" t="s">
        <v>5394</v>
      </c>
      <c r="D1360" s="567" t="s">
        <v>49</v>
      </c>
      <c r="E1360" s="567" t="s">
        <v>152</v>
      </c>
      <c r="F1360" s="567" t="s">
        <v>5303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650"/>
      <c r="C1361" s="414" t="s">
        <v>5395</v>
      </c>
      <c r="D1361" s="567" t="s">
        <v>49</v>
      </c>
      <c r="E1361" s="567" t="s">
        <v>152</v>
      </c>
      <c r="F1361" s="567" t="s">
        <v>5303</v>
      </c>
      <c r="G1361" s="507" t="s">
        <v>4992</v>
      </c>
      <c r="H1361" s="508" t="s">
        <v>103</v>
      </c>
      <c r="I1361" s="258" t="s">
        <v>2504</v>
      </c>
      <c r="J1361" s="567" t="s">
        <v>1260</v>
      </c>
      <c r="K1361" s="567" t="s">
        <v>5410</v>
      </c>
      <c r="L1361" s="567"/>
      <c r="M1361" s="509">
        <f>250000*4</f>
        <v>1000000</v>
      </c>
    </row>
    <row r="1362" spans="1:14" ht="27">
      <c r="A1362" s="531">
        <v>13</v>
      </c>
      <c r="B1362" s="650"/>
      <c r="C1362" s="589" t="s">
        <v>5397</v>
      </c>
      <c r="D1362" s="584" t="s">
        <v>49</v>
      </c>
      <c r="E1362" s="584" t="s">
        <v>152</v>
      </c>
      <c r="F1362" s="584" t="s">
        <v>5303</v>
      </c>
      <c r="G1362" s="585">
        <v>1614</v>
      </c>
      <c r="H1362" s="586" t="s">
        <v>483</v>
      </c>
      <c r="I1362" s="587" t="s">
        <v>379</v>
      </c>
      <c r="J1362" s="584" t="s">
        <v>127</v>
      </c>
      <c r="K1362" s="584" t="s">
        <v>5420</v>
      </c>
      <c r="L1362" s="567"/>
      <c r="M1362" s="590">
        <f>250000*3</f>
        <v>750000</v>
      </c>
      <c r="N1362" s="26"/>
    </row>
    <row r="1363" spans="1:14">
      <c r="A1363" s="531">
        <v>13</v>
      </c>
      <c r="B1363" s="650" t="s">
        <v>5416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650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5366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650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5279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650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5279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650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5364</v>
      </c>
      <c r="J1367" s="482" t="s">
        <v>90</v>
      </c>
      <c r="K1367" s="482" t="s">
        <v>5341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650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4984</v>
      </c>
      <c r="H1368" s="487" t="s">
        <v>34</v>
      </c>
      <c r="I1368" s="481" t="s">
        <v>5377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4905</v>
      </c>
    </row>
    <row r="4" spans="1:4">
      <c r="A4" s="495" t="s">
        <v>4919</v>
      </c>
    </row>
    <row r="7" spans="1:4" ht="18.75">
      <c r="A7" s="494" t="s">
        <v>4906</v>
      </c>
    </row>
    <row r="8" spans="1:4">
      <c r="A8" s="495" t="s">
        <v>4907</v>
      </c>
      <c r="B8" s="570">
        <v>9100000</v>
      </c>
    </row>
    <row r="10" spans="1:4">
      <c r="A10" s="498" t="s">
        <v>4896</v>
      </c>
      <c r="B10" s="498" t="s">
        <v>4897</v>
      </c>
      <c r="C10" s="812" t="s">
        <v>4898</v>
      </c>
      <c r="D10" s="812"/>
    </row>
    <row r="11" spans="1:4">
      <c r="A11" s="498" t="s">
        <v>4899</v>
      </c>
      <c r="B11" s="498">
        <v>9</v>
      </c>
      <c r="C11" s="813">
        <f>'사전품의양식 (12)'!L13</f>
        <v>6400000</v>
      </c>
      <c r="D11" s="813"/>
    </row>
    <row r="12" spans="1:4">
      <c r="A12" s="498" t="s">
        <v>4900</v>
      </c>
      <c r="B12" s="498">
        <v>5</v>
      </c>
      <c r="C12" s="813">
        <f>'사전품의양식 (12)'!L20</f>
        <v>2700000</v>
      </c>
      <c r="D12" s="813"/>
    </row>
    <row r="13" spans="1:4">
      <c r="A13" s="503" t="s">
        <v>53</v>
      </c>
      <c r="B13" s="503">
        <f>SUM(B11:B12)</f>
        <v>14</v>
      </c>
      <c r="C13" s="814">
        <f>SUM(C11:C12)</f>
        <v>9100000</v>
      </c>
      <c r="D13" s="814"/>
    </row>
    <row r="14" spans="1:4">
      <c r="A14" s="496"/>
      <c r="B14" s="496"/>
      <c r="C14" s="496"/>
    </row>
    <row r="15" spans="1:4">
      <c r="A15" s="497" t="s">
        <v>4901</v>
      </c>
      <c r="B15" s="496"/>
      <c r="C15" s="496"/>
    </row>
    <row r="16" spans="1:4">
      <c r="A16" s="499" t="s">
        <v>4921</v>
      </c>
      <c r="B16" s="498" t="s">
        <v>4903</v>
      </c>
      <c r="C16" s="498" t="s">
        <v>4904</v>
      </c>
      <c r="D16" s="499" t="s">
        <v>53</v>
      </c>
    </row>
    <row r="17" spans="1:5">
      <c r="A17" s="499" t="s">
        <v>5402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4902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4912</v>
      </c>
    </row>
    <row r="24" spans="1:5">
      <c r="A24" s="550" t="s">
        <v>4896</v>
      </c>
      <c r="B24" s="550" t="s">
        <v>4910</v>
      </c>
      <c r="C24" s="812" t="s">
        <v>4913</v>
      </c>
      <c r="D24" s="812"/>
      <c r="E24" s="812"/>
    </row>
    <row r="25" spans="1:5">
      <c r="A25" s="550" t="s">
        <v>4914</v>
      </c>
      <c r="B25" s="550" t="s">
        <v>4915</v>
      </c>
      <c r="C25" s="811" t="s">
        <v>4916</v>
      </c>
      <c r="D25" s="812"/>
      <c r="E25" s="812"/>
    </row>
    <row r="26" spans="1:5">
      <c r="A26" s="550" t="s">
        <v>5403</v>
      </c>
      <c r="B26" s="550" t="s">
        <v>5406</v>
      </c>
      <c r="C26" s="811" t="s">
        <v>5407</v>
      </c>
      <c r="D26" s="812"/>
      <c r="E26" s="812"/>
    </row>
    <row r="27" spans="1:5">
      <c r="A27" s="550" t="s">
        <v>5404</v>
      </c>
      <c r="B27" s="550" t="s">
        <v>5405</v>
      </c>
      <c r="C27" s="811" t="s">
        <v>5407</v>
      </c>
      <c r="D27" s="812"/>
      <c r="E27" s="812"/>
    </row>
    <row r="29" spans="1:5" ht="18.75">
      <c r="A29" s="494" t="s">
        <v>4908</v>
      </c>
    </row>
    <row r="31" spans="1:5">
      <c r="A31" s="495" t="s">
        <v>4917</v>
      </c>
    </row>
    <row r="33" spans="1:1">
      <c r="A33" s="495" t="s">
        <v>4918</v>
      </c>
    </row>
    <row r="35" spans="1:1">
      <c r="A35" s="495" t="s">
        <v>4911</v>
      </c>
    </row>
    <row r="39" spans="1:1" ht="18.75">
      <c r="A39" s="494" t="s">
        <v>4909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3" t="s">
        <v>4531</v>
      </c>
      <c r="B2" s="823" t="s">
        <v>1</v>
      </c>
      <c r="C2" s="823" t="s">
        <v>2</v>
      </c>
      <c r="D2" s="823" t="s">
        <v>3</v>
      </c>
      <c r="E2" s="505" t="s">
        <v>2631</v>
      </c>
      <c r="F2" s="823" t="s">
        <v>5</v>
      </c>
      <c r="G2" s="823" t="s">
        <v>6</v>
      </c>
      <c r="H2" s="823" t="s">
        <v>2632</v>
      </c>
      <c r="I2" s="823" t="s">
        <v>55</v>
      </c>
      <c r="J2" s="823" t="s">
        <v>9</v>
      </c>
      <c r="K2" s="824" t="s">
        <v>56</v>
      </c>
      <c r="L2" s="823" t="s">
        <v>57</v>
      </c>
      <c r="M2" s="823" t="s">
        <v>58</v>
      </c>
    </row>
    <row r="3" spans="1:13">
      <c r="A3" s="823"/>
      <c r="B3" s="823"/>
      <c r="C3" s="823"/>
      <c r="D3" s="823"/>
      <c r="E3" s="506" t="s">
        <v>1730</v>
      </c>
      <c r="F3" s="823"/>
      <c r="G3" s="823"/>
      <c r="H3" s="823"/>
      <c r="I3" s="823"/>
      <c r="J3" s="823"/>
      <c r="K3" s="824"/>
      <c r="L3" s="823"/>
      <c r="M3" s="823"/>
    </row>
    <row r="4" spans="1:13" s="501" customFormat="1">
      <c r="A4" s="817" t="s">
        <v>20</v>
      </c>
      <c r="B4" s="414">
        <v>46106</v>
      </c>
      <c r="C4" s="557" t="s">
        <v>5301</v>
      </c>
      <c r="D4" s="557" t="s">
        <v>5302</v>
      </c>
      <c r="E4" s="557" t="s">
        <v>5303</v>
      </c>
      <c r="F4" s="507">
        <v>594</v>
      </c>
      <c r="G4" s="508" t="s">
        <v>5304</v>
      </c>
      <c r="H4" s="258" t="s">
        <v>5305</v>
      </c>
      <c r="I4" s="557" t="s">
        <v>5306</v>
      </c>
      <c r="J4" s="557" t="s">
        <v>5307</v>
      </c>
      <c r="K4" s="557"/>
      <c r="L4" s="509">
        <v>250000</v>
      </c>
      <c r="M4" s="510" t="s">
        <v>5300</v>
      </c>
    </row>
    <row r="5" spans="1:13" ht="16.5" customHeight="1">
      <c r="A5" s="818"/>
      <c r="B5" s="414">
        <v>46107</v>
      </c>
      <c r="C5" s="557" t="s">
        <v>5301</v>
      </c>
      <c r="D5" s="557" t="s">
        <v>5302</v>
      </c>
      <c r="E5" s="557" t="s">
        <v>5303</v>
      </c>
      <c r="F5" s="507" t="s">
        <v>5343</v>
      </c>
      <c r="G5" s="508" t="s">
        <v>5344</v>
      </c>
      <c r="H5" s="258" t="s">
        <v>5345</v>
      </c>
      <c r="I5" s="557"/>
      <c r="J5" s="557" t="s">
        <v>5346</v>
      </c>
      <c r="K5" s="557"/>
      <c r="L5" s="509">
        <v>300000</v>
      </c>
      <c r="M5" s="820" t="s">
        <v>5354</v>
      </c>
    </row>
    <row r="6" spans="1:13">
      <c r="A6" s="818"/>
      <c r="B6" s="414">
        <v>46107</v>
      </c>
      <c r="C6" s="557" t="s">
        <v>49</v>
      </c>
      <c r="D6" s="557" t="s">
        <v>152</v>
      </c>
      <c r="E6" s="557" t="s">
        <v>5303</v>
      </c>
      <c r="F6" s="507" t="s">
        <v>5347</v>
      </c>
      <c r="G6" s="508" t="s">
        <v>5352</v>
      </c>
      <c r="H6" s="258" t="s">
        <v>5353</v>
      </c>
      <c r="I6" s="557"/>
      <c r="J6" s="557" t="s">
        <v>5348</v>
      </c>
      <c r="K6" s="557"/>
      <c r="L6" s="509">
        <v>300000</v>
      </c>
      <c r="M6" s="821"/>
    </row>
    <row r="7" spans="1:13">
      <c r="A7" s="818"/>
      <c r="B7" s="414">
        <v>46108</v>
      </c>
      <c r="C7" s="557" t="s">
        <v>49</v>
      </c>
      <c r="D7" s="557" t="s">
        <v>152</v>
      </c>
      <c r="E7" s="557" t="s">
        <v>5303</v>
      </c>
      <c r="F7" s="507" t="s">
        <v>3625</v>
      </c>
      <c r="G7" s="508" t="s">
        <v>34</v>
      </c>
      <c r="H7" s="258" t="s">
        <v>5345</v>
      </c>
      <c r="I7" s="557"/>
      <c r="J7" s="557" t="s">
        <v>1000</v>
      </c>
      <c r="K7" s="557"/>
      <c r="L7" s="509">
        <v>300000</v>
      </c>
      <c r="M7" s="821"/>
    </row>
    <row r="8" spans="1:13">
      <c r="A8" s="818"/>
      <c r="B8" s="414" t="s">
        <v>5380</v>
      </c>
      <c r="C8" s="557" t="s">
        <v>49</v>
      </c>
      <c r="D8" s="557" t="s">
        <v>152</v>
      </c>
      <c r="E8" s="557" t="s">
        <v>5303</v>
      </c>
      <c r="F8" s="507" t="s">
        <v>5381</v>
      </c>
      <c r="G8" s="508" t="s">
        <v>5382</v>
      </c>
      <c r="H8" s="258" t="s">
        <v>5384</v>
      </c>
      <c r="I8" s="557" t="s">
        <v>5383</v>
      </c>
      <c r="J8" s="557" t="s">
        <v>5398</v>
      </c>
      <c r="K8" s="557"/>
      <c r="L8" s="509">
        <f>250000*7</f>
        <v>1750000</v>
      </c>
      <c r="M8" s="821"/>
    </row>
    <row r="9" spans="1:13">
      <c r="A9" s="818"/>
      <c r="B9" s="414" t="s">
        <v>5386</v>
      </c>
      <c r="C9" s="557" t="s">
        <v>49</v>
      </c>
      <c r="D9" s="557" t="s">
        <v>152</v>
      </c>
      <c r="E9" s="557" t="s">
        <v>5303</v>
      </c>
      <c r="F9" s="507" t="s">
        <v>5381</v>
      </c>
      <c r="G9" s="508" t="s">
        <v>5382</v>
      </c>
      <c r="H9" s="258" t="s">
        <v>5387</v>
      </c>
      <c r="I9" s="557" t="s">
        <v>5385</v>
      </c>
      <c r="J9" s="557" t="s">
        <v>5401</v>
      </c>
      <c r="K9" s="557"/>
      <c r="L9" s="509">
        <f>250000*5</f>
        <v>1250000</v>
      </c>
      <c r="M9" s="822"/>
    </row>
    <row r="10" spans="1:13">
      <c r="A10" s="818"/>
      <c r="B10" s="414" t="s">
        <v>5394</v>
      </c>
      <c r="C10" s="557" t="s">
        <v>49</v>
      </c>
      <c r="D10" s="557" t="s">
        <v>152</v>
      </c>
      <c r="E10" s="557" t="s">
        <v>5303</v>
      </c>
      <c r="F10" s="507" t="s">
        <v>5388</v>
      </c>
      <c r="G10" s="508" t="s">
        <v>5389</v>
      </c>
      <c r="H10" s="258" t="s">
        <v>5390</v>
      </c>
      <c r="I10" s="557" t="s">
        <v>5391</v>
      </c>
      <c r="J10" s="557" t="s">
        <v>5378</v>
      </c>
      <c r="K10" s="557"/>
      <c r="L10" s="509">
        <f>250000*2</f>
        <v>500000</v>
      </c>
      <c r="M10" s="569"/>
    </row>
    <row r="11" spans="1:13">
      <c r="A11" s="818"/>
      <c r="B11" s="414" t="s">
        <v>5395</v>
      </c>
      <c r="C11" s="557" t="s">
        <v>49</v>
      </c>
      <c r="D11" s="557" t="s">
        <v>152</v>
      </c>
      <c r="E11" s="557" t="s">
        <v>5303</v>
      </c>
      <c r="F11" s="507" t="s">
        <v>5392</v>
      </c>
      <c r="G11" s="508" t="s">
        <v>5393</v>
      </c>
      <c r="H11" s="258" t="s">
        <v>5409</v>
      </c>
      <c r="I11" s="557" t="s">
        <v>5391</v>
      </c>
      <c r="J11" s="557" t="s">
        <v>5410</v>
      </c>
      <c r="K11" s="557"/>
      <c r="L11" s="509">
        <f>250000*4</f>
        <v>1000000</v>
      </c>
      <c r="M11" s="569"/>
    </row>
    <row r="12" spans="1:13">
      <c r="A12" s="818"/>
      <c r="B12" s="414" t="s">
        <v>5397</v>
      </c>
      <c r="C12" s="557" t="s">
        <v>49</v>
      </c>
      <c r="D12" s="557" t="s">
        <v>152</v>
      </c>
      <c r="E12" s="557" t="s">
        <v>5303</v>
      </c>
      <c r="F12" s="507">
        <v>1614</v>
      </c>
      <c r="G12" s="508" t="s">
        <v>5382</v>
      </c>
      <c r="H12" s="258" t="s">
        <v>5396</v>
      </c>
      <c r="I12" s="557" t="s">
        <v>5400</v>
      </c>
      <c r="J12" s="557" t="s">
        <v>5399</v>
      </c>
      <c r="K12" s="557"/>
      <c r="L12" s="509">
        <f>250000*3</f>
        <v>750000</v>
      </c>
      <c r="M12" s="510"/>
    </row>
    <row r="13" spans="1:13">
      <c r="A13" s="819"/>
      <c r="B13" s="815" t="s">
        <v>1137</v>
      </c>
      <c r="C13" s="815"/>
      <c r="D13" s="815"/>
      <c r="E13" s="815"/>
      <c r="F13" s="815"/>
      <c r="G13" s="815"/>
      <c r="H13" s="815"/>
      <c r="I13" s="815"/>
      <c r="J13" s="815"/>
      <c r="K13" s="815"/>
      <c r="L13" s="509">
        <f>SUM(L4:L12)</f>
        <v>6400000</v>
      </c>
      <c r="M13" s="557"/>
    </row>
    <row r="14" spans="1:13">
      <c r="A14" s="817" t="s">
        <v>21</v>
      </c>
      <c r="B14" s="379">
        <v>46107</v>
      </c>
      <c r="C14" s="3" t="s">
        <v>5291</v>
      </c>
      <c r="D14" s="3" t="s">
        <v>5292</v>
      </c>
      <c r="E14" s="482" t="s">
        <v>5293</v>
      </c>
      <c r="F14" s="482" t="s">
        <v>5294</v>
      </c>
      <c r="G14" s="487" t="s">
        <v>5295</v>
      </c>
      <c r="H14" s="481" t="s">
        <v>5296</v>
      </c>
      <c r="I14" s="482" t="s">
        <v>5290</v>
      </c>
      <c r="J14" s="481" t="s">
        <v>5297</v>
      </c>
      <c r="K14" s="137" t="s">
        <v>5298</v>
      </c>
      <c r="L14" s="511">
        <v>250000</v>
      </c>
      <c r="M14" s="512" t="s">
        <v>4997</v>
      </c>
    </row>
    <row r="15" spans="1:13" ht="27">
      <c r="A15" s="818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5366</v>
      </c>
      <c r="I15" s="481" t="s">
        <v>5356</v>
      </c>
      <c r="J15" s="481" t="s">
        <v>41</v>
      </c>
      <c r="K15" s="126" t="s">
        <v>15</v>
      </c>
      <c r="L15" s="513">
        <v>250000</v>
      </c>
      <c r="M15" s="512" t="s">
        <v>5372</v>
      </c>
    </row>
    <row r="16" spans="1:13" ht="27">
      <c r="A16" s="818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5279</v>
      </c>
      <c r="I16" s="482"/>
      <c r="J16" s="481" t="s">
        <v>488</v>
      </c>
      <c r="K16" s="137" t="s">
        <v>15</v>
      </c>
      <c r="L16" s="513">
        <v>500000</v>
      </c>
      <c r="M16" s="512" t="s">
        <v>5371</v>
      </c>
    </row>
    <row r="17" spans="1:27" ht="27">
      <c r="A17" s="818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5279</v>
      </c>
      <c r="I17" s="560"/>
      <c r="J17" s="563" t="s">
        <v>488</v>
      </c>
      <c r="K17" s="564" t="s">
        <v>15</v>
      </c>
      <c r="L17" s="513">
        <v>500000</v>
      </c>
      <c r="M17" s="512" t="s">
        <v>5371</v>
      </c>
    </row>
    <row r="18" spans="1:27">
      <c r="A18" s="818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5359</v>
      </c>
      <c r="G18" s="16" t="s">
        <v>206</v>
      </c>
      <c r="H18" s="481" t="s">
        <v>5364</v>
      </c>
      <c r="I18" s="482" t="s">
        <v>90</v>
      </c>
      <c r="J18" s="482" t="s">
        <v>5341</v>
      </c>
      <c r="K18" s="137" t="s">
        <v>15</v>
      </c>
      <c r="L18" s="513">
        <f>450000+250000</f>
        <v>700000</v>
      </c>
      <c r="M18" s="512" t="s">
        <v>5370</v>
      </c>
    </row>
    <row r="19" spans="1:27">
      <c r="A19" s="818"/>
      <c r="B19" s="414">
        <v>46115</v>
      </c>
      <c r="C19" s="3" t="s">
        <v>5368</v>
      </c>
      <c r="D19" s="3" t="s">
        <v>5373</v>
      </c>
      <c r="E19" s="482" t="s">
        <v>5374</v>
      </c>
      <c r="F19" s="482" t="s">
        <v>5375</v>
      </c>
      <c r="G19" s="487" t="s">
        <v>5376</v>
      </c>
      <c r="H19" s="481" t="s">
        <v>5377</v>
      </c>
      <c r="I19" s="481" t="s">
        <v>5355</v>
      </c>
      <c r="J19" s="481" t="s">
        <v>5408</v>
      </c>
      <c r="K19" s="564" t="s">
        <v>15</v>
      </c>
      <c r="L19" s="513">
        <f>250000*2</f>
        <v>500000</v>
      </c>
      <c r="M19" s="512" t="s">
        <v>5379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819"/>
      <c r="B20" s="815" t="s">
        <v>4920</v>
      </c>
      <c r="C20" s="815"/>
      <c r="D20" s="815"/>
      <c r="E20" s="815"/>
      <c r="F20" s="815"/>
      <c r="G20" s="815"/>
      <c r="H20" s="815"/>
      <c r="I20" s="815"/>
      <c r="J20" s="815"/>
      <c r="K20" s="815"/>
      <c r="L20" s="509">
        <f>SUM(L14:L19)</f>
        <v>2700000</v>
      </c>
      <c r="M20" s="557"/>
    </row>
    <row r="21" spans="1:27" s="504" customFormat="1" ht="25.5" customHeight="1">
      <c r="A21" s="816" t="s">
        <v>62</v>
      </c>
      <c r="B21" s="816"/>
      <c r="C21" s="816"/>
      <c r="D21" s="816"/>
      <c r="E21" s="816"/>
      <c r="F21" s="816"/>
      <c r="G21" s="816"/>
      <c r="H21" s="816"/>
      <c r="I21" s="816"/>
      <c r="J21" s="816"/>
      <c r="K21" s="816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5327</v>
      </c>
      <c r="I36" s="481" t="s">
        <v>5356</v>
      </c>
      <c r="J36" s="481" t="s">
        <v>5328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5366</v>
      </c>
      <c r="I37" s="481" t="s">
        <v>5356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5327</v>
      </c>
      <c r="I38" s="481" t="s">
        <v>5356</v>
      </c>
      <c r="J38" s="481" t="s">
        <v>5328</v>
      </c>
      <c r="K38" s="137" t="s">
        <v>15</v>
      </c>
      <c r="L38" s="483">
        <v>6</v>
      </c>
      <c r="M38" s="483"/>
      <c r="N38" s="558"/>
      <c r="O38" s="455" t="s">
        <v>5367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5279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5367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5369</v>
      </c>
      <c r="I40" s="481" t="s">
        <v>5357</v>
      </c>
      <c r="J40" s="481" t="s">
        <v>5361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5334</v>
      </c>
      <c r="G41" s="16" t="s">
        <v>206</v>
      </c>
      <c r="H41" s="481" t="s">
        <v>5363</v>
      </c>
      <c r="I41" s="482"/>
      <c r="J41" s="481" t="s">
        <v>5362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5359</v>
      </c>
      <c r="G42" s="16" t="s">
        <v>206</v>
      </c>
      <c r="H42" s="481" t="s">
        <v>5364</v>
      </c>
      <c r="I42" s="482" t="s">
        <v>90</v>
      </c>
      <c r="J42" s="482" t="s">
        <v>5341</v>
      </c>
      <c r="K42" s="137" t="s">
        <v>15</v>
      </c>
      <c r="L42" s="8">
        <v>3</v>
      </c>
      <c r="M42" s="8"/>
      <c r="N42" s="558"/>
      <c r="O42" s="455" t="s">
        <v>5367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5279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5368</v>
      </c>
      <c r="D44" s="3" t="s">
        <v>5373</v>
      </c>
      <c r="E44" s="482" t="s">
        <v>5374</v>
      </c>
      <c r="F44" s="482" t="s">
        <v>5375</v>
      </c>
      <c r="G44" s="487" t="s">
        <v>5376</v>
      </c>
      <c r="H44" s="481" t="s">
        <v>5377</v>
      </c>
      <c r="I44" s="481" t="s">
        <v>5355</v>
      </c>
      <c r="J44" s="481" t="s">
        <v>5408</v>
      </c>
      <c r="K44" s="564" t="s">
        <v>15</v>
      </c>
      <c r="L44" s="483">
        <v>3</v>
      </c>
      <c r="M44" s="483"/>
      <c r="N44" s="555"/>
      <c r="O44" s="455" t="s">
        <v>5367</v>
      </c>
    </row>
  </sheetData>
  <mergeCells count="18"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3:K13"/>
    <mergeCell ref="A21:K21"/>
    <mergeCell ref="B20:K20"/>
    <mergeCell ref="A4:A13"/>
    <mergeCell ref="A14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36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3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3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3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3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3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3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3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50" t="s">
        <v>53</v>
      </c>
      <c r="B21" s="650"/>
      <c r="C21" s="650"/>
      <c r="D21" s="650"/>
      <c r="E21" s="650"/>
      <c r="F21" s="650"/>
      <c r="G21" s="650"/>
      <c r="H21" s="650"/>
      <c r="I21" s="65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39" t="s">
        <v>53</v>
      </c>
      <c r="B26" s="840"/>
      <c r="C26" s="840"/>
      <c r="D26" s="840"/>
      <c r="E26" s="840"/>
      <c r="F26" s="840"/>
      <c r="G26" s="840"/>
      <c r="H26" s="840"/>
      <c r="I26" s="84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3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3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3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3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3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39" t="s">
        <v>53</v>
      </c>
      <c r="B35" s="840"/>
      <c r="C35" s="840"/>
      <c r="D35" s="840"/>
      <c r="E35" s="840"/>
      <c r="F35" s="840"/>
      <c r="G35" s="840"/>
      <c r="H35" s="840"/>
      <c r="I35" s="84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36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37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38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39" t="s">
        <v>53</v>
      </c>
      <c r="B42" s="840"/>
      <c r="C42" s="840"/>
      <c r="D42" s="840"/>
      <c r="E42" s="840"/>
      <c r="F42" s="840"/>
      <c r="G42" s="840"/>
      <c r="H42" s="840"/>
      <c r="I42" s="84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39" t="s">
        <v>53</v>
      </c>
      <c r="B48" s="840"/>
      <c r="C48" s="840"/>
      <c r="D48" s="840"/>
      <c r="E48" s="840"/>
      <c r="F48" s="840"/>
      <c r="G48" s="840"/>
      <c r="H48" s="840"/>
      <c r="I48" s="84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3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3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39" t="s">
        <v>53</v>
      </c>
      <c r="B54" s="840"/>
      <c r="C54" s="840"/>
      <c r="D54" s="840"/>
      <c r="E54" s="840"/>
      <c r="F54" s="840"/>
      <c r="G54" s="840"/>
      <c r="H54" s="840"/>
      <c r="I54" s="84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36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3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3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37"/>
      <c r="B61" s="871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37"/>
      <c r="B62" s="872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37"/>
      <c r="B63" s="873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39" t="s">
        <v>53</v>
      </c>
      <c r="B64" s="840"/>
      <c r="C64" s="840"/>
      <c r="D64" s="840"/>
      <c r="E64" s="840"/>
      <c r="F64" s="840"/>
      <c r="G64" s="840"/>
      <c r="H64" s="840"/>
      <c r="I64" s="84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7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68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39" t="s">
        <v>53</v>
      </c>
      <c r="B70" s="840"/>
      <c r="C70" s="840"/>
      <c r="D70" s="840"/>
      <c r="E70" s="840"/>
      <c r="F70" s="840"/>
      <c r="G70" s="840"/>
      <c r="H70" s="840"/>
      <c r="I70" s="84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36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37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50" t="s">
        <v>53</v>
      </c>
      <c r="B78" s="650"/>
      <c r="C78" s="650"/>
      <c r="D78" s="650"/>
      <c r="E78" s="650"/>
      <c r="F78" s="650"/>
      <c r="G78" s="650"/>
      <c r="H78" s="650"/>
      <c r="I78" s="65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37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37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37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37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39" t="s">
        <v>53</v>
      </c>
      <c r="B86" s="840"/>
      <c r="C86" s="840"/>
      <c r="D86" s="840"/>
      <c r="E86" s="840"/>
      <c r="F86" s="840"/>
      <c r="G86" s="840"/>
      <c r="H86" s="840"/>
      <c r="I86" s="84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39" t="s">
        <v>53</v>
      </c>
      <c r="B92" s="840"/>
      <c r="C92" s="840"/>
      <c r="D92" s="840"/>
      <c r="E92" s="840"/>
      <c r="F92" s="840"/>
      <c r="G92" s="840"/>
      <c r="H92" s="840"/>
      <c r="I92" s="84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37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37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37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37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39" t="s">
        <v>53</v>
      </c>
      <c r="B101" s="840"/>
      <c r="C101" s="840"/>
      <c r="D101" s="840"/>
      <c r="E101" s="840"/>
      <c r="F101" s="840"/>
      <c r="G101" s="840"/>
      <c r="H101" s="840"/>
      <c r="I101" s="84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36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37"/>
      <c r="B107" s="86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37"/>
      <c r="B108" s="866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3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3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3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50" t="s">
        <v>53</v>
      </c>
      <c r="B112" s="650"/>
      <c r="C112" s="650"/>
      <c r="D112" s="650"/>
      <c r="E112" s="650"/>
      <c r="F112" s="650"/>
      <c r="G112" s="650"/>
      <c r="H112" s="650"/>
      <c r="I112" s="65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63" t="s">
        <v>955</v>
      </c>
      <c r="B119" s="678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64"/>
      <c r="B120" s="680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50" t="s">
        <v>53</v>
      </c>
      <c r="B121" s="650"/>
      <c r="C121" s="650"/>
      <c r="D121" s="650"/>
      <c r="E121" s="650"/>
      <c r="F121" s="650"/>
      <c r="G121" s="650"/>
      <c r="H121" s="650"/>
      <c r="I121" s="65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63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64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64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64"/>
      <c r="B129" s="87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69" t="s">
        <v>90</v>
      </c>
      <c r="J129" s="857">
        <v>2</v>
      </c>
      <c r="K129" s="25" t="s">
        <v>52</v>
      </c>
      <c r="L129" s="25" t="s">
        <v>51</v>
      </c>
    </row>
    <row r="130" spans="1:12">
      <c r="A130" s="664"/>
      <c r="B130" s="87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69"/>
      <c r="J130" s="858"/>
      <c r="K130" s="25" t="s">
        <v>52</v>
      </c>
      <c r="L130" s="25" t="s">
        <v>51</v>
      </c>
    </row>
    <row r="131" spans="1:12">
      <c r="A131" s="664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64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64"/>
      <c r="B133" s="744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85" t="s">
        <v>1278</v>
      </c>
      <c r="J133" s="857">
        <v>1</v>
      </c>
      <c r="K133" s="25" t="s">
        <v>52</v>
      </c>
      <c r="L133" s="25" t="s">
        <v>51</v>
      </c>
    </row>
    <row r="134" spans="1:12">
      <c r="A134" s="664"/>
      <c r="B134" s="746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52"/>
      <c r="J134" s="858"/>
      <c r="K134" s="25" t="s">
        <v>52</v>
      </c>
      <c r="L134" s="25" t="s">
        <v>51</v>
      </c>
    </row>
    <row r="135" spans="1:12">
      <c r="A135" s="664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65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50" t="s">
        <v>53</v>
      </c>
      <c r="B137" s="650"/>
      <c r="C137" s="650"/>
      <c r="D137" s="650"/>
      <c r="E137" s="650"/>
      <c r="F137" s="650"/>
      <c r="G137" s="650"/>
      <c r="H137" s="650"/>
      <c r="I137" s="65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64" t="s">
        <v>1008</v>
      </c>
      <c r="B142" s="744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64"/>
      <c r="B143" s="74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64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50" t="s">
        <v>53</v>
      </c>
      <c r="B145" s="650"/>
      <c r="C145" s="650"/>
      <c r="D145" s="650"/>
      <c r="E145" s="650"/>
      <c r="F145" s="650"/>
      <c r="G145" s="650"/>
      <c r="H145" s="650"/>
      <c r="I145" s="65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74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74"/>
      <c r="B150" s="678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74"/>
      <c r="B151" s="680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74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74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31" t="s">
        <v>53</v>
      </c>
      <c r="B154" s="831"/>
      <c r="C154" s="831"/>
      <c r="D154" s="831"/>
      <c r="E154" s="831"/>
      <c r="F154" s="831"/>
      <c r="G154" s="831"/>
      <c r="H154" s="831"/>
      <c r="I154" s="83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63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64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64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64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65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50" t="s">
        <v>53</v>
      </c>
      <c r="B163" s="650"/>
      <c r="C163" s="650"/>
      <c r="D163" s="650"/>
      <c r="E163" s="650"/>
      <c r="F163" s="650"/>
      <c r="G163" s="650"/>
      <c r="H163" s="650"/>
      <c r="I163" s="65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31" t="s">
        <v>53</v>
      </c>
      <c r="B167" s="831"/>
      <c r="C167" s="831"/>
      <c r="D167" s="831"/>
      <c r="E167" s="831"/>
      <c r="F167" s="831"/>
      <c r="G167" s="831"/>
      <c r="H167" s="831"/>
      <c r="I167" s="83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63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64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64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64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64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64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64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64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64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65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50" t="s">
        <v>53</v>
      </c>
      <c r="B183" s="650"/>
      <c r="C183" s="650"/>
      <c r="D183" s="650"/>
      <c r="E183" s="650"/>
      <c r="F183" s="650"/>
      <c r="G183" s="650"/>
      <c r="H183" s="650"/>
      <c r="I183" s="65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98" t="s">
        <v>1062</v>
      </c>
      <c r="B189" s="678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99"/>
      <c r="B190" s="68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99"/>
      <c r="B191" s="678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99"/>
      <c r="B192" s="68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50" t="s">
        <v>53</v>
      </c>
      <c r="B193" s="650"/>
      <c r="C193" s="650"/>
      <c r="D193" s="650"/>
      <c r="E193" s="650"/>
      <c r="F193" s="650"/>
      <c r="G193" s="650"/>
      <c r="H193" s="650"/>
      <c r="I193" s="65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1" t="s">
        <v>53</v>
      </c>
      <c r="B203" s="831"/>
      <c r="C203" s="831"/>
      <c r="D203" s="831"/>
      <c r="E203" s="831"/>
      <c r="F203" s="831"/>
      <c r="G203" s="831"/>
      <c r="H203" s="831"/>
      <c r="I203" s="83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3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3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3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1" t="s">
        <v>53</v>
      </c>
      <c r="B214" s="831"/>
      <c r="C214" s="831"/>
      <c r="D214" s="831"/>
      <c r="E214" s="831"/>
      <c r="F214" s="831"/>
      <c r="G214" s="831"/>
      <c r="H214" s="831"/>
      <c r="I214" s="83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3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3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3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3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3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3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31" t="s">
        <v>1460</v>
      </c>
      <c r="B226" s="831"/>
      <c r="C226" s="831"/>
      <c r="D226" s="831"/>
      <c r="E226" s="831"/>
      <c r="F226" s="831"/>
      <c r="G226" s="831"/>
      <c r="H226" s="831"/>
      <c r="I226" s="83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3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3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3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3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3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3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3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31" t="s">
        <v>1501</v>
      </c>
      <c r="B236" s="831"/>
      <c r="C236" s="831"/>
      <c r="D236" s="831"/>
      <c r="E236" s="831"/>
      <c r="F236" s="831"/>
      <c r="G236" s="831"/>
      <c r="H236" s="831"/>
      <c r="I236" s="83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37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37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37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37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39" t="s">
        <v>53</v>
      </c>
      <c r="B244" s="840"/>
      <c r="C244" s="840"/>
      <c r="D244" s="840"/>
      <c r="E244" s="840"/>
      <c r="F244" s="840"/>
      <c r="G244" s="840"/>
      <c r="H244" s="840"/>
      <c r="I244" s="84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3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3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3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39" t="s">
        <v>53</v>
      </c>
      <c r="B250" s="840"/>
      <c r="C250" s="840"/>
      <c r="D250" s="840"/>
      <c r="E250" s="840"/>
      <c r="F250" s="840"/>
      <c r="G250" s="840"/>
      <c r="H250" s="840"/>
      <c r="I250" s="84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37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37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37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37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39" t="s">
        <v>53</v>
      </c>
      <c r="B257" s="840"/>
      <c r="C257" s="840"/>
      <c r="D257" s="840"/>
      <c r="E257" s="840"/>
      <c r="F257" s="840"/>
      <c r="G257" s="840"/>
      <c r="H257" s="840"/>
      <c r="I257" s="84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78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78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39" t="s">
        <v>53</v>
      </c>
      <c r="B262" s="840"/>
      <c r="C262" s="840"/>
      <c r="D262" s="840"/>
      <c r="E262" s="840"/>
      <c r="F262" s="840"/>
      <c r="G262" s="840"/>
      <c r="H262" s="840"/>
      <c r="I262" s="84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36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3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57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3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70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3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58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37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38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39" t="s">
        <v>53</v>
      </c>
      <c r="B271" s="840"/>
      <c r="C271" s="840"/>
      <c r="D271" s="840"/>
      <c r="E271" s="840"/>
      <c r="F271" s="840"/>
      <c r="G271" s="840"/>
      <c r="H271" s="840"/>
      <c r="I271" s="84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39" t="s">
        <v>53</v>
      </c>
      <c r="B275" s="840"/>
      <c r="C275" s="840"/>
      <c r="D275" s="840"/>
      <c r="E275" s="840"/>
      <c r="F275" s="840"/>
      <c r="G275" s="840"/>
      <c r="H275" s="840"/>
      <c r="I275" s="841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60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61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61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61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61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78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79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79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79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79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79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79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80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39" t="s">
        <v>1652</v>
      </c>
      <c r="B296" s="840"/>
      <c r="C296" s="840"/>
      <c r="D296" s="840"/>
      <c r="E296" s="840"/>
      <c r="F296" s="840"/>
      <c r="G296" s="840"/>
      <c r="H296" s="840"/>
      <c r="I296" s="840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3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3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3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3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31" t="s">
        <v>1665</v>
      </c>
      <c r="B305" s="831"/>
      <c r="C305" s="831"/>
      <c r="D305" s="831"/>
      <c r="E305" s="831"/>
      <c r="F305" s="831"/>
      <c r="G305" s="831"/>
      <c r="H305" s="831"/>
      <c r="I305" s="83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31" t="s">
        <v>53</v>
      </c>
      <c r="B309" s="831"/>
      <c r="C309" s="831"/>
      <c r="D309" s="831"/>
      <c r="E309" s="831"/>
      <c r="F309" s="831"/>
      <c r="G309" s="831"/>
      <c r="H309" s="831"/>
      <c r="I309" s="83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3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3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31" t="s">
        <v>1665</v>
      </c>
      <c r="B314" s="831"/>
      <c r="C314" s="831"/>
      <c r="D314" s="831"/>
      <c r="E314" s="831"/>
      <c r="F314" s="831"/>
      <c r="G314" s="831"/>
      <c r="H314" s="831"/>
      <c r="I314" s="83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3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1" t="s">
        <v>1665</v>
      </c>
      <c r="B321" s="831"/>
      <c r="C321" s="831"/>
      <c r="D321" s="831"/>
      <c r="E321" s="831"/>
      <c r="F321" s="831"/>
      <c r="G321" s="831"/>
      <c r="H321" s="831"/>
      <c r="I321" s="83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3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3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3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1" t="s">
        <v>1665</v>
      </c>
      <c r="B330" s="831"/>
      <c r="C330" s="831"/>
      <c r="D330" s="831"/>
      <c r="E330" s="831"/>
      <c r="F330" s="831"/>
      <c r="G330" s="831"/>
      <c r="H330" s="831"/>
      <c r="I330" s="83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60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61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61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61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61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31" t="s">
        <v>1665</v>
      </c>
      <c r="B338" s="831"/>
      <c r="C338" s="831"/>
      <c r="D338" s="831"/>
      <c r="E338" s="831"/>
      <c r="F338" s="831"/>
      <c r="G338" s="831"/>
      <c r="H338" s="831"/>
      <c r="I338" s="83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9" t="s">
        <v>1523</v>
      </c>
      <c r="B343" s="129" t="s">
        <v>1533</v>
      </c>
      <c r="C343" s="780" t="s">
        <v>307</v>
      </c>
      <c r="D343" s="780" t="s">
        <v>323</v>
      </c>
      <c r="E343" s="651" t="s">
        <v>308</v>
      </c>
      <c r="F343" s="882">
        <v>4266</v>
      </c>
      <c r="G343" s="780" t="s">
        <v>641</v>
      </c>
      <c r="H343" s="882" t="s">
        <v>1535</v>
      </c>
      <c r="I343" s="780" t="s">
        <v>1536</v>
      </c>
      <c r="J343" s="651">
        <v>2</v>
      </c>
      <c r="K343" s="836" t="s">
        <v>50</v>
      </c>
      <c r="L343" s="836" t="s">
        <v>51</v>
      </c>
    </row>
    <row r="344" spans="1:14">
      <c r="A344" s="880"/>
      <c r="B344" s="130" t="s">
        <v>1534</v>
      </c>
      <c r="C344" s="652"/>
      <c r="D344" s="652"/>
      <c r="E344" s="652"/>
      <c r="F344" s="654"/>
      <c r="G344" s="652"/>
      <c r="H344" s="654"/>
      <c r="I344" s="652"/>
      <c r="J344" s="652"/>
      <c r="K344" s="838"/>
      <c r="L344" s="838"/>
    </row>
    <row r="345" spans="1:14">
      <c r="A345" s="880"/>
      <c r="B345" s="129" t="s">
        <v>1538</v>
      </c>
      <c r="C345" s="651" t="s">
        <v>307</v>
      </c>
      <c r="D345" s="651" t="s">
        <v>323</v>
      </c>
      <c r="E345" s="651" t="s">
        <v>308</v>
      </c>
      <c r="F345" s="653">
        <v>3306</v>
      </c>
      <c r="G345" s="651" t="s">
        <v>1154</v>
      </c>
      <c r="H345" s="653" t="s">
        <v>1540</v>
      </c>
      <c r="I345" s="651" t="s">
        <v>1536</v>
      </c>
      <c r="J345" s="651">
        <v>2</v>
      </c>
      <c r="K345" s="836" t="s">
        <v>50</v>
      </c>
      <c r="L345" s="836" t="s">
        <v>51</v>
      </c>
    </row>
    <row r="346" spans="1:14">
      <c r="A346" s="881"/>
      <c r="B346" s="130" t="s">
        <v>1539</v>
      </c>
      <c r="C346" s="652"/>
      <c r="D346" s="652"/>
      <c r="E346" s="652"/>
      <c r="F346" s="654"/>
      <c r="G346" s="652"/>
      <c r="H346" s="654"/>
      <c r="I346" s="652"/>
      <c r="J346" s="652"/>
      <c r="K346" s="838"/>
      <c r="L346" s="838"/>
    </row>
    <row r="347" spans="1:14">
      <c r="A347" s="839" t="s">
        <v>53</v>
      </c>
      <c r="B347" s="840"/>
      <c r="C347" s="840"/>
      <c r="D347" s="840"/>
      <c r="E347" s="840"/>
      <c r="F347" s="840"/>
      <c r="G347" s="840"/>
      <c r="H347" s="840"/>
      <c r="I347" s="84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63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64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64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64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64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64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64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50" t="s">
        <v>53</v>
      </c>
      <c r="B357" s="650"/>
      <c r="C357" s="650"/>
      <c r="D357" s="650"/>
      <c r="E357" s="650"/>
      <c r="F357" s="650"/>
      <c r="G357" s="650"/>
      <c r="H357" s="650"/>
      <c r="I357" s="650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31" t="s">
        <v>1460</v>
      </c>
      <c r="B361" s="831"/>
      <c r="C361" s="831"/>
      <c r="D361" s="831"/>
      <c r="E361" s="831"/>
      <c r="F361" s="831"/>
      <c r="G361" s="831"/>
      <c r="H361" s="831"/>
      <c r="I361" s="83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74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1" t="s">
        <v>1665</v>
      </c>
      <c r="B370" s="831"/>
      <c r="C370" s="831"/>
      <c r="D370" s="831"/>
      <c r="E370" s="831"/>
      <c r="F370" s="831"/>
      <c r="G370" s="831"/>
      <c r="H370" s="831"/>
      <c r="I370" s="83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60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61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61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61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61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50" t="s">
        <v>1652</v>
      </c>
      <c r="B378" s="650"/>
      <c r="C378" s="650"/>
      <c r="D378" s="650"/>
      <c r="E378" s="650"/>
      <c r="F378" s="650"/>
      <c r="G378" s="650"/>
      <c r="H378" s="650"/>
      <c r="I378" s="650"/>
      <c r="J378" s="650"/>
      <c r="K378" s="4">
        <v>25</v>
      </c>
      <c r="L378" s="55"/>
    </row>
    <row r="381" spans="1:13">
      <c r="B381" s="862" t="s">
        <v>1</v>
      </c>
      <c r="C381" s="862" t="s">
        <v>2</v>
      </c>
      <c r="D381" s="862" t="s">
        <v>3</v>
      </c>
      <c r="E381" s="36" t="s">
        <v>54</v>
      </c>
      <c r="F381" s="862" t="s">
        <v>5</v>
      </c>
      <c r="G381" s="862" t="s">
        <v>6</v>
      </c>
      <c r="H381" s="862" t="s">
        <v>7</v>
      </c>
      <c r="I381" s="862" t="s">
        <v>55</v>
      </c>
      <c r="J381" s="862" t="s">
        <v>9</v>
      </c>
      <c r="K381" s="864" t="s">
        <v>56</v>
      </c>
      <c r="L381" s="862" t="s">
        <v>57</v>
      </c>
    </row>
    <row r="382" spans="1:13">
      <c r="B382" s="863"/>
      <c r="C382" s="863"/>
      <c r="D382" s="863"/>
      <c r="E382" s="37" t="s">
        <v>59</v>
      </c>
      <c r="F382" s="863"/>
      <c r="G382" s="863"/>
      <c r="H382" s="863"/>
      <c r="I382" s="863"/>
      <c r="J382" s="863"/>
      <c r="K382" s="865"/>
      <c r="L382" s="863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31" t="s">
        <v>53</v>
      </c>
      <c r="B394" s="831"/>
      <c r="C394" s="831"/>
      <c r="D394" s="831"/>
      <c r="E394" s="831"/>
      <c r="F394" s="831"/>
      <c r="G394" s="831"/>
      <c r="H394" s="831"/>
      <c r="I394" s="83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60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61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61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61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31" t="s">
        <v>53</v>
      </c>
      <c r="B401" s="831"/>
      <c r="C401" s="831"/>
      <c r="D401" s="831"/>
      <c r="E401" s="831"/>
      <c r="F401" s="831"/>
      <c r="G401" s="831"/>
      <c r="H401" s="831"/>
      <c r="I401" s="83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54" t="s">
        <v>230</v>
      </c>
      <c r="B405" s="847" t="s">
        <v>1811</v>
      </c>
      <c r="C405" s="847" t="s">
        <v>701</v>
      </c>
      <c r="D405" s="843" t="s">
        <v>676</v>
      </c>
      <c r="E405" s="847" t="s">
        <v>1812</v>
      </c>
      <c r="F405" s="847" t="s">
        <v>1813</v>
      </c>
      <c r="G405" s="847" t="s">
        <v>663</v>
      </c>
      <c r="H405" s="848" t="s">
        <v>1814</v>
      </c>
      <c r="I405" s="843"/>
      <c r="J405" s="848">
        <v>1</v>
      </c>
      <c r="K405" s="836" t="s">
        <v>632</v>
      </c>
      <c r="L405" s="658" t="s">
        <v>51</v>
      </c>
      <c r="M405">
        <v>19</v>
      </c>
    </row>
    <row r="406" spans="1:13" ht="13.5" customHeight="1">
      <c r="A406" s="854"/>
      <c r="B406" s="847"/>
      <c r="C406" s="847"/>
      <c r="D406" s="843"/>
      <c r="E406" s="847"/>
      <c r="F406" s="847"/>
      <c r="G406" s="847"/>
      <c r="H406" s="848"/>
      <c r="I406" s="843"/>
      <c r="J406" s="848"/>
      <c r="K406" s="838"/>
      <c r="L406" s="660"/>
      <c r="M406">
        <v>18</v>
      </c>
    </row>
    <row r="407" spans="1:13" ht="27" customHeight="1">
      <c r="A407" s="854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54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54" t="s">
        <v>1652</v>
      </c>
      <c r="B409" s="854"/>
      <c r="C409" s="854"/>
      <c r="D409" s="854"/>
      <c r="E409" s="854"/>
      <c r="F409" s="854"/>
      <c r="G409" s="854"/>
      <c r="H409" s="854"/>
      <c r="I409" s="85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54" t="s">
        <v>2014</v>
      </c>
      <c r="B412" s="859" t="s">
        <v>2015</v>
      </c>
      <c r="C412" s="836" t="s">
        <v>21</v>
      </c>
      <c r="D412" s="737" t="s">
        <v>14</v>
      </c>
      <c r="E412" s="836" t="s">
        <v>78</v>
      </c>
      <c r="F412" s="847" t="s">
        <v>2016</v>
      </c>
      <c r="G412" s="847" t="s">
        <v>40</v>
      </c>
      <c r="H412" s="848" t="s">
        <v>615</v>
      </c>
      <c r="I412" s="843"/>
      <c r="J412" s="848">
        <v>1</v>
      </c>
      <c r="K412" s="836" t="s">
        <v>2017</v>
      </c>
      <c r="L412" s="658" t="s">
        <v>2003</v>
      </c>
      <c r="M412">
        <v>19</v>
      </c>
    </row>
    <row r="413" spans="1:13" ht="20.100000000000001" customHeight="1">
      <c r="A413" s="854"/>
      <c r="B413" s="847"/>
      <c r="C413" s="838"/>
      <c r="D413" s="739"/>
      <c r="E413" s="838"/>
      <c r="F413" s="847"/>
      <c r="G413" s="847"/>
      <c r="H413" s="848"/>
      <c r="I413" s="843"/>
      <c r="J413" s="848"/>
      <c r="K413" s="838"/>
      <c r="L413" s="660"/>
      <c r="M413">
        <v>18</v>
      </c>
    </row>
    <row r="414" spans="1:13" ht="20.100000000000001" customHeight="1">
      <c r="A414" s="854" t="s">
        <v>1652</v>
      </c>
      <c r="B414" s="854"/>
      <c r="C414" s="854"/>
      <c r="D414" s="854"/>
      <c r="E414" s="854"/>
      <c r="F414" s="854"/>
      <c r="G414" s="854"/>
      <c r="H414" s="854"/>
      <c r="I414" s="85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658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659"/>
      <c r="B418" s="79" t="s">
        <v>1754</v>
      </c>
      <c r="C418" s="843" t="s">
        <v>307</v>
      </c>
      <c r="D418" s="843" t="s">
        <v>323</v>
      </c>
      <c r="E418" s="843" t="s">
        <v>308</v>
      </c>
      <c r="F418" s="848">
        <v>3306</v>
      </c>
      <c r="G418" s="843" t="s">
        <v>1154</v>
      </c>
      <c r="H418" s="848" t="s">
        <v>1755</v>
      </c>
      <c r="I418" s="843" t="s">
        <v>665</v>
      </c>
      <c r="J418" s="843">
        <v>4</v>
      </c>
      <c r="K418" s="836" t="s">
        <v>632</v>
      </c>
      <c r="L418" s="658" t="s">
        <v>51</v>
      </c>
      <c r="M418">
        <v>18</v>
      </c>
    </row>
    <row r="419" spans="1:13" ht="13.5" customHeight="1">
      <c r="A419" s="659"/>
      <c r="B419" s="80" t="s">
        <v>1757</v>
      </c>
      <c r="C419" s="843"/>
      <c r="D419" s="843"/>
      <c r="E419" s="843"/>
      <c r="F419" s="848"/>
      <c r="G419" s="843"/>
      <c r="H419" s="848"/>
      <c r="I419" s="843"/>
      <c r="J419" s="843"/>
      <c r="K419" s="838"/>
      <c r="L419" s="660"/>
    </row>
    <row r="420" spans="1:13" ht="13.5" customHeight="1">
      <c r="A420" s="659"/>
      <c r="B420" s="79" t="s">
        <v>1806</v>
      </c>
      <c r="C420" s="843" t="s">
        <v>307</v>
      </c>
      <c r="D420" s="843" t="s">
        <v>323</v>
      </c>
      <c r="E420" s="843" t="s">
        <v>308</v>
      </c>
      <c r="F420" s="848" t="s">
        <v>1807</v>
      </c>
      <c r="G420" s="843" t="s">
        <v>1808</v>
      </c>
      <c r="H420" s="848" t="s">
        <v>1809</v>
      </c>
      <c r="I420" s="843" t="s">
        <v>665</v>
      </c>
      <c r="J420" s="843">
        <v>5</v>
      </c>
      <c r="K420" s="836" t="s">
        <v>632</v>
      </c>
      <c r="L420" s="658" t="s">
        <v>51</v>
      </c>
      <c r="M420">
        <v>19</v>
      </c>
    </row>
    <row r="421" spans="1:13" ht="13.5" customHeight="1">
      <c r="A421" s="659"/>
      <c r="B421" s="80" t="s">
        <v>1801</v>
      </c>
      <c r="C421" s="843"/>
      <c r="D421" s="843"/>
      <c r="E421" s="843"/>
      <c r="F421" s="848"/>
      <c r="G421" s="843"/>
      <c r="H421" s="848"/>
      <c r="I421" s="843"/>
      <c r="J421" s="843"/>
      <c r="K421" s="838"/>
      <c r="L421" s="660"/>
    </row>
    <row r="422" spans="1:13" ht="27" customHeight="1">
      <c r="A422" s="660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54" t="s">
        <v>1652</v>
      </c>
      <c r="B423" s="854"/>
      <c r="C423" s="854"/>
      <c r="D423" s="854"/>
      <c r="E423" s="854"/>
      <c r="F423" s="854"/>
      <c r="G423" s="854"/>
      <c r="H423" s="854"/>
      <c r="I423" s="85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49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50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50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50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31" t="s">
        <v>1652</v>
      </c>
      <c r="B431" s="831"/>
      <c r="C431" s="831"/>
      <c r="D431" s="831"/>
      <c r="E431" s="831"/>
      <c r="F431" s="831"/>
      <c r="G431" s="831"/>
      <c r="H431" s="831"/>
      <c r="I431" s="83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50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51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31" t="s">
        <v>1652</v>
      </c>
      <c r="B435" s="831"/>
      <c r="C435" s="831"/>
      <c r="D435" s="831"/>
      <c r="E435" s="831"/>
      <c r="F435" s="831"/>
      <c r="G435" s="831"/>
      <c r="H435" s="831"/>
      <c r="I435" s="83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78" t="s">
        <v>2033</v>
      </c>
      <c r="B438" s="260" t="s">
        <v>1766</v>
      </c>
      <c r="C438" s="742" t="s">
        <v>307</v>
      </c>
      <c r="D438" s="742" t="s">
        <v>323</v>
      </c>
      <c r="E438" s="742" t="s">
        <v>308</v>
      </c>
      <c r="F438" s="855" t="s">
        <v>1767</v>
      </c>
      <c r="G438" s="742" t="s">
        <v>330</v>
      </c>
      <c r="H438" s="857" t="s">
        <v>1768</v>
      </c>
      <c r="I438" s="725" t="s">
        <v>665</v>
      </c>
      <c r="J438" s="852">
        <v>2</v>
      </c>
      <c r="K438" s="836" t="s">
        <v>2002</v>
      </c>
      <c r="L438" s="836" t="s">
        <v>51</v>
      </c>
      <c r="M438">
        <v>18</v>
      </c>
    </row>
    <row r="439" spans="1:13" ht="13.5" customHeight="1">
      <c r="A439" s="679"/>
      <c r="B439" s="261" t="s">
        <v>2034</v>
      </c>
      <c r="C439" s="743"/>
      <c r="D439" s="743"/>
      <c r="E439" s="743"/>
      <c r="F439" s="856"/>
      <c r="G439" s="743"/>
      <c r="H439" s="858"/>
      <c r="I439" s="726"/>
      <c r="J439" s="853"/>
      <c r="K439" s="838"/>
      <c r="L439" s="838"/>
    </row>
    <row r="440" spans="1:13" ht="13.5" customHeight="1">
      <c r="A440" s="679"/>
      <c r="B440" s="262" t="s">
        <v>1800</v>
      </c>
      <c r="C440" s="795" t="s">
        <v>307</v>
      </c>
      <c r="D440" s="795" t="s">
        <v>323</v>
      </c>
      <c r="E440" s="795" t="s">
        <v>308</v>
      </c>
      <c r="F440" s="797" t="s">
        <v>1802</v>
      </c>
      <c r="G440" s="795" t="s">
        <v>1803</v>
      </c>
      <c r="H440" s="797" t="s">
        <v>1798</v>
      </c>
      <c r="I440" s="795" t="s">
        <v>665</v>
      </c>
      <c r="J440" s="651">
        <v>4</v>
      </c>
      <c r="K440" s="836" t="s">
        <v>632</v>
      </c>
      <c r="L440" s="836" t="s">
        <v>2003</v>
      </c>
      <c r="M440">
        <v>19</v>
      </c>
    </row>
    <row r="441" spans="1:13" ht="13.5" customHeight="1">
      <c r="A441" s="679"/>
      <c r="B441" s="263" t="s">
        <v>1801</v>
      </c>
      <c r="C441" s="795"/>
      <c r="D441" s="795"/>
      <c r="E441" s="795"/>
      <c r="F441" s="797"/>
      <c r="G441" s="795"/>
      <c r="H441" s="797"/>
      <c r="I441" s="795"/>
      <c r="J441" s="652"/>
      <c r="K441" s="838"/>
      <c r="L441" s="838"/>
    </row>
    <row r="442" spans="1:13" ht="20.100000000000001" customHeight="1">
      <c r="A442" s="679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79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79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79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79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79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79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80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39" t="s">
        <v>1652</v>
      </c>
      <c r="B450" s="840"/>
      <c r="C450" s="840"/>
      <c r="D450" s="840"/>
      <c r="E450" s="840"/>
      <c r="F450" s="840"/>
      <c r="G450" s="840"/>
      <c r="H450" s="840"/>
      <c r="I450" s="840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63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64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64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50" t="s">
        <v>2065</v>
      </c>
      <c r="B459" s="650"/>
      <c r="C459" s="650"/>
      <c r="D459" s="650"/>
      <c r="E459" s="650"/>
      <c r="F459" s="650"/>
      <c r="G459" s="650"/>
      <c r="H459" s="650"/>
      <c r="I459" s="650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49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50"/>
      <c r="B463" s="844" t="s">
        <v>1773</v>
      </c>
      <c r="C463" s="845" t="s">
        <v>312</v>
      </c>
      <c r="D463" s="845" t="s">
        <v>321</v>
      </c>
      <c r="E463" s="845" t="s">
        <v>710</v>
      </c>
      <c r="F463" s="845" t="s">
        <v>1774</v>
      </c>
      <c r="G463" s="844" t="s">
        <v>1775</v>
      </c>
      <c r="H463" s="266" t="s">
        <v>1776</v>
      </c>
      <c r="I463" s="845"/>
      <c r="J463" s="845">
        <v>1</v>
      </c>
      <c r="K463" s="737" t="s">
        <v>632</v>
      </c>
      <c r="L463" s="769" t="s">
        <v>51</v>
      </c>
      <c r="M463">
        <v>18</v>
      </c>
    </row>
    <row r="464" spans="1:13" ht="13.5" customHeight="1">
      <c r="A464" s="850"/>
      <c r="B464" s="844"/>
      <c r="C464" s="845"/>
      <c r="D464" s="845"/>
      <c r="E464" s="845"/>
      <c r="F464" s="845"/>
      <c r="G464" s="844"/>
      <c r="H464" s="267" t="s">
        <v>1779</v>
      </c>
      <c r="I464" s="845"/>
      <c r="J464" s="845"/>
      <c r="K464" s="739"/>
      <c r="L464" s="770"/>
    </row>
    <row r="465" spans="1:13" ht="13.5" customHeight="1">
      <c r="A465" s="850"/>
      <c r="B465" s="846" t="s">
        <v>1819</v>
      </c>
      <c r="C465" s="847" t="s">
        <v>701</v>
      </c>
      <c r="D465" s="843" t="s">
        <v>321</v>
      </c>
      <c r="E465" s="843" t="s">
        <v>338</v>
      </c>
      <c r="F465" s="847" t="s">
        <v>354</v>
      </c>
      <c r="G465" s="847" t="s">
        <v>1820</v>
      </c>
      <c r="H465" s="848" t="s">
        <v>1821</v>
      </c>
      <c r="I465" s="843" t="s">
        <v>639</v>
      </c>
      <c r="J465" s="848">
        <v>2</v>
      </c>
      <c r="K465" s="836" t="s">
        <v>632</v>
      </c>
      <c r="L465" s="836" t="s">
        <v>51</v>
      </c>
      <c r="M465">
        <v>19</v>
      </c>
    </row>
    <row r="466" spans="1:13" ht="13.5" customHeight="1">
      <c r="A466" s="850"/>
      <c r="B466" s="846"/>
      <c r="C466" s="847"/>
      <c r="D466" s="843"/>
      <c r="E466" s="843"/>
      <c r="F466" s="847"/>
      <c r="G466" s="847"/>
      <c r="H466" s="848"/>
      <c r="I466" s="843"/>
      <c r="J466" s="848"/>
      <c r="K466" s="838"/>
      <c r="L466" s="838"/>
    </row>
    <row r="467" spans="1:13" ht="27" customHeight="1">
      <c r="A467" s="850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50"/>
      <c r="B468" s="847" t="s">
        <v>1826</v>
      </c>
      <c r="C468" s="847" t="s">
        <v>701</v>
      </c>
      <c r="D468" s="843" t="s">
        <v>321</v>
      </c>
      <c r="E468" s="843" t="s">
        <v>710</v>
      </c>
      <c r="F468" s="843" t="s">
        <v>1774</v>
      </c>
      <c r="G468" s="847" t="s">
        <v>1827</v>
      </c>
      <c r="H468" s="269" t="s">
        <v>1828</v>
      </c>
      <c r="I468" s="843" t="s">
        <v>639</v>
      </c>
      <c r="J468" s="843">
        <v>2</v>
      </c>
      <c r="K468" s="836" t="s">
        <v>632</v>
      </c>
      <c r="L468" s="836" t="s">
        <v>51</v>
      </c>
      <c r="M468">
        <v>19</v>
      </c>
    </row>
    <row r="469" spans="1:13" ht="13.5" customHeight="1">
      <c r="A469" s="850"/>
      <c r="B469" s="847"/>
      <c r="C469" s="847"/>
      <c r="D469" s="843"/>
      <c r="E469" s="843"/>
      <c r="F469" s="843"/>
      <c r="G469" s="847"/>
      <c r="H469" s="270" t="s">
        <v>1829</v>
      </c>
      <c r="I469" s="843"/>
      <c r="J469" s="843"/>
      <c r="K469" s="838"/>
      <c r="L469" s="838"/>
    </row>
    <row r="470" spans="1:13" ht="27" customHeight="1">
      <c r="A470" s="850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51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31" t="s">
        <v>53</v>
      </c>
      <c r="B472" s="831"/>
      <c r="C472" s="831"/>
      <c r="D472" s="831"/>
      <c r="E472" s="831"/>
      <c r="F472" s="831"/>
      <c r="G472" s="831"/>
      <c r="H472" s="831"/>
      <c r="I472" s="83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1" t="s">
        <v>229</v>
      </c>
      <c r="B476" s="844" t="s">
        <v>1773</v>
      </c>
      <c r="C476" s="845" t="s">
        <v>312</v>
      </c>
      <c r="D476" s="845" t="s">
        <v>321</v>
      </c>
      <c r="E476" s="845" t="s">
        <v>710</v>
      </c>
      <c r="F476" s="845" t="s">
        <v>1774</v>
      </c>
      <c r="G476" s="844" t="s">
        <v>1775</v>
      </c>
      <c r="H476" s="266" t="s">
        <v>1776</v>
      </c>
      <c r="I476" s="845"/>
      <c r="J476" s="845">
        <v>1</v>
      </c>
      <c r="K476" s="737" t="s">
        <v>632</v>
      </c>
      <c r="L476" s="769" t="s">
        <v>51</v>
      </c>
      <c r="M476">
        <v>18</v>
      </c>
    </row>
    <row r="477" spans="1:13" ht="13.5" customHeight="1">
      <c r="A477" s="831"/>
      <c r="B477" s="844"/>
      <c r="C477" s="845"/>
      <c r="D477" s="845"/>
      <c r="E477" s="845"/>
      <c r="F477" s="845"/>
      <c r="G477" s="844"/>
      <c r="H477" s="267" t="s">
        <v>1779</v>
      </c>
      <c r="I477" s="845"/>
      <c r="J477" s="845"/>
      <c r="K477" s="739"/>
      <c r="L477" s="770"/>
    </row>
    <row r="478" spans="1:13" ht="27" customHeight="1">
      <c r="A478" s="83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31" t="s">
        <v>1652</v>
      </c>
      <c r="B479" s="831"/>
      <c r="C479" s="831"/>
      <c r="D479" s="831"/>
      <c r="E479" s="831"/>
      <c r="F479" s="831"/>
      <c r="G479" s="831"/>
      <c r="H479" s="831"/>
      <c r="I479" s="83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36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37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38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39" t="s">
        <v>53</v>
      </c>
      <c r="B487" s="840"/>
      <c r="C487" s="840"/>
      <c r="D487" s="840"/>
      <c r="E487" s="840"/>
      <c r="F487" s="840"/>
      <c r="G487" s="840"/>
      <c r="H487" s="840"/>
      <c r="I487" s="841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33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34"/>
      <c r="B494" s="835" t="s">
        <v>2189</v>
      </c>
      <c r="C494" s="835" t="s">
        <v>307</v>
      </c>
      <c r="D494" s="835" t="s">
        <v>323</v>
      </c>
      <c r="E494" s="835" t="s">
        <v>308</v>
      </c>
      <c r="F494" s="842" t="s">
        <v>1925</v>
      </c>
      <c r="G494" s="835" t="s">
        <v>663</v>
      </c>
      <c r="H494" s="842" t="s">
        <v>1926</v>
      </c>
      <c r="I494" s="835" t="s">
        <v>350</v>
      </c>
      <c r="J494" s="835">
        <v>2</v>
      </c>
      <c r="K494" s="847" t="s">
        <v>50</v>
      </c>
      <c r="L494" s="230">
        <v>23</v>
      </c>
    </row>
    <row r="495" spans="1:13" ht="12.6" customHeight="1">
      <c r="A495" s="834"/>
      <c r="B495" s="835"/>
      <c r="C495" s="835"/>
      <c r="D495" s="835"/>
      <c r="E495" s="835"/>
      <c r="F495" s="842"/>
      <c r="G495" s="835"/>
      <c r="H495" s="842"/>
      <c r="I495" s="835"/>
      <c r="J495" s="835"/>
      <c r="K495" s="847"/>
    </row>
    <row r="496" spans="1:13" ht="24.95" customHeight="1">
      <c r="A496" s="834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34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34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34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31" t="s">
        <v>53</v>
      </c>
      <c r="B500" s="831"/>
      <c r="C500" s="831"/>
      <c r="D500" s="831"/>
      <c r="E500" s="831"/>
      <c r="F500" s="831"/>
      <c r="G500" s="831"/>
      <c r="H500" s="831"/>
      <c r="I500" s="83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50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50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50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50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50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31" t="s">
        <v>2224</v>
      </c>
      <c r="B511" s="831"/>
      <c r="C511" s="831"/>
      <c r="D511" s="831"/>
      <c r="E511" s="831"/>
      <c r="F511" s="831"/>
      <c r="G511" s="831"/>
      <c r="H511" s="831"/>
      <c r="I511" s="83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50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50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50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50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50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50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50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50" t="s">
        <v>2240</v>
      </c>
      <c r="B522" s="650"/>
      <c r="C522" s="650"/>
      <c r="D522" s="650"/>
      <c r="E522" s="650"/>
      <c r="F522" s="650"/>
      <c r="G522" s="650"/>
      <c r="H522" s="650"/>
      <c r="I522" s="650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31" t="s">
        <v>2245</v>
      </c>
      <c r="B528" s="831"/>
      <c r="C528" s="831"/>
      <c r="D528" s="831"/>
      <c r="E528" s="831"/>
      <c r="F528" s="831"/>
      <c r="G528" s="831"/>
      <c r="H528" s="831"/>
      <c r="I528" s="83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50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50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50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31" t="s">
        <v>2240</v>
      </c>
      <c r="B535" s="831"/>
      <c r="C535" s="831"/>
      <c r="D535" s="831"/>
      <c r="E535" s="831"/>
      <c r="F535" s="831"/>
      <c r="G535" s="831"/>
      <c r="H535" s="831"/>
      <c r="I535" s="83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39" t="s">
        <v>2245</v>
      </c>
      <c r="B540" s="840"/>
      <c r="C540" s="840"/>
      <c r="D540" s="840"/>
      <c r="E540" s="840"/>
      <c r="F540" s="840"/>
      <c r="G540" s="840"/>
      <c r="H540" s="840"/>
      <c r="I540" s="841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3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3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54" t="s">
        <v>2240</v>
      </c>
      <c r="B546" s="854"/>
      <c r="C546" s="854"/>
      <c r="D546" s="854"/>
      <c r="E546" s="854"/>
      <c r="F546" s="854"/>
      <c r="G546" s="854"/>
      <c r="H546" s="854"/>
      <c r="I546" s="854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31" t="s">
        <v>2240</v>
      </c>
      <c r="B550" s="831"/>
      <c r="C550" s="831"/>
      <c r="D550" s="831"/>
      <c r="E550" s="831"/>
      <c r="F550" s="831"/>
      <c r="G550" s="831"/>
      <c r="H550" s="831"/>
      <c r="I550" s="83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3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3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3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3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3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3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3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3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3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3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3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31" t="s">
        <v>2240</v>
      </c>
      <c r="B565" s="831"/>
      <c r="C565" s="831"/>
      <c r="D565" s="831"/>
      <c r="E565" s="831"/>
      <c r="F565" s="831"/>
      <c r="G565" s="831"/>
      <c r="H565" s="831"/>
      <c r="I565" s="83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85" t="s">
        <v>307</v>
      </c>
      <c r="D569" s="685" t="s">
        <v>323</v>
      </c>
      <c r="E569" s="685" t="s">
        <v>308</v>
      </c>
      <c r="F569" s="685">
        <v>3306</v>
      </c>
      <c r="G569" s="685" t="s">
        <v>1154</v>
      </c>
      <c r="H569" s="685" t="s">
        <v>1913</v>
      </c>
      <c r="I569" s="685" t="s">
        <v>1112</v>
      </c>
      <c r="J569" s="685" t="s">
        <v>693</v>
      </c>
      <c r="K569" s="883" t="s">
        <v>2298</v>
      </c>
    </row>
    <row r="570" spans="1:12">
      <c r="B570" s="251" t="s">
        <v>1915</v>
      </c>
      <c r="C570" s="686"/>
      <c r="D570" s="686"/>
      <c r="E570" s="686"/>
      <c r="F570" s="686"/>
      <c r="G570" s="686"/>
      <c r="H570" s="686"/>
      <c r="I570" s="686"/>
      <c r="J570" s="686"/>
      <c r="K570" s="884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33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34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34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34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34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34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34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31" t="s">
        <v>1460</v>
      </c>
      <c r="B582" s="831"/>
      <c r="C582" s="831"/>
      <c r="D582" s="831"/>
      <c r="E582" s="831"/>
      <c r="F582" s="831"/>
      <c r="G582" s="831"/>
      <c r="H582" s="831"/>
      <c r="I582" s="83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50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50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31" t="s">
        <v>2400</v>
      </c>
      <c r="B588" s="831"/>
      <c r="C588" s="831"/>
      <c r="D588" s="831"/>
      <c r="E588" s="831"/>
      <c r="F588" s="831"/>
      <c r="G588" s="831"/>
      <c r="H588" s="831"/>
      <c r="I588" s="83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50" t="s">
        <v>2413</v>
      </c>
      <c r="B592" s="650"/>
      <c r="C592" s="650"/>
      <c r="D592" s="650"/>
      <c r="E592" s="650"/>
      <c r="F592" s="650"/>
      <c r="G592" s="650"/>
      <c r="H592" s="650"/>
      <c r="I592" s="650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50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50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50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50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50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50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50" t="s">
        <v>2413</v>
      </c>
      <c r="B601" s="650"/>
      <c r="C601" s="650"/>
      <c r="D601" s="650"/>
      <c r="E601" s="650"/>
      <c r="F601" s="650"/>
      <c r="G601" s="650"/>
      <c r="H601" s="650"/>
      <c r="I601" s="650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31" t="s">
        <v>2444</v>
      </c>
      <c r="B606" s="831"/>
      <c r="C606" s="831"/>
      <c r="D606" s="831"/>
      <c r="E606" s="831"/>
      <c r="F606" s="831"/>
      <c r="G606" s="831"/>
      <c r="H606" s="831"/>
      <c r="I606" s="83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50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50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50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31" t="s">
        <v>2413</v>
      </c>
      <c r="B613" s="831"/>
      <c r="C613" s="831"/>
      <c r="D613" s="831"/>
      <c r="E613" s="831"/>
      <c r="F613" s="831"/>
      <c r="G613" s="831"/>
      <c r="H613" s="831"/>
      <c r="I613" s="83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3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3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3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3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3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3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3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3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3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3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31" t="s">
        <v>2413</v>
      </c>
      <c r="B627" s="831"/>
      <c r="C627" s="831"/>
      <c r="D627" s="831"/>
      <c r="E627" s="831"/>
      <c r="F627" s="831"/>
      <c r="G627" s="831"/>
      <c r="H627" s="831"/>
      <c r="I627" s="831"/>
      <c r="J627" s="31">
        <v>23</v>
      </c>
      <c r="K627" s="57"/>
    </row>
    <row r="632" spans="1:12" ht="22.5">
      <c r="A632" s="622" t="s">
        <v>43</v>
      </c>
      <c r="B632" s="622" t="s">
        <v>1624</v>
      </c>
      <c r="C632" s="623" t="s">
        <v>2</v>
      </c>
      <c r="D632" s="623" t="s">
        <v>3</v>
      </c>
      <c r="E632" s="623" t="s">
        <v>4</v>
      </c>
      <c r="F632" s="623" t="s">
        <v>5</v>
      </c>
      <c r="G632" s="623" t="s">
        <v>6</v>
      </c>
      <c r="H632" s="624" t="s">
        <v>45</v>
      </c>
      <c r="I632" s="623" t="s">
        <v>8</v>
      </c>
      <c r="J632" s="625" t="s">
        <v>46</v>
      </c>
      <c r="K632" s="626" t="s">
        <v>47</v>
      </c>
    </row>
    <row r="633" spans="1:12">
      <c r="A633" s="826" t="s">
        <v>5437</v>
      </c>
      <c r="B633" s="627" t="s">
        <v>5191</v>
      </c>
      <c r="C633" s="628" t="s">
        <v>307</v>
      </c>
      <c r="D633" s="628" t="s">
        <v>323</v>
      </c>
      <c r="E633" s="628" t="s">
        <v>308</v>
      </c>
      <c r="F633" s="627" t="s">
        <v>5105</v>
      </c>
      <c r="G633" s="627" t="s">
        <v>355</v>
      </c>
      <c r="H633" s="627" t="s">
        <v>4960</v>
      </c>
      <c r="I633" s="628" t="s">
        <v>665</v>
      </c>
      <c r="J633" s="628" t="s">
        <v>3215</v>
      </c>
      <c r="K633" s="628" t="s">
        <v>5440</v>
      </c>
      <c r="L633" s="609">
        <v>1250000</v>
      </c>
    </row>
    <row r="634" spans="1:12">
      <c r="A634" s="826"/>
      <c r="B634" s="627" t="s">
        <v>5193</v>
      </c>
      <c r="C634" s="628" t="s">
        <v>307</v>
      </c>
      <c r="D634" s="628" t="s">
        <v>323</v>
      </c>
      <c r="E634" s="628" t="s">
        <v>308</v>
      </c>
      <c r="F634" s="627" t="s">
        <v>3083</v>
      </c>
      <c r="G634" s="627" t="s">
        <v>355</v>
      </c>
      <c r="H634" s="627" t="s">
        <v>311</v>
      </c>
      <c r="I634" s="628" t="s">
        <v>665</v>
      </c>
      <c r="J634" s="628" t="s">
        <v>4988</v>
      </c>
      <c r="K634" s="628" t="s">
        <v>5441</v>
      </c>
      <c r="L634" s="609">
        <v>750000</v>
      </c>
    </row>
    <row r="635" spans="1:12">
      <c r="A635" s="826"/>
      <c r="B635" s="627" t="s">
        <v>5194</v>
      </c>
      <c r="C635" s="628" t="s">
        <v>307</v>
      </c>
      <c r="D635" s="628" t="s">
        <v>323</v>
      </c>
      <c r="E635" s="628" t="s">
        <v>308</v>
      </c>
      <c r="F635" s="627" t="s">
        <v>4844</v>
      </c>
      <c r="G635" s="627" t="s">
        <v>663</v>
      </c>
      <c r="H635" s="627" t="s">
        <v>5449</v>
      </c>
      <c r="I635" s="628" t="s">
        <v>665</v>
      </c>
      <c r="J635" s="628" t="s">
        <v>3134</v>
      </c>
      <c r="K635" s="628" t="s">
        <v>5442</v>
      </c>
      <c r="L635" s="609">
        <v>500000</v>
      </c>
    </row>
    <row r="636" spans="1:12">
      <c r="A636" s="826"/>
      <c r="B636" s="627" t="s">
        <v>5214</v>
      </c>
      <c r="C636" s="628" t="s">
        <v>307</v>
      </c>
      <c r="D636" s="628" t="s">
        <v>323</v>
      </c>
      <c r="E636" s="628" t="s">
        <v>308</v>
      </c>
      <c r="F636" s="627">
        <v>8263</v>
      </c>
      <c r="G636" s="627" t="s">
        <v>3208</v>
      </c>
      <c r="H636" s="627" t="s">
        <v>5448</v>
      </c>
      <c r="I636" s="628" t="s">
        <v>665</v>
      </c>
      <c r="J636" s="628" t="s">
        <v>5439</v>
      </c>
      <c r="K636" s="628" t="s">
        <v>5442</v>
      </c>
      <c r="L636" s="609">
        <v>1000000</v>
      </c>
    </row>
    <row r="637" spans="1:12">
      <c r="A637" s="826"/>
      <c r="B637" s="627" t="s">
        <v>5211</v>
      </c>
      <c r="C637" s="628" t="s">
        <v>307</v>
      </c>
      <c r="D637" s="628" t="s">
        <v>323</v>
      </c>
      <c r="E637" s="628" t="s">
        <v>308</v>
      </c>
      <c r="F637" s="627">
        <v>594</v>
      </c>
      <c r="G637" s="627" t="s">
        <v>1048</v>
      </c>
      <c r="H637" s="627" t="s">
        <v>4960</v>
      </c>
      <c r="I637" s="628" t="s">
        <v>665</v>
      </c>
      <c r="J637" s="628" t="s">
        <v>3134</v>
      </c>
      <c r="K637" s="628" t="s">
        <v>5442</v>
      </c>
      <c r="L637" s="609">
        <v>500000</v>
      </c>
    </row>
    <row r="638" spans="1:12" ht="22.5">
      <c r="A638" s="826"/>
      <c r="B638" s="627" t="s">
        <v>5213</v>
      </c>
      <c r="C638" s="628" t="s">
        <v>307</v>
      </c>
      <c r="D638" s="628" t="s">
        <v>323</v>
      </c>
      <c r="E638" s="628" t="s">
        <v>308</v>
      </c>
      <c r="F638" s="627" t="s">
        <v>4983</v>
      </c>
      <c r="G638" s="627" t="s">
        <v>1917</v>
      </c>
      <c r="H638" s="627" t="s">
        <v>5451</v>
      </c>
      <c r="I638" s="628" t="s">
        <v>665</v>
      </c>
      <c r="J638" s="628" t="s">
        <v>3134</v>
      </c>
      <c r="K638" s="628" t="s">
        <v>5442</v>
      </c>
      <c r="L638" s="609">
        <v>500000</v>
      </c>
    </row>
    <row r="639" spans="1:12">
      <c r="A639" s="826"/>
      <c r="B639" s="627" t="s">
        <v>5240</v>
      </c>
      <c r="C639" s="628" t="s">
        <v>307</v>
      </c>
      <c r="D639" s="628" t="s">
        <v>323</v>
      </c>
      <c r="E639" s="628" t="s">
        <v>308</v>
      </c>
      <c r="F639" s="627" t="s">
        <v>5009</v>
      </c>
      <c r="G639" s="627" t="s">
        <v>348</v>
      </c>
      <c r="H639" s="627" t="s">
        <v>4960</v>
      </c>
      <c r="I639" s="628" t="s">
        <v>665</v>
      </c>
      <c r="J639" s="628" t="s">
        <v>3215</v>
      </c>
      <c r="K639" s="628" t="s">
        <v>52</v>
      </c>
      <c r="L639" s="609">
        <v>1250000</v>
      </c>
    </row>
    <row r="640" spans="1:12">
      <c r="A640" s="826"/>
      <c r="B640" s="627" t="s">
        <v>5240</v>
      </c>
      <c r="C640" s="628" t="s">
        <v>307</v>
      </c>
      <c r="D640" s="628" t="s">
        <v>323</v>
      </c>
      <c r="E640" s="628" t="s">
        <v>308</v>
      </c>
      <c r="F640" s="627" t="s">
        <v>4844</v>
      </c>
      <c r="G640" s="627" t="s">
        <v>663</v>
      </c>
      <c r="H640" s="627" t="s">
        <v>5450</v>
      </c>
      <c r="I640" s="628" t="s">
        <v>665</v>
      </c>
      <c r="J640" s="628" t="s">
        <v>3215</v>
      </c>
      <c r="K640" s="628" t="s">
        <v>5443</v>
      </c>
      <c r="L640" s="609">
        <v>1250000</v>
      </c>
    </row>
    <row r="641" spans="1:12">
      <c r="A641" s="826"/>
      <c r="B641" s="627" t="s">
        <v>5266</v>
      </c>
      <c r="C641" s="628" t="s">
        <v>307</v>
      </c>
      <c r="D641" s="628" t="s">
        <v>323</v>
      </c>
      <c r="E641" s="628" t="s">
        <v>308</v>
      </c>
      <c r="F641" s="627" t="s">
        <v>4983</v>
      </c>
      <c r="G641" s="627" t="s">
        <v>3208</v>
      </c>
      <c r="H641" s="627" t="s">
        <v>5444</v>
      </c>
      <c r="I641" s="628" t="s">
        <v>665</v>
      </c>
      <c r="J641" s="628" t="s">
        <v>3284</v>
      </c>
      <c r="K641" s="628" t="s">
        <v>52</v>
      </c>
      <c r="L641" s="611">
        <v>750000</v>
      </c>
    </row>
    <row r="642" spans="1:12">
      <c r="A642" s="826"/>
      <c r="B642" s="627" t="s">
        <v>5266</v>
      </c>
      <c r="C642" s="628" t="s">
        <v>307</v>
      </c>
      <c r="D642" s="628" t="s">
        <v>323</v>
      </c>
      <c r="E642" s="628" t="s">
        <v>308</v>
      </c>
      <c r="F642" s="627" t="s">
        <v>4983</v>
      </c>
      <c r="G642" s="627" t="s">
        <v>3208</v>
      </c>
      <c r="H642" s="627" t="s">
        <v>5452</v>
      </c>
      <c r="I642" s="628" t="s">
        <v>665</v>
      </c>
      <c r="J642" s="628" t="s">
        <v>2846</v>
      </c>
      <c r="K642" s="628" t="s">
        <v>5442</v>
      </c>
      <c r="L642" s="611">
        <v>500000</v>
      </c>
    </row>
    <row r="643" spans="1:12">
      <c r="A643" s="826"/>
      <c r="B643" s="627" t="s">
        <v>5266</v>
      </c>
      <c r="C643" s="628" t="s">
        <v>307</v>
      </c>
      <c r="D643" s="628" t="s">
        <v>323</v>
      </c>
      <c r="E643" s="628" t="s">
        <v>308</v>
      </c>
      <c r="F643" s="627" t="s">
        <v>5269</v>
      </c>
      <c r="G643" s="627" t="s">
        <v>3146</v>
      </c>
      <c r="H643" s="627" t="s">
        <v>4960</v>
      </c>
      <c r="I643" s="628" t="s">
        <v>665</v>
      </c>
      <c r="J643" s="628" t="s">
        <v>3215</v>
      </c>
      <c r="K643" s="628" t="s">
        <v>5441</v>
      </c>
      <c r="L643" s="611">
        <v>1250000</v>
      </c>
    </row>
    <row r="644" spans="1:12">
      <c r="A644" s="826"/>
      <c r="B644" s="627" t="s">
        <v>5445</v>
      </c>
      <c r="C644" s="628" t="s">
        <v>312</v>
      </c>
      <c r="D644" s="628" t="s">
        <v>321</v>
      </c>
      <c r="E644" s="627" t="s">
        <v>2609</v>
      </c>
      <c r="F644" s="627" t="s">
        <v>4969</v>
      </c>
      <c r="G644" s="627" t="s">
        <v>3146</v>
      </c>
      <c r="H644" s="627" t="s">
        <v>5447</v>
      </c>
      <c r="I644" s="627" t="s">
        <v>1112</v>
      </c>
      <c r="J644" s="627" t="s">
        <v>5446</v>
      </c>
      <c r="K644" s="628" t="s">
        <v>52</v>
      </c>
      <c r="L644" s="601">
        <v>500000</v>
      </c>
    </row>
    <row r="645" spans="1:12">
      <c r="A645" s="826"/>
      <c r="B645" s="629">
        <v>46102</v>
      </c>
      <c r="C645" s="628" t="s">
        <v>19</v>
      </c>
      <c r="D645" s="628" t="s">
        <v>25</v>
      </c>
      <c r="E645" s="628" t="s">
        <v>308</v>
      </c>
      <c r="F645" s="630">
        <v>7062</v>
      </c>
      <c r="G645" s="631" t="s">
        <v>1393</v>
      </c>
      <c r="H645" s="627" t="s">
        <v>1106</v>
      </c>
      <c r="I645" s="628" t="s">
        <v>1260</v>
      </c>
      <c r="J645" s="628" t="s">
        <v>4964</v>
      </c>
      <c r="K645" s="628" t="s">
        <v>5440</v>
      </c>
      <c r="L645" s="613">
        <v>250000</v>
      </c>
    </row>
    <row r="646" spans="1:12" ht="22.5">
      <c r="A646" s="826"/>
      <c r="B646" s="629" t="s">
        <v>4958</v>
      </c>
      <c r="C646" s="628" t="s">
        <v>19</v>
      </c>
      <c r="D646" s="628" t="s">
        <v>25</v>
      </c>
      <c r="E646" s="628" t="s">
        <v>308</v>
      </c>
      <c r="F646" s="630" t="s">
        <v>4984</v>
      </c>
      <c r="G646" s="631" t="s">
        <v>483</v>
      </c>
      <c r="H646" s="627" t="s">
        <v>5453</v>
      </c>
      <c r="I646" s="628" t="s">
        <v>169</v>
      </c>
      <c r="J646" s="628" t="s">
        <v>5438</v>
      </c>
      <c r="K646" s="628" t="s">
        <v>5442</v>
      </c>
      <c r="L646" s="590">
        <v>2500000</v>
      </c>
    </row>
    <row r="648" spans="1:12" ht="22.5">
      <c r="A648" s="622" t="s">
        <v>43</v>
      </c>
      <c r="B648" s="622" t="s">
        <v>44</v>
      </c>
      <c r="C648" s="623" t="s">
        <v>2</v>
      </c>
      <c r="D648" s="623" t="s">
        <v>3</v>
      </c>
      <c r="E648" s="623" t="s">
        <v>4</v>
      </c>
      <c r="F648" s="623" t="s">
        <v>5</v>
      </c>
      <c r="G648" s="623" t="s">
        <v>6</v>
      </c>
      <c r="H648" s="624" t="s">
        <v>45</v>
      </c>
      <c r="I648" s="623" t="s">
        <v>8</v>
      </c>
      <c r="J648" s="625" t="s">
        <v>46</v>
      </c>
      <c r="K648" s="626" t="s">
        <v>47</v>
      </c>
    </row>
    <row r="649" spans="1:12">
      <c r="A649" s="827" t="s">
        <v>229</v>
      </c>
      <c r="B649" s="235" t="s">
        <v>5246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5221</v>
      </c>
      <c r="I649" s="235" t="s">
        <v>639</v>
      </c>
      <c r="J649" s="235">
        <v>2</v>
      </c>
      <c r="K649" s="628" t="s">
        <v>5442</v>
      </c>
    </row>
    <row r="650" spans="1:12">
      <c r="A650" s="828"/>
      <c r="B650" s="235" t="s">
        <v>5247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5221</v>
      </c>
      <c r="I650" s="235"/>
      <c r="J650" s="235">
        <v>2</v>
      </c>
      <c r="K650" s="628" t="s">
        <v>5442</v>
      </c>
    </row>
    <row r="651" spans="1:12">
      <c r="A651" s="828"/>
      <c r="B651" s="632" t="s">
        <v>5273</v>
      </c>
      <c r="C651" s="236" t="s">
        <v>312</v>
      </c>
      <c r="D651" s="236" t="s">
        <v>321</v>
      </c>
      <c r="E651" s="632" t="s">
        <v>338</v>
      </c>
      <c r="F651" s="632" t="s">
        <v>3201</v>
      </c>
      <c r="G651" s="632" t="s">
        <v>3086</v>
      </c>
      <c r="H651" s="632" t="s">
        <v>5274</v>
      </c>
      <c r="I651" s="632" t="s">
        <v>703</v>
      </c>
      <c r="J651" s="632">
        <v>2</v>
      </c>
      <c r="K651" s="628" t="s">
        <v>5442</v>
      </c>
    </row>
    <row r="652" spans="1:12">
      <c r="A652" s="828"/>
      <c r="B652" s="629">
        <v>46104</v>
      </c>
      <c r="C652" s="628" t="s">
        <v>21</v>
      </c>
      <c r="D652" s="628" t="s">
        <v>14</v>
      </c>
      <c r="E652" s="633" t="s">
        <v>1793</v>
      </c>
      <c r="F652" s="633" t="s">
        <v>2825</v>
      </c>
      <c r="G652" s="631" t="s">
        <v>23</v>
      </c>
      <c r="H652" s="630" t="s">
        <v>1387</v>
      </c>
      <c r="I652" s="633"/>
      <c r="J652" s="630">
        <v>2</v>
      </c>
      <c r="K652" s="628" t="s">
        <v>5442</v>
      </c>
    </row>
    <row r="653" spans="1:12">
      <c r="A653" s="828"/>
      <c r="B653" s="629">
        <v>46105</v>
      </c>
      <c r="C653" s="628" t="s">
        <v>21</v>
      </c>
      <c r="D653" s="628" t="s">
        <v>14</v>
      </c>
      <c r="E653" s="633" t="s">
        <v>108</v>
      </c>
      <c r="F653" s="633" t="s">
        <v>2971</v>
      </c>
      <c r="G653" s="631" t="s">
        <v>377</v>
      </c>
      <c r="H653" s="630" t="s">
        <v>4976</v>
      </c>
      <c r="I653" s="633" t="s">
        <v>2708</v>
      </c>
      <c r="J653" s="633">
        <v>2</v>
      </c>
      <c r="K653" s="628" t="s">
        <v>5442</v>
      </c>
    </row>
    <row r="654" spans="1:12">
      <c r="A654" s="829"/>
      <c r="B654" s="629">
        <v>46106</v>
      </c>
      <c r="C654" s="628" t="s">
        <v>21</v>
      </c>
      <c r="D654" s="628" t="s">
        <v>14</v>
      </c>
      <c r="E654" s="633" t="s">
        <v>1793</v>
      </c>
      <c r="F654" s="633" t="s">
        <v>2825</v>
      </c>
      <c r="G654" s="631" t="s">
        <v>23</v>
      </c>
      <c r="H654" s="630" t="s">
        <v>4996</v>
      </c>
      <c r="I654" s="633"/>
      <c r="J654" s="630">
        <v>2</v>
      </c>
      <c r="K654" s="628" t="s">
        <v>5442</v>
      </c>
    </row>
    <row r="655" spans="1:12">
      <c r="A655" s="830" t="s">
        <v>1652</v>
      </c>
      <c r="B655" s="830"/>
      <c r="C655" s="830"/>
      <c r="D655" s="830"/>
      <c r="E655" s="830"/>
      <c r="F655" s="830"/>
      <c r="G655" s="830"/>
      <c r="H655" s="830"/>
      <c r="I655" s="830"/>
      <c r="J655" s="634">
        <f>SUM(J649:J654)</f>
        <v>12</v>
      </c>
      <c r="K655" s="635"/>
    </row>
    <row r="659" spans="1:11">
      <c r="A659" s="622" t="s">
        <v>43</v>
      </c>
      <c r="B659" s="622" t="s">
        <v>44</v>
      </c>
      <c r="C659" s="623" t="s">
        <v>2</v>
      </c>
      <c r="D659" s="623" t="s">
        <v>3</v>
      </c>
      <c r="E659" s="623" t="s">
        <v>1730</v>
      </c>
      <c r="F659" s="623" t="s">
        <v>5</v>
      </c>
      <c r="G659" s="623" t="s">
        <v>6</v>
      </c>
      <c r="H659" s="624" t="s">
        <v>45</v>
      </c>
      <c r="I659" s="623" t="s">
        <v>8</v>
      </c>
      <c r="J659" s="625" t="s">
        <v>46</v>
      </c>
      <c r="K659" s="626" t="s">
        <v>47</v>
      </c>
    </row>
    <row r="660" spans="1:11">
      <c r="A660" s="830" t="s">
        <v>740</v>
      </c>
      <c r="B660" s="627" t="s">
        <v>5203</v>
      </c>
      <c r="C660" s="628" t="s">
        <v>312</v>
      </c>
      <c r="D660" s="628" t="s">
        <v>676</v>
      </c>
      <c r="E660" s="627" t="s">
        <v>5168</v>
      </c>
      <c r="F660" s="627" t="s">
        <v>5170</v>
      </c>
      <c r="G660" s="627" t="s">
        <v>348</v>
      </c>
      <c r="H660" s="627" t="s">
        <v>5173</v>
      </c>
      <c r="I660" s="627"/>
      <c r="J660" s="627">
        <v>2</v>
      </c>
      <c r="K660" s="628" t="s">
        <v>5442</v>
      </c>
    </row>
    <row r="661" spans="1:11">
      <c r="A661" s="830"/>
      <c r="B661" s="627" t="s">
        <v>5204</v>
      </c>
      <c r="C661" s="628" t="s">
        <v>312</v>
      </c>
      <c r="D661" s="628" t="s">
        <v>321</v>
      </c>
      <c r="E661" s="627" t="s">
        <v>710</v>
      </c>
      <c r="F661" s="627" t="s">
        <v>3131</v>
      </c>
      <c r="G661" s="627" t="s">
        <v>3132</v>
      </c>
      <c r="H661" s="627" t="s">
        <v>5457</v>
      </c>
      <c r="I661" s="627" t="s">
        <v>639</v>
      </c>
      <c r="J661" s="627">
        <v>1</v>
      </c>
      <c r="K661" s="628" t="s">
        <v>5442</v>
      </c>
    </row>
    <row r="662" spans="1:11" ht="22.5">
      <c r="A662" s="830"/>
      <c r="B662" s="627" t="s">
        <v>5206</v>
      </c>
      <c r="C662" s="628" t="s">
        <v>312</v>
      </c>
      <c r="D662" s="628" t="s">
        <v>321</v>
      </c>
      <c r="E662" s="627" t="s">
        <v>338</v>
      </c>
      <c r="F662" s="627" t="s">
        <v>3201</v>
      </c>
      <c r="G662" s="627" t="s">
        <v>3086</v>
      </c>
      <c r="H662" s="627" t="s">
        <v>5454</v>
      </c>
      <c r="I662" s="627" t="s">
        <v>639</v>
      </c>
      <c r="J662" s="627">
        <v>2</v>
      </c>
      <c r="K662" s="628" t="s">
        <v>5442</v>
      </c>
    </row>
    <row r="663" spans="1:11">
      <c r="A663" s="830"/>
      <c r="B663" s="627" t="s">
        <v>2756</v>
      </c>
      <c r="C663" s="628" t="s">
        <v>312</v>
      </c>
      <c r="D663" s="628" t="s">
        <v>321</v>
      </c>
      <c r="E663" s="627" t="s">
        <v>338</v>
      </c>
      <c r="F663" s="627" t="s">
        <v>3201</v>
      </c>
      <c r="G663" s="627" t="s">
        <v>3086</v>
      </c>
      <c r="H663" s="627" t="s">
        <v>5455</v>
      </c>
      <c r="I663" s="627"/>
      <c r="J663" s="627">
        <v>2</v>
      </c>
      <c r="K663" s="628" t="s">
        <v>5442</v>
      </c>
    </row>
    <row r="664" spans="1:11">
      <c r="A664" s="830"/>
      <c r="B664" s="627" t="s">
        <v>5220</v>
      </c>
      <c r="C664" s="628" t="s">
        <v>312</v>
      </c>
      <c r="D664" s="628" t="s">
        <v>321</v>
      </c>
      <c r="E664" s="627" t="s">
        <v>338</v>
      </c>
      <c r="F664" s="627" t="s">
        <v>3201</v>
      </c>
      <c r="G664" s="627" t="s">
        <v>3086</v>
      </c>
      <c r="H664" s="627" t="s">
        <v>5221</v>
      </c>
      <c r="I664" s="627" t="s">
        <v>639</v>
      </c>
      <c r="J664" s="627">
        <v>1</v>
      </c>
      <c r="K664" s="628" t="s">
        <v>5442</v>
      </c>
    </row>
    <row r="665" spans="1:11">
      <c r="A665" s="830"/>
      <c r="B665" s="627" t="s">
        <v>5220</v>
      </c>
      <c r="C665" s="628" t="s">
        <v>312</v>
      </c>
      <c r="D665" s="628" t="s">
        <v>321</v>
      </c>
      <c r="E665" s="627" t="s">
        <v>5223</v>
      </c>
      <c r="F665" s="627" t="s">
        <v>690</v>
      </c>
      <c r="G665" s="627" t="s">
        <v>5225</v>
      </c>
      <c r="H665" s="627" t="s">
        <v>5458</v>
      </c>
      <c r="I665" s="627"/>
      <c r="J665" s="627">
        <v>1</v>
      </c>
      <c r="K665" s="628" t="s">
        <v>5442</v>
      </c>
    </row>
    <row r="666" spans="1:11">
      <c r="A666" s="830"/>
      <c r="B666" s="627" t="s">
        <v>5228</v>
      </c>
      <c r="C666" s="628" t="s">
        <v>312</v>
      </c>
      <c r="D666" s="628" t="s">
        <v>321</v>
      </c>
      <c r="E666" s="627" t="s">
        <v>338</v>
      </c>
      <c r="F666" s="627" t="s">
        <v>3437</v>
      </c>
      <c r="G666" s="627" t="s">
        <v>5074</v>
      </c>
      <c r="H666" s="627" t="s">
        <v>5459</v>
      </c>
      <c r="I666" s="627"/>
      <c r="J666" s="627">
        <v>2</v>
      </c>
      <c r="K666" s="628" t="s">
        <v>5442</v>
      </c>
    </row>
    <row r="667" spans="1:11" ht="33.75">
      <c r="A667" s="830"/>
      <c r="B667" s="627" t="s">
        <v>5232</v>
      </c>
      <c r="C667" s="628" t="s">
        <v>312</v>
      </c>
      <c r="D667" s="628" t="s">
        <v>676</v>
      </c>
      <c r="E667" s="627" t="s">
        <v>5233</v>
      </c>
      <c r="F667" s="627" t="s">
        <v>1925</v>
      </c>
      <c r="G667" s="627" t="s">
        <v>348</v>
      </c>
      <c r="H667" s="627" t="s">
        <v>5460</v>
      </c>
      <c r="I667" s="627"/>
      <c r="J667" s="627">
        <v>2</v>
      </c>
      <c r="K667" s="628" t="s">
        <v>5442</v>
      </c>
    </row>
    <row r="668" spans="1:11">
      <c r="A668" s="830"/>
      <c r="B668" s="627" t="s">
        <v>5461</v>
      </c>
      <c r="C668" s="628" t="s">
        <v>312</v>
      </c>
      <c r="D668" s="628" t="s">
        <v>321</v>
      </c>
      <c r="E668" s="627" t="s">
        <v>338</v>
      </c>
      <c r="F668" s="627" t="s">
        <v>3083</v>
      </c>
      <c r="G668" s="627" t="s">
        <v>3086</v>
      </c>
      <c r="H668" s="627" t="s">
        <v>5462</v>
      </c>
      <c r="I668" s="627" t="s">
        <v>639</v>
      </c>
      <c r="J668" s="627">
        <v>2</v>
      </c>
      <c r="K668" s="628" t="s">
        <v>5442</v>
      </c>
    </row>
    <row r="669" spans="1:11">
      <c r="A669" s="830"/>
      <c r="B669" s="627" t="s">
        <v>5247</v>
      </c>
      <c r="C669" s="628" t="s">
        <v>312</v>
      </c>
      <c r="D669" s="628" t="s">
        <v>676</v>
      </c>
      <c r="E669" s="627" t="s">
        <v>721</v>
      </c>
      <c r="F669" s="627" t="s">
        <v>1762</v>
      </c>
      <c r="G669" s="627" t="s">
        <v>348</v>
      </c>
      <c r="H669" s="627" t="s">
        <v>5456</v>
      </c>
      <c r="I669" s="627" t="s">
        <v>639</v>
      </c>
      <c r="J669" s="627">
        <v>1</v>
      </c>
      <c r="K669" s="628" t="s">
        <v>5442</v>
      </c>
    </row>
    <row r="670" spans="1:11">
      <c r="A670" s="830"/>
      <c r="B670" s="627" t="s">
        <v>5254</v>
      </c>
      <c r="C670" s="628" t="s">
        <v>312</v>
      </c>
      <c r="D670" s="628" t="s">
        <v>676</v>
      </c>
      <c r="E670" s="627" t="s">
        <v>5255</v>
      </c>
      <c r="F670" s="627" t="s">
        <v>5257</v>
      </c>
      <c r="G670" s="627" t="s">
        <v>663</v>
      </c>
      <c r="H670" s="627" t="s">
        <v>5463</v>
      </c>
      <c r="I670" s="627" t="s">
        <v>639</v>
      </c>
      <c r="J670" s="627">
        <v>1</v>
      </c>
      <c r="K670" s="628" t="s">
        <v>5442</v>
      </c>
    </row>
    <row r="671" spans="1:11">
      <c r="A671" s="830"/>
      <c r="B671" s="627" t="s">
        <v>5258</v>
      </c>
      <c r="C671" s="628" t="s">
        <v>312</v>
      </c>
      <c r="D671" s="628" t="s">
        <v>676</v>
      </c>
      <c r="E671" s="627" t="s">
        <v>5259</v>
      </c>
      <c r="F671" s="627" t="s">
        <v>5171</v>
      </c>
      <c r="G671" s="627" t="s">
        <v>348</v>
      </c>
      <c r="H671" s="627" t="s">
        <v>5464</v>
      </c>
      <c r="I671" s="627"/>
      <c r="J671" s="627">
        <v>2</v>
      </c>
      <c r="K671" s="628" t="s">
        <v>5442</v>
      </c>
    </row>
    <row r="672" spans="1:11">
      <c r="A672" s="830"/>
      <c r="B672" s="627" t="s">
        <v>5263</v>
      </c>
      <c r="C672" s="628" t="s">
        <v>312</v>
      </c>
      <c r="D672" s="628" t="s">
        <v>676</v>
      </c>
      <c r="E672" s="627" t="s">
        <v>5259</v>
      </c>
      <c r="F672" s="627" t="s">
        <v>5171</v>
      </c>
      <c r="G672" s="627" t="s">
        <v>348</v>
      </c>
      <c r="H672" s="627" t="s">
        <v>5261</v>
      </c>
      <c r="I672" s="627"/>
      <c r="J672" s="627">
        <v>2</v>
      </c>
      <c r="K672" s="628" t="s">
        <v>5442</v>
      </c>
    </row>
    <row r="673" spans="1:11" ht="56.25">
      <c r="A673" s="830"/>
      <c r="B673" s="627" t="s">
        <v>5273</v>
      </c>
      <c r="C673" s="628" t="s">
        <v>312</v>
      </c>
      <c r="D673" s="628" t="s">
        <v>321</v>
      </c>
      <c r="E673" s="627" t="s">
        <v>710</v>
      </c>
      <c r="F673" s="627" t="s">
        <v>3131</v>
      </c>
      <c r="G673" s="627" t="s">
        <v>3132</v>
      </c>
      <c r="H673" s="627" t="s">
        <v>5465</v>
      </c>
      <c r="I673" s="627" t="s">
        <v>639</v>
      </c>
      <c r="J673" s="627">
        <v>1</v>
      </c>
      <c r="K673" s="628" t="s">
        <v>5442</v>
      </c>
    </row>
    <row r="674" spans="1:11">
      <c r="A674" s="830" t="s">
        <v>1652</v>
      </c>
      <c r="B674" s="830"/>
      <c r="C674" s="830"/>
      <c r="D674" s="830"/>
      <c r="E674" s="830"/>
      <c r="F674" s="830"/>
      <c r="G674" s="830"/>
      <c r="H674" s="830"/>
      <c r="I674" s="830"/>
      <c r="J674" s="236">
        <f>SUM(J660:J673)</f>
        <v>22</v>
      </c>
      <c r="K674" s="236"/>
    </row>
    <row r="676" spans="1:11">
      <c r="A676" s="622" t="s">
        <v>43</v>
      </c>
      <c r="B676" s="622" t="s">
        <v>44</v>
      </c>
      <c r="C676" s="623" t="s">
        <v>2</v>
      </c>
      <c r="D676" s="623" t="s">
        <v>3</v>
      </c>
      <c r="E676" s="623" t="s">
        <v>1730</v>
      </c>
      <c r="F676" s="623" t="s">
        <v>5</v>
      </c>
      <c r="G676" s="623" t="s">
        <v>6</v>
      </c>
      <c r="H676" s="624" t="s">
        <v>45</v>
      </c>
      <c r="I676" s="623" t="s">
        <v>8</v>
      </c>
      <c r="J676" s="625" t="s">
        <v>46</v>
      </c>
      <c r="K676" s="626" t="s">
        <v>47</v>
      </c>
    </row>
    <row r="677" spans="1:11">
      <c r="A677" s="830" t="s">
        <v>740</v>
      </c>
      <c r="B677" s="627" t="s">
        <v>5266</v>
      </c>
      <c r="C677" s="628" t="s">
        <v>307</v>
      </c>
      <c r="D677" s="628" t="s">
        <v>323</v>
      </c>
      <c r="E677" s="628" t="s">
        <v>308</v>
      </c>
      <c r="F677" s="627">
        <v>7062</v>
      </c>
      <c r="G677" s="627" t="s">
        <v>348</v>
      </c>
      <c r="H677" s="627" t="s">
        <v>4960</v>
      </c>
      <c r="I677" s="628" t="s">
        <v>665</v>
      </c>
      <c r="J677" s="628">
        <v>2</v>
      </c>
      <c r="K677" s="628" t="s">
        <v>5442</v>
      </c>
    </row>
    <row r="678" spans="1:11">
      <c r="A678" s="830"/>
      <c r="B678" s="627" t="s">
        <v>5466</v>
      </c>
      <c r="C678" s="628" t="s">
        <v>312</v>
      </c>
      <c r="D678" s="628" t="s">
        <v>321</v>
      </c>
      <c r="E678" s="627" t="s">
        <v>2609</v>
      </c>
      <c r="F678" s="627" t="s">
        <v>4969</v>
      </c>
      <c r="G678" s="627" t="s">
        <v>3146</v>
      </c>
      <c r="H678" s="627" t="s">
        <v>5467</v>
      </c>
      <c r="I678" s="627" t="s">
        <v>1112</v>
      </c>
      <c r="J678" s="627">
        <v>1</v>
      </c>
      <c r="K678" s="628" t="s">
        <v>5442</v>
      </c>
    </row>
    <row r="679" spans="1:11">
      <c r="A679" s="830"/>
      <c r="B679" s="629">
        <v>46104</v>
      </c>
      <c r="C679" s="628" t="s">
        <v>19</v>
      </c>
      <c r="D679" s="628" t="s">
        <v>25</v>
      </c>
      <c r="E679" s="628" t="s">
        <v>308</v>
      </c>
      <c r="F679" s="630" t="s">
        <v>3625</v>
      </c>
      <c r="G679" s="631" t="s">
        <v>483</v>
      </c>
      <c r="H679" s="627" t="s">
        <v>5435</v>
      </c>
      <c r="I679" s="628" t="s">
        <v>1260</v>
      </c>
      <c r="J679" s="628">
        <v>2</v>
      </c>
      <c r="K679" s="628" t="s">
        <v>5442</v>
      </c>
    </row>
    <row r="680" spans="1:11">
      <c r="A680" s="830"/>
      <c r="B680" s="629" t="s">
        <v>4967</v>
      </c>
      <c r="C680" s="628" t="s">
        <v>19</v>
      </c>
      <c r="D680" s="628" t="s">
        <v>25</v>
      </c>
      <c r="E680" s="628" t="s">
        <v>308</v>
      </c>
      <c r="F680" s="630" t="s">
        <v>2971</v>
      </c>
      <c r="G680" s="631" t="s">
        <v>144</v>
      </c>
      <c r="H680" s="627" t="s">
        <v>1106</v>
      </c>
      <c r="I680" s="628" t="s">
        <v>1260</v>
      </c>
      <c r="J680" s="628">
        <v>3</v>
      </c>
      <c r="K680" s="628" t="s">
        <v>5442</v>
      </c>
    </row>
    <row r="681" spans="1:11">
      <c r="A681" s="830" t="s">
        <v>1652</v>
      </c>
      <c r="B681" s="830"/>
      <c r="C681" s="830"/>
      <c r="D681" s="830"/>
      <c r="E681" s="830"/>
      <c r="F681" s="830"/>
      <c r="G681" s="830"/>
      <c r="H681" s="830"/>
      <c r="I681" s="830"/>
      <c r="J681" s="236">
        <f>SUM(J677:J680)</f>
        <v>8</v>
      </c>
      <c r="K681" s="236"/>
    </row>
    <row r="685" spans="1:11">
      <c r="A685" s="639" t="s">
        <v>43</v>
      </c>
      <c r="B685" s="639" t="s">
        <v>44</v>
      </c>
      <c r="C685" s="623" t="s">
        <v>2</v>
      </c>
      <c r="D685" s="623" t="s">
        <v>3</v>
      </c>
      <c r="E685" s="623" t="s">
        <v>1730</v>
      </c>
      <c r="F685" s="623" t="s">
        <v>5</v>
      </c>
      <c r="G685" s="623" t="s">
        <v>6</v>
      </c>
      <c r="H685" s="623" t="s">
        <v>45</v>
      </c>
      <c r="I685" s="623" t="s">
        <v>8</v>
      </c>
      <c r="J685" s="626" t="s">
        <v>46</v>
      </c>
      <c r="K685" s="626" t="s">
        <v>47</v>
      </c>
    </row>
    <row r="686" spans="1:11">
      <c r="A686" s="825" t="s">
        <v>1116</v>
      </c>
      <c r="B686" s="638">
        <v>46107</v>
      </c>
      <c r="C686" s="234" t="s">
        <v>125</v>
      </c>
      <c r="D686" s="234" t="s">
        <v>152</v>
      </c>
      <c r="E686" s="234" t="s">
        <v>5303</v>
      </c>
      <c r="F686" s="636" t="s">
        <v>3625</v>
      </c>
      <c r="G686" s="637" t="s">
        <v>34</v>
      </c>
      <c r="H686" s="235" t="s">
        <v>5345</v>
      </c>
      <c r="I686" s="234"/>
      <c r="J686" s="234">
        <v>1</v>
      </c>
      <c r="K686" s="628" t="s">
        <v>5442</v>
      </c>
    </row>
    <row r="687" spans="1:11">
      <c r="A687" s="825"/>
      <c r="B687" s="638">
        <v>46108</v>
      </c>
      <c r="C687" s="234" t="s">
        <v>49</v>
      </c>
      <c r="D687" s="234" t="s">
        <v>152</v>
      </c>
      <c r="E687" s="234" t="s">
        <v>5303</v>
      </c>
      <c r="F687" s="636" t="s">
        <v>3625</v>
      </c>
      <c r="G687" s="637" t="s">
        <v>34</v>
      </c>
      <c r="H687" s="235" t="s">
        <v>5345</v>
      </c>
      <c r="I687" s="234"/>
      <c r="J687" s="234">
        <v>1</v>
      </c>
      <c r="K687" s="628" t="s">
        <v>5442</v>
      </c>
    </row>
    <row r="688" spans="1:11">
      <c r="A688" s="825" t="s">
        <v>1652</v>
      </c>
      <c r="B688" s="825"/>
      <c r="C688" s="825"/>
      <c r="D688" s="825"/>
      <c r="E688" s="825"/>
      <c r="F688" s="825"/>
      <c r="G688" s="825"/>
      <c r="H688" s="825"/>
      <c r="I688" s="825"/>
      <c r="J688" s="236">
        <f>SUM(J685:J687)</f>
        <v>2</v>
      </c>
      <c r="K688" s="236"/>
    </row>
    <row r="691" spans="1:12" s="642" customFormat="1" ht="13.5">
      <c r="A691" s="639" t="s">
        <v>43</v>
      </c>
      <c r="B691" s="639" t="s">
        <v>44</v>
      </c>
      <c r="C691" s="623" t="s">
        <v>2</v>
      </c>
      <c r="D691" s="623" t="s">
        <v>3</v>
      </c>
      <c r="E691" s="623" t="s">
        <v>1730</v>
      </c>
      <c r="F691" s="623" t="s">
        <v>5</v>
      </c>
      <c r="G691" s="623" t="s">
        <v>6</v>
      </c>
      <c r="H691" s="623" t="s">
        <v>45</v>
      </c>
      <c r="I691" s="623" t="s">
        <v>8</v>
      </c>
      <c r="J691" s="626" t="s">
        <v>46</v>
      </c>
      <c r="K691" s="626" t="s">
        <v>47</v>
      </c>
      <c r="L691" s="641"/>
    </row>
    <row r="692" spans="1:12">
      <c r="A692" s="826" t="s">
        <v>1116</v>
      </c>
      <c r="B692" s="627" t="s">
        <v>5211</v>
      </c>
      <c r="C692" s="628" t="s">
        <v>307</v>
      </c>
      <c r="D692" s="628" t="s">
        <v>323</v>
      </c>
      <c r="E692" s="628" t="s">
        <v>308</v>
      </c>
      <c r="F692" s="627" t="s">
        <v>5212</v>
      </c>
      <c r="G692" s="627" t="s">
        <v>663</v>
      </c>
      <c r="H692" s="627" t="s">
        <v>1097</v>
      </c>
      <c r="I692" s="628" t="s">
        <v>665</v>
      </c>
      <c r="J692" s="628">
        <v>2</v>
      </c>
      <c r="K692" s="628" t="s">
        <v>5442</v>
      </c>
    </row>
    <row r="693" spans="1:12">
      <c r="A693" s="826"/>
      <c r="B693" s="627" t="s">
        <v>5213</v>
      </c>
      <c r="C693" s="628" t="s">
        <v>307</v>
      </c>
      <c r="D693" s="628" t="s">
        <v>323</v>
      </c>
      <c r="E693" s="628" t="s">
        <v>308</v>
      </c>
      <c r="F693" s="627">
        <v>1570</v>
      </c>
      <c r="G693" s="627" t="s">
        <v>3208</v>
      </c>
      <c r="H693" s="627" t="s">
        <v>5063</v>
      </c>
      <c r="I693" s="628" t="s">
        <v>665</v>
      </c>
      <c r="J693" s="628">
        <v>2</v>
      </c>
      <c r="K693" s="628" t="s">
        <v>5442</v>
      </c>
    </row>
    <row r="694" spans="1:12">
      <c r="A694" s="826"/>
      <c r="B694" s="627" t="s">
        <v>5235</v>
      </c>
      <c r="C694" s="628" t="s">
        <v>307</v>
      </c>
      <c r="D694" s="628" t="s">
        <v>323</v>
      </c>
      <c r="E694" s="628" t="s">
        <v>308</v>
      </c>
      <c r="F694" s="627">
        <v>8263</v>
      </c>
      <c r="G694" s="627" t="s">
        <v>3208</v>
      </c>
      <c r="H694" s="627" t="s">
        <v>1097</v>
      </c>
      <c r="I694" s="628" t="s">
        <v>665</v>
      </c>
      <c r="J694" s="628">
        <v>3</v>
      </c>
      <c r="K694" s="628" t="s">
        <v>5442</v>
      </c>
    </row>
    <row r="695" spans="1:12">
      <c r="A695" s="826"/>
      <c r="B695" s="627" t="s">
        <v>5236</v>
      </c>
      <c r="C695" s="628" t="s">
        <v>307</v>
      </c>
      <c r="D695" s="628" t="s">
        <v>323</v>
      </c>
      <c r="E695" s="628" t="s">
        <v>308</v>
      </c>
      <c r="F695" s="627" t="s">
        <v>5237</v>
      </c>
      <c r="G695" s="627" t="s">
        <v>5238</v>
      </c>
      <c r="H695" s="627" t="s">
        <v>5239</v>
      </c>
      <c r="I695" s="628" t="s">
        <v>665</v>
      </c>
      <c r="J695" s="628">
        <v>2</v>
      </c>
      <c r="K695" s="628" t="s">
        <v>5442</v>
      </c>
    </row>
    <row r="696" spans="1:12">
      <c r="A696" s="826"/>
      <c r="B696" s="627" t="s">
        <v>5266</v>
      </c>
      <c r="C696" s="628" t="s">
        <v>307</v>
      </c>
      <c r="D696" s="628" t="s">
        <v>323</v>
      </c>
      <c r="E696" s="628" t="s">
        <v>308</v>
      </c>
      <c r="F696" s="627" t="s">
        <v>4983</v>
      </c>
      <c r="G696" s="627" t="s">
        <v>3208</v>
      </c>
      <c r="H696" s="627" t="s">
        <v>1097</v>
      </c>
      <c r="I696" s="628" t="s">
        <v>665</v>
      </c>
      <c r="J696" s="628">
        <v>5</v>
      </c>
      <c r="K696" s="628" t="s">
        <v>5442</v>
      </c>
    </row>
    <row r="697" spans="1:12">
      <c r="A697" s="826"/>
      <c r="B697" s="629" t="s">
        <v>4958</v>
      </c>
      <c r="C697" s="628" t="s">
        <v>19</v>
      </c>
      <c r="D697" s="628" t="s">
        <v>25</v>
      </c>
      <c r="E697" s="628" t="s">
        <v>308</v>
      </c>
      <c r="F697" s="630" t="s">
        <v>4984</v>
      </c>
      <c r="G697" s="631" t="s">
        <v>483</v>
      </c>
      <c r="H697" s="627" t="s">
        <v>4986</v>
      </c>
      <c r="I697" s="628" t="s">
        <v>169</v>
      </c>
      <c r="J697" s="628">
        <v>5</v>
      </c>
      <c r="K697" s="628" t="s">
        <v>5442</v>
      </c>
    </row>
    <row r="698" spans="1:12">
      <c r="A698" s="826"/>
      <c r="B698" s="629">
        <v>46111</v>
      </c>
      <c r="C698" s="628" t="s">
        <v>49</v>
      </c>
      <c r="D698" s="628" t="s">
        <v>152</v>
      </c>
      <c r="E698" s="628" t="s">
        <v>5303</v>
      </c>
      <c r="F698" s="630" t="s">
        <v>4984</v>
      </c>
      <c r="G698" s="631" t="s">
        <v>483</v>
      </c>
      <c r="H698" s="627" t="s">
        <v>5384</v>
      </c>
      <c r="I698" s="628" t="s">
        <v>127</v>
      </c>
      <c r="J698" s="628">
        <v>1</v>
      </c>
      <c r="K698" s="628" t="s">
        <v>5442</v>
      </c>
      <c r="L698" s="640">
        <f>250000*7</f>
        <v>1750000</v>
      </c>
    </row>
    <row r="699" spans="1:12">
      <c r="A699" s="825" t="s">
        <v>1652</v>
      </c>
      <c r="B699" s="825"/>
      <c r="C699" s="825"/>
      <c r="D699" s="825"/>
      <c r="E699" s="825"/>
      <c r="F699" s="825"/>
      <c r="G699" s="825"/>
      <c r="H699" s="825"/>
      <c r="I699" s="825"/>
      <c r="J699" s="236">
        <f>SUM(J692:J698)</f>
        <v>20</v>
      </c>
      <c r="K699" s="236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2026-03-31T07:54:17Z</dcterms:modified>
</cp:coreProperties>
</file>