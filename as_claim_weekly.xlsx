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6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6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<sst xmlns="http://schemas.openxmlformats.org/spreadsheetml/2006/main" count="19090" uniqueCount="5377">
  <si>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</si>
  <si>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</si>
  <si>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</si>
  <si>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</si>
  <si>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</si>
  <si>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</si>
  <si>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</si>
  <si>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</si>
  <si>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</si>
  <si>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</si>
  <si>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</si>
  <si>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</si>
  <si>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</si>
  <si>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</si>
  <si>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</si>
  <si>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</si>
  <si>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</si>
  <si>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</si>
  <si>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</si>
  <si>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</si>
  <si>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</si>
  <si>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</si>
  <si>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</si>
  <si>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</si>
  <si>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</si>
  <si>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</si>
  <si>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</si>
  <si>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</si>
  <si>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</si>
  <si>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</si>
  <si>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</si>
  <si>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</si>
  <si>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</si>
  <si>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</si>
  <si>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</si>
  <si>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</si>
  <si>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</si>
  <si>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</si>
  <si>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</si>
  <si>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</si>
  <si>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</si>
  <si>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</si>
  <si>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</si>
  <si>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</si>
  <si>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</si>
  <si>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</si>
  <si>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</si>
  <si>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</si>
  <si>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</si>
  <si>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</si>
  <si>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</si>
  <si>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</si>
  <si>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</si>
  <si>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</si>
  <si>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</si>
  <si>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</si>
  <si>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</si>
  <si>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</si>
  <si>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</si>
  <si>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</si>
  <si>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</si>
  <si>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</si>
  <si>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</si>
  <si>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</si>
  <si>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</si>
  <si>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</si>
  <si>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</si>
  <si>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</si>
  <si>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</si>
  <si>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</si>
  <si>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</si>
  <si>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</si>
  <si>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</si>
  <si>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</si>
  <si>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</si>
  <si>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</si>
  <si>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</si>
  <si>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</si>
  <si>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</si>
  <si>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</si>
  <si>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</si>
  <si>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</si>
  <si>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</si>
  <si>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</si>
  <si>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</si>
  <si>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</si>
  <si>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</si>
  <si>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</si>
  <si>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</si>
  <si>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</si>
  <si>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</si>
  <si>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</si>
  <si>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</si>
  <si>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</si>
  <si>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</si>
  <si>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</si>
  <si>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</si>
  <si>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</si>
  <si>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</si>
  <si>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</si>
  <si>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</si>
  <si>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</si>
  <si>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</si>
  <si>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</si>
  <si>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</si>
  <si>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</si>
  <si>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</si>
  <si>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</si>
  <si>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</si>
  <si>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</si>
  <si>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</si>
  <si>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</si>
  <si>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</si>
  <si>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</si>
  <si>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</si>
  <si>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</si>
  <si>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</si>
  <si>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</si>
  <si>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</si>
  <si>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</si>
  <si>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</si>
  <si>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</si>
  <si>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</si>
  <si>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</si>
  <si>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</si>
  <si>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</si>
  <si>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</si>
  <si>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</si>
  <si>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</si>
  <si>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</si>
  <si>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</si>
  <si>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</si>
  <si>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</si>
  <si>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</si>
  <si>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</si>
  <si>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</si>
  <si>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</si>
  <si>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</si>
  <si>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</si>
  <si>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</si>
  <si>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</si>
  <si>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</si>
  <si>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</si>
  <si>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</si>
  <si>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</si>
  <si>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</si>
  <si>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</si>
  <si>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</si>
  <si>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</si>
  <si>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</si>
  <si>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</si>
  <si>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</si>
  <si>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</si>
  <si>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</si>
  <si>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</si>
  <si>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</si>
  <si>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</si>
  <si>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</si>
  <si>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</si>
  <si>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</si>
  <si>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</si>
  <si>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</si>
  <si>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</si>
  <si>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</si>
  <si>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</si>
  <si>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</si>
  <si>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</si>
  <si>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</si>
  <si>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</si>
  <si>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</si>
  <si>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</si>
  <si>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</si>
  <si>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</si>
  <si>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</si>
  <si>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</si>
  <si>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</si>
  <si>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</si>
  <si>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</si>
  <si>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</si>
  <si>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</si>
  <si>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</si>
  <si>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</si>
  <si>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</si>
  <si>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</si>
  <si>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</si>
  <si>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</si>
  <si>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</si>
  <si>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</si>
  <si>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</si>
  <si>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</si>
  <si>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</si>
  <si>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</si>
  <si>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</si>
  <si>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</si>
  <si>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</si>
  <si>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</si>
  <si>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</si>
  <si>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</si>
  <si>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</si>
  <si>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</si>
  <si>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</si>
  <si>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</si>
  <si>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</si>
  <si>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</si>
  <si>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</si>
  <si>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</si>
  <si>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</si>
  <si>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</si>
  <si>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</si>
  <si>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</si>
  <si>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</si>
  <si>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</si>
  <si>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</si>
  <si>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</si>
  <si>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</si>
  <si>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</si>
  <si>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</si>
  <si>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</si>
  <si>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</si>
  <si>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</si>
  <si>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</si>
  <si>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</si>
  <si>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</si>
  <si>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</si>
  <si>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</si>
  <si>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</si>
  <si>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</si>
  <si>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</si>
  <si>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</si>
  <si>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</si>
  <si>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</si>
  <si>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</si>
  <si>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</si>
  <si>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</si>
  <si>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</si>
  <si>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</si>
  <si>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</si>
  <si>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</si>
  <si>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</si>
  <si>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</si>
  <si>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</si>
  <si>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</si>
  <si>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</si>
  <si>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</si>
  <si>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</si>
  <si>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</si>
  <si>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</si>
  <si>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</si>
  <si>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</si>
  <si>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</si>
  <si>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</si>
  <si>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</si>
  <si>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</si>
  <si>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</si>
  <si>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</si>
  <si>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</si>
  <si>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</si>
  <si>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</si>
  <si>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</si>
  <si>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</si>
  <si>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</si>
  <si>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</si>
  <si>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</si>
  <si>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</si>
  <si>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</si>
  <si>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</si>
  <si>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</si>
  <si>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</si>
  <si>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</si>
  <si>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</si>
  <si>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</si>
  <si>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</si>
  <si>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</si>
  <si>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</si>
  <si>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</si>
  <si>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</si>
  <si>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</si>
  <si>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</si>
  <si>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</si>
  <si>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</si>
  <si>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</si>
  <si>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</si>
  <si>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</si>
  <si>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</si>
  <si>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</si>
  <si>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</si>
  <si>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</si>
  <si>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</si>
  <si>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</si>
  <si>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</si>
  <si>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</si>
  <si>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</si>
  <si>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</si>
  <si>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</si>
  <si>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</si>
  <si>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</si>
  <si>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</si>
  <si>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</si>
  <si>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</si>
  <si>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</si>
  <si>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</si>
  <si>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</si>
  <si>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</si>
  <si>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</si>
  <si>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</si>
  <si>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</si>
  <si>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</si>
  <si>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</si>
  <si>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</si>
  <si>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</si>
  <si>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</si>
  <si>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</si>
  <si>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</si>
  <si>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</si>
  <si>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</si>
  <si>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</si>
  <si>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</si>
  <si>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</si>
  <si>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</si>
  <si>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</si>
  <si>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</si>
  <si>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</si>
  <si>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</si>
  <si>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</si>
  <si>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</si>
  <si>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</si>
  <si>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</si>
  <si>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</si>
  <si>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</si>
  <si>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</si>
  <si>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</si>
  <si>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</si>
  <si>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</si>
  <si>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</si>
  <si>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</si>
  <si>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</si>
  <si>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</si>
  <si>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</si>
  <si>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</si>
  <si>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</si>
  <si>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</si>
  <si>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</si>
  <si>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</si>
  <si>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</si>
  <si>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</si>
  <si>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</si>
  <si>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</si>
  <si>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</si>
  <si>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</si>
  <si>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</si>
  <si>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</si>
  <si>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</si>
  <si>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</si>
  <si>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</si>
  <si>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</si>
  <si>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</si>
  <si>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</si>
  <si>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</si>
  <si>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</si>
  <si>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</si>
  <si>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</si>
  <si>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</si>
  <si>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</si>
  <si>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</si>
  <si>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</si>
  <si>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</si>
  <si>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</si>
  <si>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</si>
  <si>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</si>
  <si>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</si>
  <si>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</si>
  <si>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</si>
  <si>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</si>
  <si>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</si>
  <si>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</si>
  <si>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</si>
  <si>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</si>
  <si>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</si>
  <si>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</si>
  <si>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</si>
  <si>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</si>
  <si>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</si>
  <si>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</si>
  <si>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</si>
  <si>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</si>
  <si>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</si>
  <si>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</si>
  <si>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</si>
  <si>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</si>
  <si>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</si>
  <si>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</si>
  <si>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</si>
  <si>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</si>
  <si>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</si>
  <si>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</si>
  <si>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</si>
  <si>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</si>
  <si>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</si>
  <si>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</si>
  <si>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</si>
  <si>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</si>
  <si>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</si>
  <si>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</si>
  <si>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</si>
  <si>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</si>
  <si>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</si>
  <si>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</si>
  <si>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</si>
  <si>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</si>
  <si>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</si>
  <si>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</si>
  <si>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</si>
  <si>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</si>
  <si>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</si>
  <si>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</si>
  <si>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</si>
  <si>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</si>
  <si>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</si>
  <si>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</si>
  <si>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</si>
  <si>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</si>
  <si>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</si>
  <si>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</si>
  <si>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</si>
  <si>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</si>
  <si>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</si>
  <si>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</si>
  <si>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</si>
  <si>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</si>
  <si>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</si>
  <si>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</si>
  <si>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</si>
  <si>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</si>
  <si>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</si>
  <si>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</si>
  <si>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</si>
  <si>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</si>
  <si>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</si>
  <si>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</si>
  <si>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</si>
  <si>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</si>
  <si>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</si>
  <si>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</si>
  <si>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</si>
  <si>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</si>
  <si>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</si>
  <si>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</si>
  <si>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</si>
  <si>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</si>
  <si>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</si>
  <si>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</si>
  <si>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</si>
  <si>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</si>
  <si>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</si>
  <si>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</si>
  <si>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</si>
  <si>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</si>
  <si>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</si>
  <si>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</si>
  <si>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</si>
  <si>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</si>
  <si>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</si>
  <si>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</si>
  <si>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</si>
  <si>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</si>
  <si>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</si>
  <si>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</si>
  <si>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</si>
  <si>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</si>
  <si>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</si>
  <si>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</si>
  <si>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</si>
  <si>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</si>
  <si>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</si>
  <si>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</si>
  <si>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</si>
  <si>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</si>
  <si>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</si>
  <si>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</si>
  <si>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</si>
  <si>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</si>
  <si>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</si>
  <si>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</si>
  <si>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</si>
  <si>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</si>
  <si>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</si>
  <si>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</si>
  <si>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</si>
  <si>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</si>
  <si>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</si>
  <si>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</si>
  <si>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</si>
  <si>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</si>
  <si>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</si>
  <si>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</si>
  <si>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</si>
  <si>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</si>
  <si>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</si>
  <si>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</si>
  <si>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</si>
  <si>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</si>
  <si>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</si>
  <si>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</si>
  <si>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</si>
  <si>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</si>
  <si>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</si>
  <si>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</si>
  <si>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</si>
  <si>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</si>
  <si>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</si>
  <si>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</si>
  <si>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</si>
  <si>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</si>
  <si>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</si>
  <si>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</si>
  <si>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</si>
  <si>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</si>
  <si>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</si>
  <si>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</si>
  <si>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</si>
  <si>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</si>
  <si>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</si>
  <si>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</si>
  <si>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</si>
  <si>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</si>
  <si>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</si>
  <si>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</si>
  <si>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</si>
  <si>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</si>
  <si>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</si>
  <si>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</si>
  <si>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</si>
  <si>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</si>
  <si>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</si>
  <si>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</si>
  <si>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</si>
  <si>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</si>
  <si>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</si>
  <si>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</si>
  <si>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</si>
  <si>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</si>
  <si>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</si>
  <si>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</si>
  <si>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</si>
  <si>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</si>
  <si>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</si>
  <si>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</si>
  <si>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</si>
  <si>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</si>
  <si>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</si>
  <si>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</si>
  <si>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</si>
  <si>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</si>
  <si>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</si>
  <si>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</si>
  <si>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</si>
  <si>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</si>
  <si>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</si>
  <si>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</si>
  <si>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</si>
  <si>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</si>
  <si>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</si>
  <si>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</si>
  <si>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</si>
  <si>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</si>
  <si>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</si>
  <si>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</si>
  <si>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</si>
  <si>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</si>
  <si>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</si>
  <si>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</si>
  <si>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</si>
  <si>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</si>
  <si>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</si>
  <si>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</si>
  <si>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</si>
  <si>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</si>
  <si>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</si>
  <si>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</si>
  <si>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</si>
  <si>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</si>
  <si>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</si>
  <si>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</si>
  <si>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</si>
  <si>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</si>
  <si>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</si>
  <si>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</si>
  <si>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</si>
  <si>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</si>
  <si>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</si>
  <si>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</si>
  <si>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</si>
  <si>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</si>
  <si>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</si>
  <si>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</si>
  <si>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</si>
  <si>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</si>
  <si>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</si>
  <si>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</si>
  <si>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</si>
  <si>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</si>
  <si>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</si>
  <si>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</si>
  <si>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</si>
  <si>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</si>
  <si>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</si>
  <si>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</si>
  <si>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</si>
  <si>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</si>
  <si>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</si>
  <si>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</si>
  <si>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</si>
  <si>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</si>
  <si>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</si>
  <si>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</si>
  <si>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</si>
  <si>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</si>
  <si>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</si>
  <si>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</si>
  <si>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</si>
  <si>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</si>
  <si>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</si>
  <si>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</si>
  <si>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</si>
  <si>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</si>
  <si>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</si>
  <si>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</si>
  <si>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</si>
  <si>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</si>
  <si>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</si>
  <si>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</si>
  <si>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</si>
  <si>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</si>
  <si>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</si>
  <si>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</si>
  <si>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</si>
  <si>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</si>
  <si>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</si>
  <si>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</si>
  <si>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</si>
  <si>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</si>
  <si>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</si>
  <si>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</si>
  <si>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</si>
  <si>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</si>
  <si>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</si>
  <si>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</si>
  <si>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</si>
  <si>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</si>
  <si>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</si>
  <si>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</si>
  <si>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</si>
  <si>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</si>
  <si>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</si>
  <si>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</si>
  <si>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</si>
  <si>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</si>
  <si>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</si>
  <si>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</si>
  <si>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</si>
  <si>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</si>
  <si>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</si>
  <si>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</si>
  <si>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</si>
  <si>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</si>
  <si>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</si>
  <si>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</si>
  <si>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</si>
  <si>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</si>
  <si>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</si>
  <si>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</si>
  <si>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</si>
  <si>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</si>
  <si>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</si>
  <si>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</si>
  <si>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</si>
  <si>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</si>
  <si>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</si>
  <si>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</si>
  <si>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</si>
  <si>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</si>
  <si>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</si>
  <si>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</si>
  <si>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</si>
  <si>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</si>
  <si>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</si>
  <si>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</si>
  <si>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</si>
  <si>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</si>
  <si>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</si>
  <si>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</si>
  <si>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</si>
  <si>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</si>
  <si>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</si>
  <si>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</si>
  <si>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</si>
  <si>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</si>
  <si>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</si>
  <si>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</si>
  <si>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</si>
  <si>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</si>
  <si>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</si>
  <si>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</si>
  <si>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</si>
  <si>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</si>
  <si>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</si>
  <si>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</si>
  <si>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</si>
  <si>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</si>
  <si>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</si>
  <si>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</si>
  <si>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</si>
  <si>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</si>
  <si>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</si>
  <si>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</si>
  <si>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</si>
  <si>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</si>
  <si>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</si>
  <si>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</si>
  <si>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</si>
  <si>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</si>
  <si>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</si>
  <si>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</si>
  <si>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</si>
  <si>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</si>
  <si>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</si>
  <si>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</si>
  <si>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</si>
  <si>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</si>
  <si>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</si>
  <si>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</si>
  <si>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</si>
  <si>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</si>
  <si>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</si>
  <si>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</si>
  <si>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</si>
  <si>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</si>
  <si>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</si>
  <si>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</si>
  <si>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</si>
  <si>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</si>
  <si>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</si>
  <si>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</si>
  <si>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</si>
  <si>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</si>
  <si>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</si>
  <si>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</si>
  <si>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</si>
  <si>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</si>
  <si>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</si>
  <si>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</si>
  <si>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</si>
  <si>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</si>
  <si>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</si>
  <si>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</si>
  <si>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</si>
  <si>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</si>
  <si>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</si>
  <si>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</si>
  <si>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</si>
  <si>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</si>
  <si>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</si>
  <si>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</si>
  <si>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</si>
  <si>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</si>
  <si>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</si>
  <si>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</si>
  <si>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</si>
  <si>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</si>
  <si>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</si>
  <si>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</si>
  <si>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</si>
  <si>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</si>
  <si>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</si>
  <si>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</si>
  <si>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</si>
  <si>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</si>
  <si>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</si>
  <si>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</si>
  <si>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</si>
  <si>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</si>
  <si>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</si>
  <si>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</si>
  <si>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</si>
  <si>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</si>
  <si>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</si>
  <si>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</si>
  <si>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</si>
  <si>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</si>
  <si>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</si>
  <si>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</si>
  <si>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</si>
  <si>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</si>
  <si>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</si>
  <si>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</si>
  <si>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</si>
  <si>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</si>
  <si>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</si>
  <si>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</si>
  <si>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</si>
  <si>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</si>
  <si>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</si>
  <si>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</si>
  <si>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</si>
  <si>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</si>
  <si>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</si>
  <si>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</si>
  <si>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</si>
  <si>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</si>
  <si>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</si>
  <si>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</si>
  <si>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</si>
  <si>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</si>
  <si>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</si>
  <si>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</si>
  <si>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</si>
  <si>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</si>
  <si>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</si>
  <si>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</si>
  <si>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</si>
  <si>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</si>
  <si>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</si>
  <si>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</si>
  <si>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</si>
  <si>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</si>
  <si>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</si>
  <si>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</si>
  <si>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</si>
  <si>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</si>
  <si>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</si>
  <si>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</si>
  <si>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</si>
  <si>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</si>
  <si>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</si>
  <si>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</si>
  <si>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</si>
  <si>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</si>
  <si>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</si>
  <si>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</si>
  <si>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</si>
  <si>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</si>
  <si>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</si>
  <si>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</si>
  <si>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</si>
  <si>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</si>
  <si>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</si>
  <si>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</si>
  <si>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</si>
  <si>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</si>
  <si>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</si>
  <si>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</si>
  <si>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</si>
  <si>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</si>
  <si>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</si>
  <si>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</si>
  <si>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</si>
  <si>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</si>
  <si>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</si>
  <si>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</si>
  <si>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</si>
  <si>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</si>
  <si>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</si>
  <si>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</si>
  <si>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</si>
  <si>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</si>
  <si>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</si>
  <si>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</si>
  <si>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</si>
  <si>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</si>
  <si>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</si>
  <si>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</si>
  <si>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</si>
  <si>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</si>
  <si>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</si>
  <si>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</si>
  <si>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</si>
  <si>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</si>
  <si>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</si>
  <si>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</si>
  <si>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</si>
  <si>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</si>
  <si>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</si>
  <si>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</si>
  <si>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</si>
  <si>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</si>
  <si>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</si>
  <si>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</si>
  <si>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</si>
  <si>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</si>
  <si>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</si>
  <si>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</si>
  <si>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</si>
  <si>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</si>
  <si>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</si>
  <si>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</si>
  <si>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</si>
  <si>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</si>
  <si>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</si>
  <si>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</si>
  <si>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</si>
  <si>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</si>
  <si>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</si>
  <si>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</si>
  <si>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</si>
  <si>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</si>
  <si>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</si>
  <si>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</si>
  <si>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</si>
  <si>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</si>
  <si>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</si>
  <si>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</si>
  <si>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</si>
  <si>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</si>
  <si>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</si>
  <si>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</si>
  <si>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</si>
  <si>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</si>
  <si>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</si>
  <si>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</si>
  <si>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</si>
  <si>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</si>
  <si>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</si>
  <si>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</si>
  <si>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</si>
  <si>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</si>
  <si>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</si>
  <si>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</si>
  <si>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</si>
  <si>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</si>
  <si>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</si>
  <si>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</si>
  <si>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</si>
  <si>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</si>
  <si>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</si>
  <si>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</si>
  <si>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</si>
  <si>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</si>
  <si>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</si>
  <si>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</si>
  <si>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</si>
  <si>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</si>
  <si>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</si>
  <si>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</si>
  <si>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</si>
  <si>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</si>
  <si>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</si>
  <si>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</si>
  <si>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</si>
  <si>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</si>
  <si>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</si>
  <si>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</si>
  <si>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</si>
  <si>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</si>
  <si>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</si>
  <si>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</si>
  <si>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</si>
  <si>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</si>
  <si>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</si>
  <si>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</si>
  <si>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</si>
  <si>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</si>
  <si>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</si>
  <si>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</si>
  <si>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</si>
  <si>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</si>
  <si>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</si>
  <si>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</si>
  <si>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</si>
  <si>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</si>
  <si>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</si>
  <si>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</si>
  <si>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</si>
  <si>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</si>
  <si>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</si>
  <si>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</si>
  <si>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</si>
  <si>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</si>
  <si>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</si>
  <si>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</si>
  <si>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</si>
  <si>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</si>
  <si>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</si>
  <si>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</si>
  <si>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</si>
  <si>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</si>
  <si>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</si>
  <si>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</si>
  <si>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</si>
  <si>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</si>
  <si>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</si>
  <si>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</si>
  <si>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</si>
  <si>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</si>
  <si>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</si>
  <si>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</si>
  <si>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</si>
  <si>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</si>
  <si>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</si>
  <si>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</si>
  <si>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</si>
  <si>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</si>
  <si>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</si>
  <si>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</si>
  <si>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</si>
  <si>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</si>
  <si>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</si>
  <si>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</si>
  <si>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</si>
  <si>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</si>
  <si>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</si>
  <si>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</si>
  <si>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</si>
  <si>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</si>
  <si>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</si>
  <si>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</si>
  <si>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</si>
  <si>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</si>
  <si>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</si>
  <si>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</si>
  <si>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</si>
  <si>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</si>
  <si>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</si>
  <si>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</si>
  <si>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</si>
  <si>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</si>
  <si>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</si>
  <si>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</si>
  <si>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</si>
  <si>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</si>
  <si>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</si>
  <si>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</si>
  <si>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</si>
  <si>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</si>
  <si>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</si>
  <si>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</si>
  <si>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</si>
  <si>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</si>
  <si>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</si>
  <si>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</si>
  <si>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</si>
  <si>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</si>
  <si>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</si>
  <si>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</si>
  <si>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</si>
  <si>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</si>
  <si>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</si>
  <si>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</si>
  <si>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</si>
  <si>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</si>
  <si>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</si>
  <si>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</si>
  <si>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</si>
  <si>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</si>
  <si>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</si>
  <si>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</si>
  <si>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</si>
  <si>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</si>
  <si>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</si>
  <si>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</si>
  <si>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</si>
  <si>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</si>
  <si>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</si>
  <si>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</si>
  <si>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</si>
  <si>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</si>
  <si>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</si>
  <si>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</si>
  <si>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</si>
  <si>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</si>
  <si>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</si>
  <si>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</si>
  <si>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</si>
  <si>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</si>
  <si>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</si>
  <si>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</si>
  <si>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</si>
  <si>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</si>
  <si>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</si>
  <si>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</si>
  <si>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</si>
  <si>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</si>
  <si>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</si>
  <si>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</si>
  <si>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</si>
  <si>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</si>
  <si>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</si>
  <si>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</si>
  <si>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</si>
  <si>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</si>
  <si>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</si>
  <si>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</si>
  <si>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</si>
  <si>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</si>
  <si>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</si>
  <si>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</si>
  <si>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</si>
  <si>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</si>
  <si>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</si>
  <si>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</si>
  <si>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</si>
  <si>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</si>
  <si>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</si>
  <si>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</si>
  <si>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</si>
  <si>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</si>
  <si>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</si>
  <si>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</si>
  <si>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</si>
  <si>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</si>
  <si>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</si>
  <si>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</si>
  <si>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</si>
  <si>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</si>
  <si>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</si>
  <si>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</si>
  <si>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</si>
  <si>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</si>
  <si>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</si>
  <si>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</si>
  <si>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</si>
  <si>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</si>
  <si>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</si>
  <si>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</si>
  <si>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</si>
  <si>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</si>
  <si>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</si>
  <si>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</si>
  <si>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</si>
  <si>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</si>
  <si>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</si>
  <si>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</si>
  <si>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</si>
  <si>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</si>
  <si>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</si>
  <si>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</si>
  <si>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</si>
  <si>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</si>
  <si>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</si>
  <si>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</si>
  <si>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</si>
  <si>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</si>
  <si>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</si>
  <si>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</si>
  <si>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</si>
  <si>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</si>
  <si>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</si>
  <si>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</si>
  <si>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</si>
  <si>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</si>
  <si>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</si>
  <si>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</si>
  <si>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</si>
  <si>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</si>
  <si>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</si>
  <si>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</si>
  <si>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</si>
  <si>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</si>
  <si>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</si>
  <si>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</si>
  <si>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</si>
  <si>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</si>
  <si>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</si>
  <si>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</si>
  <si>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</si>
  <si>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</si>
  <si>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</si>
  <si>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</si>
  <si>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</si>
  <si>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</si>
  <si>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</si>
  <si>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</si>
  <si>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</si>
  <si>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</si>
  <si>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</si>
  <si>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</si>
  <si>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</si>
  <si>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</si>
  <si>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</si>
  <si>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</si>
  <si>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</si>
  <si>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</si>
  <si>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</si>
  <si>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</si>
  <si>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</si>
  <si>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</si>
  <si>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</si>
  <si>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</si>
  <si>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</si>
  <si>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</si>
  <si>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</si>
  <si>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</si>
  <si>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</si>
  <si>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</si>
  <si>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</si>
  <si>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</si>
  <si>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</si>
  <si>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</si>
  <si>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</si>
  <si>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</si>
  <si>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</si>
  <si>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</si>
  <si>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</si>
  <si>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</si>
  <si>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</si>
  <si>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</si>
  <si>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</si>
  <si>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</si>
  <si>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</si>
  <si>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</si>
  <si>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</si>
  <si>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</si>
  <si>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</si>
  <si>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</si>
  <si>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</si>
  <si>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</si>
  <si>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</si>
  <si>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</si>
  <si>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</si>
  <si>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</si>
  <si>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</si>
  <si>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</si>
  <si>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</si>
  <si>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</si>
  <si>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</si>
  <si>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</si>
  <si>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</si>
  <si>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</si>
  <si>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</si>
  <si>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</si>
  <si>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</si>
  <si>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</si>
  <si>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</si>
  <si>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</si>
  <si>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</si>
  <si>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</si>
  <si>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</si>
  <si>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</si>
  <si>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</si>
  <si>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</si>
  <si>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</si>
  <si>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</si>
  <si>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</si>
  <si>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</si>
  <si>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</si>
  <si>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</si>
  <si>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</si>
  <si>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</si>
  <si>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</si>
  <si>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</si>
  <si>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</si>
  <si>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</si>
  <si>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</si>
  <si>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</si>
  <si>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</si>
  <si>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</si>
  <si>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</si>
  <si>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</si>
  <si>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</si>
  <si>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</si>
  <si>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</si>
  <si>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</si>
  <si>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</si>
  <si>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</si>
  <si>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</si>
  <si>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</si>
  <si>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</si>
  <si>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</si>
  <si>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</si>
  <si>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</si>
  <si>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</si>
  <si>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</si>
  <si>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</si>
  <si>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</si>
  <si>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</si>
  <si>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</si>
  <si>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</si>
  <si>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</si>
  <si>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</si>
  <si>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</si>
  <si>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</si>
  <si>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</si>
  <si>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</si>
  <si>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</si>
  <si>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</si>
  <si>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</si>
  <si>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</si>
  <si>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</si>
  <si>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</si>
  <si>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</si>
  <si>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</si>
  <si>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</si>
  <si>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</si>
  <si>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</si>
  <si>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</si>
  <si>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</si>
  <si>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</si>
  <si>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</si>
  <si>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</si>
  <si>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</si>
  <si>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</si>
  <si>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</si>
  <si>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</si>
  <si>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</si>
  <si>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</si>
  <si>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</si>
  <si>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</si>
  <si>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</si>
  <si>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</si>
  <si>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</si>
  <si>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</si>
  <si>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</si>
  <si>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</si>
  <si>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</si>
  <si>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</si>
  <si>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</si>
  <si>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</si>
  <si>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</si>
  <si>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</si>
  <si>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</si>
  <si>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</si>
  <si>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</si>
  <si>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</si>
  <si>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</si>
  <si>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</si>
  <si>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</si>
  <si>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</si>
  <si>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</si>
  <si>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</si>
  <si>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</si>
  <si>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</si>
  <si>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</si>
  <si>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</si>
  <si>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</si>
  <si>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</si>
  <si>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</si>
  <si>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</si>
  <si>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</si>
  <si>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</si>
  <si>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</si>
  <si>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</si>
  <si>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</si>
  <si>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</si>
  <si>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</si>
  <si>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</si>
  <si>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</si>
  <si>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</si>
  <si>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</si>
  <si>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</si>
  <si>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</si>
  <si>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</si>
  <si>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</si>
  <si>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</si>
  <si>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</si>
  <si>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</si>
  <si>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</si>
  <si>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</si>
  <si>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</si>
  <si>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</si>
  <si>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</si>
  <si>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</si>
  <si>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</si>
  <si>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</si>
  <si>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</si>
  <si>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</si>
  <si>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</si>
  <si>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</si>
  <si>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</si>
  <si>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</si>
  <si>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</si>
  <si>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</si>
  <si>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</si>
  <si>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</si>
  <si>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</si>
  <si>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</si>
  <si>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</si>
  <si>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</si>
  <si>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</si>
  <si>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</si>
  <si>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</si>
  <si>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</si>
  <si>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</si>
  <si>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</si>
  <si>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</si>
  <si>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</si>
  <si>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</si>
  <si>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</si>
  <si>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</si>
  <si>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</si>
  <si>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</si>
  <si>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</si>
  <si>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</si>
  <si>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</si>
  <si>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</si>
  <si>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</si>
  <si>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</si>
  <si>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</si>
  <si>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</si>
  <si>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</si>
  <si>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</si>
  <si>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</si>
  <si>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</si>
  <si>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</si>
  <si>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</si>
  <si>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</si>
  <si>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</si>
  <si>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</si>
  <si>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</si>
  <si>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</si>
  <si>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</si>
  <si>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</si>
  <si>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</si>
  <si>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</si>
  <si>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</si>
  <si>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</si>
  <si>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</si>
  <si>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</si>
  <si>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</si>
  <si>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</si>
  <si>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</si>
  <si>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</si>
  <si>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</si>
  <si>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</si>
  <si>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</si>
  <si>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</si>
  <si>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</si>
  <si>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</si>
  <si>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</si>
  <si>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</si>
  <si>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</si>
  <si>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</si>
  <si>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</si>
  <si>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</si>
  <si>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</si>
  <si>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</si>
  <si>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</si>
  <si>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</si>
  <si>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</si>
  <si>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</si>
  <si>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</si>
  <si>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</si>
  <si>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</si>
  <si>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</si>
  <si>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</si>
  <si>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</si>
  <si>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</si>
  <si>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</si>
  <si>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</si>
  <si>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</si>
  <si>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</si>
  <si>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</si>
  <si>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</si>
  <si>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</si>
  <si>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</si>
  <si>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</si>
  <si>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</si>
  <si>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</si>
  <si>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</si>
  <si>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</si>
  <si>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</si>
  <si>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</si>
  <si>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</si>
  <si>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</si>
  <si>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</si>
  <si>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</si>
  <si>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</si>
  <si>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</si>
  <si>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</si>
  <si>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</si>
  <si>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</si>
  <si>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</si>
  <si>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</si>
  <si>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</si>
  <si>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</si>
  <si>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</si>
  <si>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</si>
  <si>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</si>
  <si>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</si>
  <si>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</si>
  <si>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</si>
  <si>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</si>
  <si>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</si>
  <si>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</si>
  <si>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</si>
  <si>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</si>
  <si>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</si>
  <si>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</si>
  <si>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</si>
  <si>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</si>
  <si>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</si>
  <si>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</si>
  <si>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</si>
  <si>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</si>
  <si>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</si>
  <si>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</si>
  <si>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</si>
  <si>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</si>
  <si>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</si>
  <si>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</si>
  <si>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</si>
  <si>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</si>
  <si>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</si>
  <si>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</si>
  <si>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</si>
  <si>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</si>
  <si>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</si>
  <si>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</si>
  <si>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</si>
  <si>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</si>
  <si>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</si>
  <si>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</si>
  <si>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</si>
  <si>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</si>
  <si>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</si>
  <si>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</si>
  <si>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</si>
  <si>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</si>
  <si>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</si>
  <si>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</si>
  <si>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</si>
  <si>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</si>
  <si>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</si>
  <si>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</si>
  <si>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</si>
  <si>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</si>
  <si>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</si>
  <si>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</si>
  <si>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</si>
  <si>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</si>
  <si>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</si>
  <si>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</si>
  <si>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</si>
  <si>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</si>
  <si>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</si>
  <si>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</si>
  <si>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</si>
  <si>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</si>
  <si>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</si>
  <si>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</si>
  <si>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</si>
  <si>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</si>
  <si>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</si>
  <si>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</si>
  <si>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</si>
  <si>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</si>
  <si>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</si>
  <si>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</si>
  <si>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</si>
  <si>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</si>
  <si>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</si>
  <si>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</si>
  <si>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</si>
  <si>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</si>
  <si>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</si>
  <si>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</si>
  <si>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</si>
  <si>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</si>
  <si>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</si>
  <si>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</si>
  <si>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</si>
  <si>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</si>
  <si>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</si>
  <si>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</si>
  <si>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</si>
  <si>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</si>
  <si>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</si>
  <si>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</si>
  <si>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</si>
  <si>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</si>
  <si>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</si>
  <si>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</si>
  <si>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</si>
  <si>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</si>
  <si>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</si>
  <si>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</si>
  <si>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</si>
  <si>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</si>
  <si>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</si>
  <si>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</si>
  <si>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</si>
  <si>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</si>
  <si>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</si>
  <si>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</si>
  <si>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</si>
  <si>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</si>
  <si>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</si>
  <si>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</si>
  <si>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</si>
  <si>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</si>
  <si>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</si>
  <si>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</si>
  <si>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</si>
  <si>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</si>
  <si>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</si>
  <si>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</si>
  <si>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</si>
  <si>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</si>
  <si>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</si>
  <si>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</si>
  <si>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</si>
  <si>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</si>
  <si>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</si>
  <si>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</si>
  <si>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</si>
  <si>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</si>
  <si>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</si>
  <si>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</si>
  <si>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</si>
  <si>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</si>
  <si>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</si>
  <si>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</si>
  <si>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</si>
  <si>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</si>
  <si>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</si>
  <si>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</si>
  <si>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</si>
  <si>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</si>
  <si>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</si>
  <si>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</si>
  <si>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</si>
  <si>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</si>
  <si>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</si>
  <si>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</si>
  <si>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</si>
  <si>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</si>
  <si>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</si>
  <si>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</si>
  <si>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</si>
  <si>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</si>
  <si>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</si>
  <si>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</si>
  <si>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</si>
  <si>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</si>
  <si>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</si>
  <si>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</si>
  <si>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</si>
  <si>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</si>
  <si>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</si>
  <si>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</si>
  <si>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</si>
  <si>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</si>
  <si>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</si>
  <si>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</si>
  <si>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</si>
  <si>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</si>
  <si>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</si>
  <si>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</si>
  <si>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</si>
  <si>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</si>
  <si>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</si>
  <si>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</si>
  <si>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</si>
  <si>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</si>
  <si>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</si>
  <si>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</si>
  <si>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</si>
  <si>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</si>
  <si>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</si>
  <si>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</si>
  <si>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</si>
  <si>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</si>
  <si>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</si>
  <si>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</si>
  <si>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</si>
  <si>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</si>
  <si>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</si>
  <si>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</si>
  <si>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</si>
  <si>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</si>
  <si>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</si>
  <si>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</si>
  <si>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</si>
  <si>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</si>
  <si>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</si>
  <si>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</si>
  <si>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</si>
  <si>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</si>
  <si>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</si>
  <si>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</si>
  <si>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</si>
  <si>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</si>
  <si>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</si>
  <si>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</si>
  <si>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</si>
  <si>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</si>
  <si>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</si>
  <si>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</si>
  <si>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</si>
  <si>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</si>
  <si>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</si>
  <si>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</si>
  <si>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</si>
  <si>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</si>
  <si>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</si>
  <si>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</si>
  <si>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</si>
  <si>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</si>
  <si>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</si>
  <si>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</si>
  <si>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</si>
  <si>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</si>
  <si>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</si>
  <si>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</si>
  <si>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</si>
  <si>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</si>
  <si>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</si>
  <si>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</si>
  <si>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</si>
  <si>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</si>
  <si>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</si>
  <si>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</si>
  <si>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</si>
  <si>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</si>
  <si>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</si>
  <si>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</si>
  <si>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</si>
  <si>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</si>
  <si>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</si>
  <si>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</si>
  <si>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</si>
  <si>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</si>
  <si>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</si>
  <si>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</si>
  <si>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</si>
  <si>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</si>
  <si>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</si>
  <si>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</si>
  <si>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</si>
  <si>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</si>
  <si>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</si>
  <si>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</si>
  <si>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</si>
  <si>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</si>
  <si>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</si>
  <si>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</si>
  <si>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</si>
  <si>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</si>
  <si>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</si>
  <si>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</si>
  <si>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</si>
  <si>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</si>
  <si>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</si>
  <si>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</si>
  <si>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</si>
  <si>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</si>
  <si>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</si>
  <si>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</si>
  <si>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</si>
  <si>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</si>
  <si>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</si>
  <si>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</si>
  <si>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</si>
  <si>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</si>
  <si>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</si>
  <si>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</si>
  <si>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</si>
  <si>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</si>
  <si>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</si>
  <si>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</si>
  <si>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</si>
  <si>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</si>
  <si>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</si>
  <si>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</si>
  <si>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</si>
  <si>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</si>
  <si>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</si>
  <si>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</si>
  <si>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</si>
  <si>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</si>
  <si>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</si>
  <si>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</si>
  <si>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</si>
  <si>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</si>
  <si>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</si>
  <si>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</si>
  <si>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</si>
  <si>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</si>
  <si>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</si>
  <si>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</si>
  <si>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</si>
  <si>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</si>
  <si>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</si>
  <si>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</si>
  <si>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</si>
  <si>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</si>
  <si>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</si>
  <si>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</si>
  <si>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</si>
  <si>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</si>
  <si>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</si>
  <si>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</si>
  <si>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</si>
  <si>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</si>
  <si>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</si>
  <si>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</si>
  <si>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</si>
  <si>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</si>
  <si>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</si>
  <si>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</si>
  <si>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</si>
  <si>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</si>
  <si>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</si>
  <si>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</si>
  <si>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</si>
  <si>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</si>
  <si>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</si>
  <si>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</si>
  <si>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</si>
  <si>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</si>
  <si>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</si>
  <si>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</si>
  <si>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</si>
  <si>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</si>
  <si>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</si>
  <si>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</si>
  <si>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</si>
  <si>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</si>
  <si>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</si>
  <si>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</si>
  <si>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</si>
  <si>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</si>
  <si>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</si>
  <si>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</si>
  <si>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</si>
  <si>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</si>
  <si>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</si>
  <si>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</si>
  <si>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</si>
  <si>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</si>
  <si>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</si>
  <si>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</si>
  <si>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</si>
  <si>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</si>
  <si>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</si>
  <si>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</si>
  <si>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</si>
  <si>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</si>
  <si>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</si>
  <si>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</si>
  <si>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</si>
  <si>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</si>
  <si>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</si>
  <si>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</si>
  <si>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</si>
  <si>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</si>
  <si>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</si>
  <si>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</si>
  <si>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</si>
  <si>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</si>
  <si>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</si>
  <si>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</si>
  <si>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</si>
  <si>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</si>
  <si>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</si>
  <si>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</si>
  <si>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</si>
  <si>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</si>
  <si>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</si>
  <si>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</si>
  <si>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</si>
  <si>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</si>
  <si>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</si>
  <si>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</si>
  <si>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</si>
  <si>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</si>
  <si>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</si>
  <si>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</si>
  <si>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</si>
  <si>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</si>
  <si>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</si>
  <si>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</si>
  <si>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</si>
  <si>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</si>
  <si>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</si>
  <si>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</si>
  <si>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</si>
  <si>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</si>
  <si>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</si>
  <si>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</si>
  <si>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</si>
  <si>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</si>
  <si>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</si>
  <si>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</si>
  <si>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</si>
  <si>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</si>
  <si>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</si>
  <si>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</si>
  <si>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</si>
  <si>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</si>
  <si>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</si>
  <si>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</si>
  <si>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</si>
  <si>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</si>
  <si>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</si>
  <si>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</si>
  <si>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</si>
  <si>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</si>
  <si>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</si>
  <si>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</si>
  <si>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</si>
  <si>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</si>
  <si>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</si>
  <si>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</si>
  <si>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</si>
  <si>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</si>
  <si>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</si>
  <si>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</si>
  <si>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</si>
  <si>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</si>
  <si>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</si>
  <si>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</si>
  <si>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</si>
  <si>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</si>
  <si>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</si>
  <si>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</si>
  <si>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</si>
  <si>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</si>
  <si>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</si>
  <si>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</si>
  <si>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</si>
  <si>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</si>
  <si>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</si>
  <si>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</si>
  <si>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</si>
  <si>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</si>
  <si>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</si>
  <si>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</si>
  <si>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</si>
  <si>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</si>
  <si>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</si>
  <si>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</si>
  <si>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</si>
  <si>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</si>
  <si>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</si>
  <si>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</si>
  <si>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</si>
  <si>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</si>
  <si>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</si>
  <si>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</si>
  <si>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</si>
  <si>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</si>
  <si>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</si>
  <si>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</si>
  <si>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</si>
  <si>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</si>
  <si>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</si>
  <si>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</si>
  <si>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</si>
  <si>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</si>
  <si>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</si>
  <si>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</si>
  <si>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</si>
  <si>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</si>
  <si>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</si>
  <si>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</si>
  <si>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</si>
  <si>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</si>
  <si>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</si>
  <si>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</si>
  <si>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</si>
  <si>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</si>
  <si>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</si>
  <si>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</si>
  <si>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</si>
  <si>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</si>
  <si>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</si>
  <si>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</si>
  <si>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</si>
  <si>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</si>
  <si>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</si>
  <si>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</si>
  <si>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</si>
  <si>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</si>
  <si>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</si>
  <si>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</si>
  <si>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</si>
  <si>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</si>
  <si>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</si>
  <si>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</si>
  <si>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</si>
  <si>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</si>
  <si>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</si>
  <si>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</si>
  <si>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</si>
  <si>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</si>
  <si>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</si>
  <si>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</si>
  <si>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</si>
  <si>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</si>
  <si>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</si>
  <si>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</si>
  <si>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</si>
  <si>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</si>
  <si>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</si>
  <si>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</si>
  <si>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</si>
  <si>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</si>
  <si>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</si>
  <si>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</si>
  <si>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</si>
  <si>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</si>
  <si>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</si>
  <si>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</si>
  <si>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</si>
  <si>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</si>
  <si>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</si>
  <si>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</si>
  <si>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</si>
  <si>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</si>
  <si>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</si>
  <si>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</si>
  <si>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</si>
  <si>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</si>
  <si>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</si>
  <si>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</si>
  <si>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</si>
  <si>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</si>
  <si>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</si>
  <si>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</si>
  <si>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</si>
  <si>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</si>
  <si>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</si>
  <si>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</si>
  <si>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</si>
  <si>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</si>
  <si>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</si>
  <si>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</si>
  <si>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</si>
  <si>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</si>
  <si>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</si>
  <si>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</si>
  <si>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</si>
  <si>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</si>
  <si>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</si>
  <si>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</si>
  <si>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</si>
  <si>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</si>
  <si>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</si>
  <si>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</si>
  <si>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</si>
  <si>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</si>
  <si>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</si>
  <si>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</si>
  <si>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</si>
  <si>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</si>
  <si>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</si>
  <si>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</si>
  <si>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</si>
  <si>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</si>
  <si>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</si>
  <si>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</si>
  <si>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</si>
  <si>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</si>
  <si>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</si>
  <si>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</si>
  <si>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</si>
  <si>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</si>
  <si>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</si>
  <si>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</si>
  <si>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</si>
  <si>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</si>
  <si>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</si>
  <si>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</si>
  <si>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</si>
  <si>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</si>
  <si>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</si>
  <si>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</si>
  <si>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</si>
  <si>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</si>
  <si>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</si>
  <si>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</si>
  <si>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</si>
  <si>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</si>
  <si>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</si>
  <si>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</si>
  <si>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</si>
  <si>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</si>
  <si>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</si>
  <si>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</si>
  <si>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</si>
  <si>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</si>
  <si>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</si>
  <si>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</si>
  <si>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</si>
  <si>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</si>
  <si>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</si>
  <si>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</si>
  <si>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</si>
  <si>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</si>
  <si>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</si>
  <si>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</si>
  <si>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</si>
  <si>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</si>
  <si>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</si>
  <si>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</si>
  <si>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</si>
  <si>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</si>
  <si>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</si>
  <si>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</si>
  <si>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</si>
  <si>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</si>
  <si>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</si>
  <si>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</si>
  <si>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</si>
  <si>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</si>
  <si>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</si>
  <si>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</si>
  <si>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</si>
  <si>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</si>
  <si>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</si>
  <si>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</si>
  <si>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</si>
  <si>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</si>
  <si>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</si>
  <si>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</si>
  <si>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</si>
  <si>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</si>
  <si>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</si>
  <si>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</si>
  <si>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</si>
  <si>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</si>
  <si>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</si>
  <si>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</si>
  <si>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</si>
  <si>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</si>
  <si>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</si>
  <si>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</si>
  <si>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</si>
  <si>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</si>
  <si>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</si>
  <si>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</si>
  <si>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</si>
  <si>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</si>
  <si>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</si>
  <si>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</si>
  <si>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</si>
  <si>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</si>
  <si>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</si>
  <si>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</si>
  <si>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</si>
  <si>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</si>
  <si>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</si>
  <si>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</si>
  <si>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</si>
  <si>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</si>
  <si>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</si>
  <si>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</si>
  <si>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</si>
  <si>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</si>
  <si>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</si>
  <si>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</si>
  <si>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</si>
  <si>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</si>
  <si>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</si>
  <si>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</si>
  <si>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</si>
  <si>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</si>
  <si>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</si>
  <si>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</si>
  <si>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</si>
  <si>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</si>
  <si>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</si>
  <si>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</si>
  <si>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</si>
  <si>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</si>
  <si>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</si>
  <si>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</si>
  <si>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</si>
  <si>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</si>
  <si>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</si>
  <si>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</si>
  <si>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</si>
  <si>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</si>
  <si>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</si>
  <si>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</si>
  <si>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</si>
  <si>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</si>
  <si>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</si>
  <si>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</si>
  <si>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</si>
  <si>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</si>
  <si>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</si>
  <si>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</si>
  <si>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</si>
  <si>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</si>
  <si>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</si>
  <si>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</si>
  <si>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</si>
  <si>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</si>
  <si>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</si>
  <si>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</si>
  <si>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</si>
  <si>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</si>
  <si>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</si>
  <si>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</si>
  <si>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</si>
  <si>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</si>
  <si>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</si>
  <si>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</si>
  <si>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</si>
  <si>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</si>
  <si>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</si>
  <si>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</si>
  <si>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</si>
  <si>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</si>
  <si>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</si>
  <si>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</si>
  <si>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</si>
  <si>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</si>
  <si>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</si>
  <si>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</si>
  <si>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</si>
  <si>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</si>
  <si>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</si>
  <si>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</si>
  <si>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</si>
  <si>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</si>
  <si>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</si>
  <si>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</si>
  <si>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</si>
  <si>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</si>
  <si>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</si>
  <si>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</si>
  <si>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</si>
  <si>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</si>
  <si>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</si>
  <si>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</si>
  <si>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</si>
  <si>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</si>
  <si>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</si>
  <si>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</si>
  <si>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</si>
  <si>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</si>
  <si>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</si>
  <si>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</si>
  <si>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</si>
  <si>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</si>
  <si>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</si>
  <si>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</si>
  <si>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</si>
  <si>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</si>
  <si>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</si>
  <si>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</si>
  <si>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</si>
  <si>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</si>
  <si>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</si>
  <si>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</si>
  <si>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</si>
  <si>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</si>
  <si>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</si>
  <si>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</si>
  <si>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</si>
  <si>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</si>
  <si>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</si>
  <si>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</si>
  <si>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</si>
  <si>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</si>
  <si>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</si>
  <si>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</si>
  <si>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</si>
  <si>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</si>
  <si>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</si>
  <si>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</si>
  <si>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</si>
  <si>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</si>
  <si>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</si>
  <si>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</si>
  <si>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</si>
  <si>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</si>
  <si>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</si>
  <si>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</si>
  <si>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</si>
  <si>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</si>
  <si>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</si>
  <si>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</si>
  <si>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</si>
  <si>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</si>
  <si>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</si>
  <si>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</si>
  <si>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</si>
  <si>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</si>
  <si>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</si>
  <si>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</si>
  <si>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</si>
  <si>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</si>
  <si>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</si>
  <si>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</si>
  <si>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</si>
  <si>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</si>
  <si>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</si>
  <si>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</si>
  <si>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</si>
  <si>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</si>
  <si>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</si>
  <si>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</si>
  <si>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</si>
  <si>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</si>
  <si>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</si>
  <si>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</si>
  <si>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</si>
  <si>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</si>
  <si>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</si>
  <si>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</si>
  <si>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</si>
  <si>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</si>
  <si>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</si>
  <si>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</si>
  <si>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</si>
  <si>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</si>
  <si>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</si>
  <si>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</si>
  <si>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</si>
  <si>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</si>
  <si>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</si>
  <si>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</si>
  <si>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</si>
  <si>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</si>
  <si>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</si>
  <si>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</si>
  <si>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</si>
  <si>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</si>
  <si>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</si>
  <si>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</si>
  <si>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</si>
  <si>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</si>
  <si>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</si>
  <si>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</si>
  <si>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</si>
  <si>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</si>
  <si>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</si>
  <si>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</si>
  <si>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</si>
  <si>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</si>
  <si>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</si>
  <si>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</si>
  <si>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</si>
  <si>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</si>
  <si>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</si>
  <si>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</si>
  <si>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</si>
  <si>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</si>
  <si>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</si>
  <si>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</si>
  <si>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</si>
  <si>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</si>
  <si>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</si>
  <si>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</si>
  <si>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</si>
  <si>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</si>
  <si>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</si>
  <si>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</si>
  <si>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</si>
  <si>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</si>
  <si>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</si>
  <si>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</si>
  <si>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</si>
  <si>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</si>
  <si>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</si>
  <si>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</si>
  <si>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</si>
  <si>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</si>
  <si>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</si>
  <si>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</si>
  <si>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</si>
  <si>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</si>
  <si>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</si>
  <si>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</si>
  <si>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</si>
  <si>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</si>
  <si>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</si>
  <si>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</si>
  <si>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</si>
  <si>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</si>
  <si>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</si>
  <si>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</si>
  <si>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</si>
  <si>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</si>
  <si>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</si>
  <si>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</si>
  <si>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</si>
  <si>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</si>
  <si>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</si>
  <si>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</si>
  <si>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</si>
  <si>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</si>
  <si>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</si>
  <si>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</si>
  <si>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</si>
  <si>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</si>
  <si>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</si>
  <si>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</si>
  <si>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</si>
  <si>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</si>
  <si>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</si>
  <si>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</si>
  <si>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</si>
  <si>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</si>
  <si>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</si>
  <si>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</si>
  <si>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</si>
  <si>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</si>
  <si>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</si>
  <si>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</si>
  <si>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</si>
  <si>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</si>
  <si>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</si>
  <si>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</si>
  <si>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</si>
  <si>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</si>
  <si>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</si>
  <si>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</si>
  <si>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</si>
  <si>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</si>
  <si>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</si>
  <si>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</si>
  <si>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</si>
  <si>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</si>
  <si>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</si>
  <si>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</si>
  <si>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</si>
  <si>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</si>
  <si>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</si>
  <si>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</si>
  <si>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</si>
  <si>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</si>
  <si>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</si>
  <si>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</si>
  <si>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</si>
  <si>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</si>
  <si>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</si>
  <si>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</si>
  <si>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</si>
  <si>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</si>
  <si>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</si>
  <si>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</si>
  <si>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</si>
  <si>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</si>
  <si>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</si>
  <si>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</si>
  <si>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</si>
  <si>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</si>
  <si>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</si>
  <si>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</si>
  <si>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</si>
  <si>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</si>
  <si>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</si>
  <si>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</si>
  <si>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</si>
  <si>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</si>
  <si>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</si>
  <si>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</si>
  <si>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</si>
  <si>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</si>
  <si>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</si>
  <si>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</si>
  <si>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</si>
  <si>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</si>
  <si>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</si>
  <si>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</si>
  <si>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</si>
  <si>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</si>
  <si>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</si>
  <si>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</si>
  <si>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</si>
  <si>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</si>
  <si>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</si>
  <si>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</si>
  <si>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</si>
  <si>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</si>
  <si>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</si>
  <si>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</si>
  <si>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</si>
  <si>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</si>
  <si>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</si>
  <si>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</si>
  <si>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</si>
  <si>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</si>
  <si>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</si>
  <si>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</si>
  <si>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</si>
  <si>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</si>
  <si>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</si>
  <si>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</si>
  <si>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</si>
  <si>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</si>
  <si>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</si>
  <si>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</si>
  <si>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</si>
  <si>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</si>
  <si>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</si>
  <si>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</si>
  <si>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</si>
  <si>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</si>
  <si>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</si>
  <si>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</si>
  <si>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</si>
  <si>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</si>
  <si>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</si>
  <si>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</si>
  <si>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</si>
  <si>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</si>
  <si>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</si>
  <si>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</si>
  <si>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</si>
  <si>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</si>
  <si>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</si>
  <si>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</si>
  <si>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</si>
  <si>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</si>
  <si>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</si>
  <si>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</si>
  <si>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</si>
  <si>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</si>
  <si>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</si>
  <si>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</si>
  <si>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</si>
  <si>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</si>
  <si>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</si>
  <si>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</si>
  <si>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</si>
  <si>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</si>
  <si>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</si>
  <si>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</si>
  <si>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</si>
  <si>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</si>
  <si>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</si>
  <si>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</si>
  <si>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</si>
  <si>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</si>
  <si>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</si>
  <si>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</si>
  <si>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</si>
  <si>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</si>
  <si>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</si>
  <si>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</si>
  <si>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</si>
  <si>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</si>
  <si>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</si>
  <si>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</si>
  <si>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</si>
  <si>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</si>
  <si>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</si>
  <si>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</si>
  <si>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</si>
  <si>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</si>
  <si>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</si>
  <si>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</si>
  <si>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</si>
  <si>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</si>
  <si>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</si>
  <si>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</si>
  <si>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</si>
  <si>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</si>
  <si>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</si>
  <si>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</si>
  <si>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</si>
  <si>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</si>
  <si>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</si>
  <si>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</si>
  <si>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</si>
  <si>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</si>
  <si>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</si>
  <si>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</si>
  <si>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</si>
  <si>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</si>
  <si>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</si>
  <si>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</si>
  <si>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</si>
  <si>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</si>
  <si>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</si>
  <si>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</si>
  <si>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</si>
  <si>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</si>
  <si>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</si>
  <si>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</si>
  <si>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</si>
  <si>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</si>
  <si>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</si>
  <si>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</si>
  <si>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</si>
  <si>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</si>
  <si>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</si>
  <si>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</si>
  <si>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</si>
  <si>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</si>
  <si>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</si>
  <si>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</si>
  <si>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</si>
  <si>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</si>
  <si>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</si>
  <si>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</si>
  <si>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</si>
  <si>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</si>
  <si>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</si>
  <si>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</si>
  <si>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</si>
  <si>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</si>
  <si>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</si>
  <si>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</si>
  <si>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</si>
  <si>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</si>
  <si>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</si>
  <si>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</si>
  <si>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</si>
  <si>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</si>
  <si>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</si>
  <si>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</si>
  <si>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</si>
  <si>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</si>
  <si>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</si>
  <si>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</si>
  <si>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</si>
  <si>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</si>
  <si>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</si>
  <si>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</si>
  <si>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</si>
  <si>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</si>
  <si>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</si>
  <si>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</si>
  <si>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</si>
  <si>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</si>
  <si>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</si>
  <si>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</si>
  <si>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</si>
  <si>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</si>
  <si>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</si>
  <si>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</si>
  <si>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</si>
  <si>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</si>
  <si>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</si>
  <si>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</si>
  <si>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</si>
  <si>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</si>
  <si>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</si>
  <si>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</si>
  <si>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</si>
  <si>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</si>
  <si>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</si>
  <si>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</si>
  <si>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</si>
  <si>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</si>
  <si>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</si>
  <si>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</si>
  <si>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</si>
  <si>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</si>
  <si>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</si>
  <si>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</si>
  <si>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</si>
  <si>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</si>
  <si>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</si>
  <si>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</si>
  <si>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</si>
  <si>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</si>
  <si>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</si>
  <si>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</si>
  <si>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</si>
  <si>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</si>
  <si>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</si>
  <si>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</si>
  <si>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</si>
  <si>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</si>
  <si>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</si>
  <si>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</si>
  <si>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</si>
  <si>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</si>
  <si>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</si>
  <si>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</si>
  <si>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</si>
  <si>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</si>
  <si>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</si>
  <si>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</si>
  <si>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</si>
  <si>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</si>
  <si>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</si>
  <si>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</si>
  <si>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</si>
  <si>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</si>
  <si>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</si>
  <si>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</si>
  <si>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</si>
  <si>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</si>
  <si>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</si>
  <si>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</si>
  <si>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</si>
  <si>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</si>
  <si>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</si>
  <si>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</si>
  <si>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</si>
  <si>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</si>
  <si>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</si>
  <si>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</si>
  <si>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</si>
  <si>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</si>
  <si>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</si>
  <si>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</si>
  <si>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</si>
  <si>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</si>
  <si>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</si>
  <si>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</si>
  <si>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</si>
  <si>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</si>
  <si>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</si>
  <si>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</si>
  <si>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</si>
  <si>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</si>
  <si>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</si>
  <si>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</si>
  <si>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</si>
  <si>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</si>
  <si>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</si>
  <si>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</si>
  <si>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</si>
  <si>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</si>
  <si>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</si>
  <si>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</si>
  <si>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</si>
  <si>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</si>
  <si>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</si>
  <si>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</si>
  <si>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</si>
  <si>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</si>
  <si>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</si>
  <si>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</si>
  <si>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</si>
  <si>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</si>
  <si>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</si>
  <si>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</si>
  <si>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</si>
  <si>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</si>
  <si>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</si>
  <si>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</si>
  <si>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</si>
  <si>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</si>
  <si>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</si>
  <si>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</si>
  <si>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</si>
  <si>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</si>
  <si>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</si>
  <si>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</si>
  <si>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</si>
  <si>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</si>
  <si>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</si>
  <si>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</si>
  <si>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</si>
  <si>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</si>
  <si>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</si>
  <si>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</si>
  <si>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</si>
  <si>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</si>
  <si>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</si>
  <si>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</si>
  <si>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</si>
  <si>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</si>
  <si>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</si>
  <si>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</si>
  <si>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</si>
  <si>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</si>
  <si>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</si>
  <si>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</si>
  <si>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</si>
  <si>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</si>
  <si>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</si>
  <si>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</si>
  <si>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</si>
  <si>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</si>
  <si>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</si>
  <si>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</si>
  <si>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</si>
  <si>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</si>
  <si>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</si>
  <si>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</si>
  <si>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</si>
  <si>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</si>
  <si>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</si>
  <si>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</si>
  <si>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</si>
  <si>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</si>
  <si>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</si>
  <si>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</si>
  <si>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</si>
  <si>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</si>
  <si>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</si>
  <si>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</si>
  <si>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</si>
  <si>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</si>
  <si>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</si>
  <si>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</si>
  <si>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</si>
  <si>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</si>
  <si>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</si>
  <si>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</si>
  <si>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</si>
  <si>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</si>
  <si>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</si>
  <si>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</si>
  <si>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</si>
  <si>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</si>
  <si>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</si>
  <si>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</si>
  <si>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</si>
  <si>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</si>
  <si>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</si>
  <si>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</si>
  <si>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</si>
  <si>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</si>
  <si>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</si>
  <si>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</si>
  <si>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</si>
  <si>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</si>
  <si>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</si>
  <si>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</si>
  <si>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</si>
  <si>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</si>
  <si>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</si>
  <si>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</si>
  <si>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</si>
  <si>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</si>
  <si>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</si>
  <si>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</si>
  <si>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</si>
  <si>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</si>
  <si>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</si>
  <si>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</si>
  <si>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</si>
  <si>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</si>
  <si>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</si>
  <si>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</si>
  <si>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</si>
  <si>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</si>
  <si>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</si>
  <si>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</si>
  <si>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</si>
  <si>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</si>
  <si>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</si>
  <si>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</si>
  <si>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</si>
  <si>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</si>
  <si>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</si>
  <si>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</si>
  <si>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</si>
  <si>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</si>
  <si>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</si>
  <si>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</si>
  <si>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</si>
  <si>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</si>
  <si>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</si>
  <si>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</si>
  <si>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</si>
  <si>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</si>
  <si>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</si>
  <si>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</si>
  <si>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</si>
  <si>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</si>
  <si>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</si>
  <si>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</si>
  <si>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</si>
  <si>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</si>
  <si>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</si>
  <si>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</si>
  <si>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</si>
  <si>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</si>
  <si>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</si>
  <si>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</si>
  <si>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</si>
  <si>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</si>
  <si>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</si>
  <si>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</si>
  <si>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</si>
  <si>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</si>
  <si>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</si>
  <si>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</si>
  <si>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</si>
  <si>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</si>
  <si>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</si>
  <si>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</si>
  <si>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</si>
  <si>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</si>
  <si>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</si>
  <si>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</si>
  <si>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</si>
  <si>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</si>
  <si>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</si>
  <si>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</si>
  <si>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</si>
  <si>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</si>
  <si>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</si>
  <si>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</si>
  <si>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</si>
  <si>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</si>
  <si>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</si>
  <si>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</si>
  <si>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</si>
  <si>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</si>
  <si>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</si>
  <si>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</si>
  <si>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</si>
  <si>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</si>
  <si>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</si>
  <si>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</si>
  <si>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</si>
  <si>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</si>
  <si>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</si>
  <si>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</si>
  <si>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</si>
  <si>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</si>
  <si>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</si>
  <si>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</si>
  <si>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</si>
  <si>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</si>
  <si>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</si>
  <si>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</si>
  <si>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</si>
  <si>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</si>
  <si>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</si>
  <si>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</si>
  <si>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</si>
  <si>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</si>
  <si>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</si>
  <si>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</si>
  <si>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</si>
  <si>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</si>
  <si>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</si>
  <si>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</si>
  <si>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</si>
  <si>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</si>
  <si>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</si>
  <si>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</si>
  <si>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</si>
  <si>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</si>
  <si>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</si>
  <si>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</si>
  <si>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</si>
  <si>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</si>
  <si>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</si>
  <si>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</si>
  <si>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</si>
  <si>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</si>
  <si>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</si>
  <si>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</si>
  <si>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</si>
  <si>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</si>
  <si>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</si>
  <si>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</si>
  <si>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</si>
  <si>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</si>
  <si>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</si>
  <si>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</si>
  <si>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</si>
  <si>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</si>
  <si>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</si>
  <si>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</si>
  <si>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</si>
  <si>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</si>
  <si>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</si>
  <si>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</si>
  <si>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</si>
  <si>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</si>
  <si>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</si>
  <si>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</si>
  <si>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</si>
  <si>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</si>
  <si>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</si>
  <si>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</si>
  <si>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</si>
  <si>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</si>
  <si>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</si>
  <si>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</si>
  <si>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</si>
  <si>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</si>
  <si>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</si>
  <si>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</si>
  <si>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</si>
  <si>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</si>
  <si>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</si>
  <si>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</si>
  <si>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</si>
  <si>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</si>
  <si>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</si>
  <si>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</si>
  <si>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</si>
  <si>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</si>
  <si>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</si>
  <si>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</si>
  <si>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</si>
  <si>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</si>
  <si>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</si>
  <si>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</si>
  <si>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</si>
  <si>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</si>
  <si>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</si>
  <si>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</si>
  <si>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</si>
  <si>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</si>
  <si>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</si>
  <si>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</si>
  <si>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</si>
  <si>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</si>
  <si>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</si>
  <si>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</si>
  <si>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</si>
  <si>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</si>
  <si>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</si>
  <si>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</si>
  <si>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</si>
  <si>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</si>
  <si>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</si>
  <si>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</si>
  <si>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</si>
  <si>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</si>
  <si>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</si>
  <si>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</si>
  <si>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</si>
  <si>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</si>
  <si>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</si>
  <si>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</si>
  <si>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</si>
  <si>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</si>
  <si>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</si>
  <si>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</si>
  <si>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</si>
  <si>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</si>
  <si>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</si>
  <si>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</si>
  <si>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</si>
  <si>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</si>
  <si>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</si>
  <si>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</si>
  <si>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</si>
  <si>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</si>
  <si>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</si>
  <si>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</si>
  <si>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</si>
  <si>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</si>
  <si>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</si>
  <si>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</si>
  <si>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</si>
  <si>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</si>
  <si>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</si>
  <si>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</si>
  <si>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</si>
  <si>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</si>
  <si>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</si>
  <si>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</si>
  <si>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</si>
  <si>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</si>
  <si>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</si>
  <si>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</si>
  <si>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</si>
  <si>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</si>
  <si>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</si>
  <si>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</si>
  <si>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</si>
  <si>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</si>
  <si>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</si>
  <si>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</si>
  <si>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</si>
  <si>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</si>
  <si>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</si>
  <si>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</si>
  <si>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</si>
  <si>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</si>
  <si>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</si>
  <si>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</si>
  <si>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</si>
  <si>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</si>
  <si>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</si>
  <si>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</si>
  <si>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</si>
  <si>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</si>
  <si>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</si>
  <si>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</si>
  <si>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</si>
  <si>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</si>
  <si>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</si>
  <si>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</si>
  <si>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</si>
  <si>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</si>
  <si>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</si>
  <si>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</si>
  <si>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</si>
  <si>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</si>
  <si>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</si>
  <si>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</si>
  <si>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</si>
  <si>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</si>
  <si>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</si>
  <si>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</si>
  <si>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</si>
  <si>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</si>
  <si>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</si>
  <si>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</si>
  <si>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</si>
  <si>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</si>
  <si>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</si>
  <si>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</si>
  <si>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</si>
  <si>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</si>
  <si>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</si>
  <si>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</si>
  <si>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</si>
  <si>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</si>
  <si>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</si>
  <si>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</si>
  <si>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</si>
  <si>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</si>
  <si>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</si>
  <si>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</si>
  <si>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</si>
  <si>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</si>
  <si>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</si>
  <si>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</si>
  <si>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</si>
  <si>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</si>
  <si>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</si>
  <si>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</si>
  <si>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</si>
  <si>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</si>
  <si>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</si>
  <si>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</si>
  <si>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</si>
  <si>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</si>
  <si>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</si>
  <si>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</si>
  <si>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</si>
  <si>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</si>
  <si>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</si>
  <si>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</si>
  <si>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</si>
  <si>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</si>
  <si>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</si>
  <si>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</si>
  <si>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</si>
  <si>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</si>
  <si>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</si>
  <si>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</si>
  <si>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</si>
  <si>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</si>
  <si>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</si>
  <si>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</si>
  <si>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</si>
  <si>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</si>
  <si>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</si>
  <si>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</si>
  <si>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</si>
  <si>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</si>
  <si>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</si>
  <si>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</si>
  <si>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</si>
  <si>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</si>
  <si>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</si>
  <si>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</si>
  <si>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</si>
  <si>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</si>
  <si>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</si>
  <si>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</si>
  <si>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</si>
  <si>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</si>
  <si>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</si>
  <si>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</si>
  <si>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</si>
  <si>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</si>
  <si>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</si>
  <si>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</si>
  <si>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</si>
  <si>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</si>
  <si>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</si>
  <si>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</si>
  <si>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</si>
  <si>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</si>
  <si>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</si>
  <si>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</si>
  <si>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</si>
  <si>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</si>
  <si>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</si>
  <si>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</si>
  <si>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</si>
  <si>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</si>
  <si>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</si>
  <si>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</si>
  <si>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</si>
  <si>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</si>
  <si>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</si>
  <si>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</si>
  <si>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</si>
  <si>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</si>
  <si>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</si>
  <si>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</si>
  <si>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</si>
  <si>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</si>
  <si>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</si>
  <si>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</si>
  <si>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</si>
  <si>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</si>
  <si>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</si>
  <si>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</si>
  <si>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</si>
  <si>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</si>
  <si>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</si>
  <si>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</si>
  <si>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</si>
  <si>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</si>
  <si>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</si>
  <si>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</si>
  <si>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</si>
  <si>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</si>
  <si>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</si>
  <si>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</si>
  <si>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</si>
  <si>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</si>
  <si>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</si>
  <si>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</si>
  <si>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</si>
  <si>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</si>
  <si>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</si>
  <si>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</si>
  <si>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</si>
  <si>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</si>
  <si>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</si>
  <si>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</si>
  <si>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</si>
  <si>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</si>
  <si>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</si>
  <si>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</si>
  <si>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</si>
  <si>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</si>
  <si>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</si>
  <si>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</si>
  <si>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</si>
  <si>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</si>
  <si>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</si>
  <si>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</si>
  <si>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</si>
  <si>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</si>
  <si>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</si>
  <si>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</si>
  <si>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</si>
  <si>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</si>
  <si>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</si>
  <si>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</si>
  <si>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</si>
  <si>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</si>
  <si>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</si>
  <si>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</si>
  <si>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</si>
  <si>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</si>
  <si>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</si>
  <si>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</si>
  <si>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</si>
  <si>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</si>
  <si>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</si>
  <si>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</si>
  <si>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</si>
  <si>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</si>
  <si>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</si>
  <si>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</si>
  <si>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</si>
  <si>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</si>
  <si>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</si>
  <si>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</si>
  <si>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</si>
  <si>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</si>
  <si>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</si>
  <si>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</si>
  <si>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</si>
  <si>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</si>
  <si>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</si>
  <si>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</si>
  <si>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</si>
  <si>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</si>
  <si>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</si>
  <si>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</si>
  <si>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</si>
  <si>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</si>
  <si>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</si>
  <si>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</si>
  <si>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</si>
  <si>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</si>
  <si>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</si>
  <si>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</si>
  <si>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</si>
  <si>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</si>
  <si>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</si>
  <si>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</si>
  <si>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</si>
  <si>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</si>
  <si>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</si>
  <si>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</si>
  <si>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</si>
  <si>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</si>
  <si>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</si>
  <si>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</si>
  <si>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</si>
  <si>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</si>
  <si>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</si>
  <si>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</si>
  <si>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</si>
  <si>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</si>
  <si>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</si>
  <si>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</si>
  <si>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</si>
  <si>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</si>
  <si>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</si>
  <si>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</si>
  <si>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</si>
  <si>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</si>
  <si>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</si>
  <si>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</si>
  <si>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</si>
  <si>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</si>
  <si>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</si>
  <si>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</si>
  <si>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</si>
  <si>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</si>
  <si>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</si>
  <si>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</si>
  <si>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</si>
  <si>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</si>
  <si>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</si>
  <si>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</si>
  <si>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</si>
  <si>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</si>
  <si>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</si>
  <si>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</si>
  <si>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</si>
  <si>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</si>
  <si>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</si>
  <si>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</si>
  <si>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</si>
  <si>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</si>
  <si>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</si>
  <si>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</si>
  <si>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</si>
  <si>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</si>
  <si>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</si>
  <si>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</si>
  <si>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</si>
  <si>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</si>
  <si>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</si>
  <si>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</si>
  <si>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</si>
  <si>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</si>
  <si>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</si>
  <si>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</si>
  <si>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</si>
  <si>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</si>
  <si>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</si>
  <si>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</si>
  <si>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</si>
  <si>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</si>
  <si>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</si>
  <si>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</si>
  <si>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</si>
  <si>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</si>
  <si>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</si>
  <si>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</si>
  <si>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</si>
  <si>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</si>
  <si>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</si>
  <si>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</si>
  <si>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</si>
  <si>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</si>
  <si>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</si>
  <si>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</si>
  <si>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</si>
  <si>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</si>
  <si>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</si>
  <si>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</si>
  <si>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</si>
  <si>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</si>
  <si>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</si>
  <si>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</si>
  <si>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</si>
  <si>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</si>
  <si>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</si>
  <si>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</si>
  <si>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</si>
  <si>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</si>
  <si>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</si>
  <si>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</si>
  <si>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</si>
  <si>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</si>
  <si>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</si>
  <si>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</si>
  <si>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</si>
  <si>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</si>
  <si>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</si>
  <si>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</si>
  <si>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</si>
  <si>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</si>
  <si>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</si>
  <si>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</si>
  <si>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</si>
  <si>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</si>
  <si>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</si>
  <si>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</si>
  <si>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</si>
  <si>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</si>
  <si>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</si>
  <si>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</si>
  <si>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</si>
  <si>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</si>
  <si>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</si>
  <si>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</si>
  <si>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</si>
  <si>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</si>
  <si>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</si>
  <si>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</si>
  <si>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</si>
  <si>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</si>
  <si>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</si>
  <si>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</si>
  <si>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</si>
  <si>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</si>
  <si>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</si>
  <si>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</si>
  <si>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</si>
  <si>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</si>
  <si>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</si>
  <si>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</si>
  <si>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</si>
  <si>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</si>
  <si>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</si>
  <si>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</si>
  <si>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</si>
  <si>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</si>
  <si>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</si>
  <si>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</si>
  <si>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</si>
  <si>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</si>
  <si>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</si>
  <si>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</si>
  <si>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</si>
  <si>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</si>
  <si>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</si>
  <si>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</si>
  <si>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</si>
  <si>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</si>
  <si>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</si>
  <si>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</si>
  <si>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</si>
  <si>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</si>
  <si>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</si>
  <si>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</si>
  <si>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</si>
  <si>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</si>
  <si>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</si>
  <si>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</si>
  <si>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</si>
  <si>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</si>
  <si>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</si>
  <si>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</si>
  <si>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</si>
  <si>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</si>
  <si>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</si>
  <si>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</si>
  <si>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</si>
  <si>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</si>
  <si>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</si>
  <si>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</si>
  <si>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</si>
  <si>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</si>
  <si>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</si>
  <si>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</si>
  <si>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</si>
  <si>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</si>
  <si>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</si>
  <si>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</si>
  <si>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</si>
  <si>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</si>
  <si>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</si>
  <si>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</si>
  <si>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</si>
  <si>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</si>
  <si>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</si>
  <si>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</si>
  <si>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</si>
  <si>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</si>
  <si>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</si>
  <si>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</si>
  <si>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</si>
  <si>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</si>
  <si>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</si>
  <si>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</si>
  <si>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</si>
  <si>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</si>
  <si>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</si>
  <si>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</si>
  <si>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</si>
  <si>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</si>
  <si>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</si>
  <si>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</si>
  <si>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</si>
  <si>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</si>
  <si>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</si>
  <si>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</si>
  <si>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</si>
  <si>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</si>
  <si>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</si>
  <si>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</si>
  <si>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</si>
  <si>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</si>
  <si>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</si>
  <si>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</si>
  <si>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</si>
  <si>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</si>
  <si>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</si>
  <si>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</si>
  <si>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</si>
  <si>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</si>
  <si>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</si>
  <si>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</si>
  <si>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</si>
  <si>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</si>
  <si>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</si>
  <si>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</si>
  <si>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</si>
  <si>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</si>
  <si>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</si>
  <si>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</si>
  <si>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</si>
  <si>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</si>
  <si>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</si>
  <si>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</si>
  <si>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</si>
  <si>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</si>
  <si>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</si>
  <si>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</si>
  <si>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</si>
  <si>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</si>
  <si>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</si>
  <si>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</si>
  <si>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</si>
  <si>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</si>
  <si>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</si>
  <si>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</si>
  <si>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</si>
  <si>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</si>
  <si>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</si>
  <si>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</si>
  <si>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</si>
  <si>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</si>
  <si>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</si>
  <si>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</si>
  <si>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</si>
  <si>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</si>
  <si>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</si>
  <si>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</si>
  <si>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</si>
  <si>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</si>
  <si>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</si>
  <si>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</si>
  <si>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</si>
  <si>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</si>
  <si>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</si>
  <si>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</si>
  <si>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</si>
  <si>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</si>
  <si>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</si>
  <si>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</si>
  <si>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</si>
  <si>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</si>
  <si>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</si>
  <si>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</si>
  <si>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</si>
  <si>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</si>
  <si>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</si>
  <si>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</si>
  <si>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</si>
  <si>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</si>
  <si>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</si>
  <si>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</si>
  <si>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</si>
  <si>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</si>
  <si>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</si>
  <si>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</si>
  <si>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</si>
  <si>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</si>
  <si>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</si>
  <si>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</si>
  <si>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</si>
  <si>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</si>
  <si>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</si>
  <si>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</si>
  <si>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</si>
  <si>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</si>
  <si>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</si>
  <si>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</si>
  <si>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</si>
  <si>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</si>
  <si>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</si>
  <si>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</si>
  <si>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</si>
  <si>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</si>
  <si>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</si>
  <si>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</si>
  <si>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</si>
  <si>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</si>
  <si>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</si>
  <si>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</si>
  <si>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</si>
  <si>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</si>
  <si>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</si>
  <si>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</si>
  <si>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</si>
  <si>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</si>
  <si>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</si>
  <si>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</si>
  <si>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</si>
  <si>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</si>
  <si>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</si>
  <si>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</si>
  <si>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</si>
  <si>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</si>
  <si>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</si>
  <si>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</si>
  <si>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</si>
  <si>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</si>
  <si>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</si>
  <si>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</si>
  <si>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</si>
  <si>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</si>
  <si>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</si>
  <si>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</si>
  <si>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</si>
  <si>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</si>
  <si>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</si>
  <si>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</si>
  <si>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</si>
  <si>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</si>
  <si>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</si>
  <si>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</si>
  <si>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</si>
  <si>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</si>
  <si>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</si>
  <si>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</si>
  <si>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</si>
  <si>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</si>
  <si>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</si>
  <si>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</si>
  <si>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</si>
  <si>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</si>
  <si>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</si>
  <si>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</si>
  <si>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</si>
  <si>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</si>
  <si>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</si>
  <si>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</si>
  <si>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</si>
  <si>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</si>
  <si>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</si>
  <si>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</si>
  <si>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</si>
  <si>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</si>
  <si>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</si>
  <si>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</si>
  <si>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</si>
  <si>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</si>
  <si>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</si>
  <si>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</si>
  <si>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</si>
  <si>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</si>
  <si>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</si>
  <si>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</si>
  <si>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</si>
  <si>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</si>
  <si>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</si>
  <si>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</si>
  <si>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</si>
  <si>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</si>
  <si>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</si>
  <si>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</si>
  <si>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</si>
  <si>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</si>
  <si>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</si>
  <si>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</si>
  <si>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</si>
  <si>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</si>
  <si>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</si>
  <si>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</si>
  <si>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</si>
  <si>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</si>
  <si>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</si>
  <si>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</si>
  <si>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</si>
  <si>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</si>
  <si>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</si>
  <si>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</si>
  <si>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</si>
  <si>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</si>
  <si>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</si>
  <si>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</si>
  <si>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</si>
  <si>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</si>
  <si>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</si>
  <si>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</si>
  <si>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</si>
  <si>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</si>
  <si>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</si>
  <si>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</si>
  <si>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</si>
  <si>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</si>
  <si>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</si>
  <si>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</si>
  <si>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</si>
  <si>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</si>
  <si>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</si>
  <si>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</si>
  <si>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</si>
  <si>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</si>
  <si>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</si>
  <si>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</si>
  <si>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</si>
  <si>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</si>
  <si>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</si>
  <si>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</si>
  <si>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</si>
  <si>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</si>
  <si>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</si>
  <si>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</si>
  <si>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</si>
  <si>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</si>
  <si>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</si>
  <si>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</si>
  <si>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</si>
  <si>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</si>
  <si>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</si>
  <si>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</si>
  <si>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</si>
  <si>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</si>
  <si>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</si>
  <si>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</si>
  <si>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</si>
  <si>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</si>
  <si>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</si>
  <si>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</si>
  <si>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</si>
  <si>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</si>
  <si>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</si>
  <si>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</si>
  <si>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</si>
  <si>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</si>
  <si>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</si>
  <si>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</si>
  <si>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</si>
  <si>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</si>
  <si>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</si>
  <si>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</si>
  <si>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</si>
  <si>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</si>
  <si>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</si>
  <si>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</si>
  <si>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</si>
  <si>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</si>
  <si>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</si>
  <si>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</si>
  <si>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</si>
  <si>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</si>
  <si>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</si>
  <si>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</si>
  <si>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</si>
  <si>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</si>
  <si>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</si>
  <si>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</si>
  <si>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</si>
  <si>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</si>
  <si>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</si>
  <si>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</si>
  <si>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</si>
  <si>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</si>
  <si>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</si>
  <si>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</si>
  <si>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</si>
  <si>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</si>
  <si>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</si>
  <si>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</si>
  <si>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</si>
  <si>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</si>
  <si>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</si>
  <si>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</si>
  <si>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</si>
  <si>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</si>
  <si>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</si>
  <si>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</si>
  <si>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</si>
  <si>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</si>
  <si>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</si>
  <si>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</si>
  <si>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</si>
  <si>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</si>
  <si>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</si>
  <si>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</si>
  <si>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</si>
  <si>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</si>
  <si>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</si>
  <si>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</si>
  <si>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</si>
  <si>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</si>
  <si>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</si>
  <si>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</si>
  <si>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</si>
  <si>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</si>
  <si>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</si>
  <si>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</si>
  <si>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</si>
  <si>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</si>
  <si>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</si>
  <si>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</si>
  <si>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</si>
  <si>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</si>
  <si>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</si>
  <si>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</si>
  <si>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</si>
  <si>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</si>
  <si>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</si>
  <si>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</si>
  <si>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</si>
  <si>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</si>
  <si>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</si>
  <si>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</si>
  <si>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</si>
  <si>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</si>
  <si>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</si>
  <si>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</si>
  <si>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</si>
  <si>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</si>
  <si>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</si>
  <si>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</si>
  <si>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</si>
  <si>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</si>
  <si>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</si>
  <si>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</si>
  <si>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</si>
  <si>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</si>
  <si>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</si>
  <si>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</si>
  <si>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</si>
  <si>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</si>
  <si>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</si>
  <si>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</si>
  <si>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</si>
  <si>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</si>
  <si>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</si>
  <si>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</si>
  <si>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</si>
  <si>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</si>
  <si>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</si>
  <si>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</si>
  <si>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</si>
  <si>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</si>
  <si>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</si>
  <si>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</si>
  <si>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</si>
  <si>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</si>
  <si>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</si>
  <si>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</si>
  <si>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</si>
  <si>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</si>
  <si>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</si>
  <si>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</si>
  <si>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</si>
  <si>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</si>
  <si>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</si>
  <si>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</si>
  <si>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</si>
  <si>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</si>
  <si>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</si>
  <si>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</si>
  <si>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</si>
  <si>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</si>
  <si>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</si>
  <si>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</si>
  <si>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</si>
  <si>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</si>
  <si>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</si>
  <si>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</si>
  <si>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</si>
  <si>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</si>
  <si>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</si>
  <si>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</si>
  <si>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</si>
  <si>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</si>
  <si>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</si>
  <si>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</si>
  <si>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</si>
  <si>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</si>
  <si>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</si>
  <si>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</si>
  <si>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</si>
  <si>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</si>
  <si>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</si>
  <si>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</si>
  <si>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</si>
  <si>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</si>
  <si>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</si>
  <si>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</si>
  <si>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</si>
  <si>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</si>
  <si>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</si>
  <si>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</si>
  <si>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</si>
  <si>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</si>
  <si>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</si>
  <si>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</si>
  <si>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</si>
  <si>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</si>
  <si>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</si>
  <si>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</si>
  <si>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</si>
  <si>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</si>
  <si>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</si>
  <si>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</si>
  <si>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</si>
  <si>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</si>
  <si>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</si>
  <si>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</si>
  <si>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</si>
  <si>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</si>
  <si>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</si>
  <si>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</si>
  <si>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</si>
  <si>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</si>
  <si>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</si>
  <si>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</si>
  <si>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</si>
  <si>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</si>
  <si>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</si>
  <si>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</si>
  <si>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</si>
  <si>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</si>
  <si>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</si>
  <si>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</si>
  <si>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</si>
  <si>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</si>
  <si>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</si>
  <si>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</si>
  <si>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</si>
  <si>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</si>
  <si>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</si>
  <si>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</si>
  <si>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</si>
  <si>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</si>
  <si>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</si>
  <si>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</si>
  <si>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</si>
  <si>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</si>
  <si>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</si>
  <si>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</si>
  <si>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</si>
  <si>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</si>
  <si>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</si>
  <si>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</si>
  <si>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</si>
  <si>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</si>
  <si>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</si>
  <si>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</si>
  <si>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</si>
  <si>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</si>
  <si>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</si>
  <si>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</si>
  <si>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</si>
  <si>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</si>
  <si>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</si>
  <si>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</si>
  <si>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</si>
  <si>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</si>
  <si>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</si>
  <si>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</si>
  <si>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</si>
  <si>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</si>
  <si>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</si>
  <si>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</si>
  <si>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</si>
  <si>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</si>
  <si>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</si>
  <si>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</si>
  <si>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</si>
  <si>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</si>
  <si>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</si>
  <si>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</si>
  <si>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</si>
  <si>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</si>
  <si>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</si>
  <si>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</si>
  <si>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</si>
  <si>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</si>
  <si>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</si>
  <si>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</si>
  <si>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</si>
  <si>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</si>
  <si>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</si>
  <si>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</si>
  <si>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</si>
  <si>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</si>
  <si>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</si>
  <si>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</si>
  <si>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</si>
  <si>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</si>
  <si>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</si>
  <si>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</si>
  <si>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</si>
  <si>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</si>
  <si>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</si>
  <si>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</si>
  <si>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</si>
  <si>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</si>
  <si>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</si>
  <si>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</si>
  <si>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</si>
  <si>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</si>
  <si>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</si>
  <si>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</si>
  <si>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</si>
  <si>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</si>
  <si>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</si>
  <si>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</si>
  <si>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</si>
  <si>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</si>
  <si>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</si>
  <si>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</si>
  <si>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</si>
  <si>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</si>
  <si>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</si>
  <si>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</si>
  <si>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</si>
  <si>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</si>
  <si>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</si>
  <si>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</si>
  <si>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</si>
  <si>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</si>
  <si>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</si>
  <si>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</si>
  <si>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</si>
  <si>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</si>
  <si>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</si>
  <si>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</si>
  <si>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</si>
  <si>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</si>
  <si>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</si>
  <si>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</si>
  <si>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</si>
  <si>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</si>
  <si>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</si>
  <si>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</si>
  <si>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</si>
  <si>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</si>
  <si>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</si>
  <si>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</si>
  <si>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</si>
  <si>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</si>
  <si>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</si>
  <si>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</si>
  <si>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</si>
  <si>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</si>
  <si>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</si>
  <si>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</si>
  <si>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</si>
  <si>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</si>
  <si>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</si>
  <si>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</si>
  <si>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</si>
  <si>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</si>
  <si>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</si>
  <si>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</si>
  <si>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</si>
  <si>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</si>
  <si>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</si>
  <si>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</si>
  <si>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</si>
  <si>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</si>
  <si>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</si>
  <si>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</si>
  <si>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</si>
  <si>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</si>
  <si>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</si>
  <si>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</si>
  <si>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</si>
  <si>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</si>
  <si>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</si>
  <si>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</si>
  <si>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</si>
  <si>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</si>
  <si>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</si>
  <si>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</si>
  <si>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</si>
  <si>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</si>
  <si>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</si>
  <si>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</si>
  <si>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</si>
  <si>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</si>
  <si>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</si>
  <si>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</si>
  <si>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</si>
  <si>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</si>
  <si>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</si>
  <si>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</si>
  <si>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</si>
  <si>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</si>
  <si>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</si>
  <si>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</si>
  <si>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</si>
  <si>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</si>
  <si>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</si>
  <si>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</si>
  <si>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</si>
  <si>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</si>
  <si>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</si>
  <si>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</si>
  <si>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</si>
  <si>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</si>
  <si>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</si>
  <si>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</si>
  <si>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</si>
  <si>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</si>
  <si>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</si>
  <si>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</si>
  <si>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</si>
  <si>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</si>
  <si>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</si>
  <si>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</si>
  <si>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</si>
  <si>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</si>
  <si>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</si>
  <si>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</si>
  <si>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</si>
  <si>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</si>
  <si>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</si>
  <si>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</si>
  <si>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</si>
  <si>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</si>
  <si>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</si>
  <si>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</si>
  <si>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</si>
  <si>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</si>
  <si>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</si>
  <si>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</si>
  <si>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</si>
  <si>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</si>
  <si>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</si>
  <si>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</si>
  <si>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</si>
  <si>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</si>
  <si>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</si>
  <si>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</si>
  <si>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</si>
  <si>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</si>
  <si>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</si>
  <si>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</si>
  <si>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</si>
  <si>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</si>
  <si>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</si>
  <si>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</si>
  <si>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</si>
  <si>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</si>
  <si>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</si>
  <si>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</si>
  <si>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</si>
  <si>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</si>
  <si>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</si>
  <si>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</si>
  <si>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</si>
  <si>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</si>
  <si>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</si>
  <si>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</si>
  <si>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</si>
  <si>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</si>
  <si>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</si>
  <si>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</si>
  <si>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</si>
  <si>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</si>
  <si>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</si>
  <si>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</si>
  <si>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</si>
  <si>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</si>
  <si>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</si>
  <si>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</si>
  <si>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</si>
  <si>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</si>
  <si>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</si>
  <si>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</si>
  <si>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</si>
  <si>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</si>
  <si>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</si>
  <si>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</si>
  <si>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</si>
  <si>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</si>
  <si>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</si>
  <si>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</si>
  <si>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</si>
  <si>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</si>
  <si>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</si>
  <si>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</si>
  <si>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</si>
  <si>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</si>
  <si>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</si>
  <si>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</si>
  <si>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</si>
  <si>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</si>
  <si>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</si>
  <si>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</si>
  <si>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</si>
  <si>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</si>
  <si>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</si>
  <si>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</si>
  <si>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</si>
  <si>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</si>
  <si>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</si>
  <si>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</si>
  <si>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</si>
  <si>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</si>
  <si>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</si>
  <si>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</si>
  <si>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</si>
  <si>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</si>
  <si>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</si>
  <si>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</si>
  <si>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</si>
  <si>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</si>
  <si>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</si>
  <si>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</si>
  <si>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</si>
  <si>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</si>
  <si>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</si>
  <si>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</si>
  <si>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</si>
  <si>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</si>
  <si>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</si>
  <si>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</si>
  <si>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</si>
  <si>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</si>
  <si>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</si>
  <si>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</si>
  <si>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</si>
  <si>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</si>
  <si>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</si>
  <si>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</si>
  <si>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</si>
  <si>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</si>
  <si>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</si>
  <si>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</si>
  <si>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</si>
  <si>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</si>
  <si>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</si>
  <si>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</si>
  <si>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</si>
  <si>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</si>
  <si>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</si>
  <si>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</si>
  <si>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</si>
  <si>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</si>
  <si>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</si>
  <si>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</si>
  <si>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</si>
  <si>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</si>
  <si>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</si>
  <si>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</si>
  <si>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</si>
  <si>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</si>
  <si>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</si>
  <si>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</si>
  <si>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</si>
  <si>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</si>
  <si>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</si>
  <si>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</si>
  <si>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</si>
  <si>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</si>
  <si>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</si>
  <si>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</si>
  <si>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</si>
  <si>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</si>
  <si>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</si>
  <si>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</si>
  <si>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</si>
  <si>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</si>
  <si>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</si>
  <si>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</si>
  <si>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</si>
  <si>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</si>
  <si>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</si>
  <si>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</si>
  <si>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</si>
  <si>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</si>
  <si>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</si>
  <si>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</si>
  <si>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</si>
  <si>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</si>
  <si>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</si>
  <si>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</si>
  <si>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</si>
  <si>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</si>
  <si>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</si>
  <si>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</si>
  <si>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</si>
  <si>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</si>
  <si>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</si>
  <si>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</si>
  <si>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</si>
  <si>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</si>
  <si>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</si>
  <si>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</si>
  <si>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</si>
  <si>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</si>
  <si>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</si>
  <si>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</si>
  <si>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</si>
  <si>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</si>
  <si>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</si>
  <si>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</si>
  <si>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</si>
  <si>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</si>
  <si>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</si>
  <si>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</si>
  <si>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</si>
  <si>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</si>
  <si>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</si>
  <si>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</si>
  <si>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</si>
  <si>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</si>
  <si>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</si>
  <si>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</si>
  <si>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</si>
  <si>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</si>
  <si>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</si>
  <si>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</si>
  <si>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</si>
  <si>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</si>
  <si>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</si>
  <si>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</si>
  <si>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</si>
  <si>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</si>
  <si>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</si>
  <si>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</si>
  <si>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</si>
  <si>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</si>
  <si>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</si>
  <si>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</si>
  <si>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</si>
  <si>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</si>
  <si>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</si>
  <si>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</si>
  <si>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</si>
  <si>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</si>
  <si>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</si>
  <si>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</si>
  <si>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</si>
  <si>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</si>
  <si>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</si>
  <si>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</si>
  <si>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</si>
  <si>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</si>
  <si>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</si>
  <si>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</si>
  <si>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</si>
  <si>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</si>
  <si>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</si>
  <si>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</si>
  <si>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</si>
  <si>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</si>
  <si>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</si>
  <si>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</si>
  <si>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</si>
  <si>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</si>
  <si>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</si>
  <si>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</si>
  <si>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</si>
  <si>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</si>
  <si>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</si>
  <si>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</si>
  <si>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</si>
  <si>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</si>
  <si>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</si>
  <si>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</si>
  <si>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</si>
  <si>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</si>
  <si>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</si>
  <si>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</si>
  <si>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</si>
  <si>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</si>
  <si>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</si>
  <si>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</si>
  <si>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</si>
  <si>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</si>
  <si>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</si>
  <si>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</si>
  <si>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</si>
  <si>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</si>
  <si>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</si>
  <si>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</si>
  <si>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</si>
  <si>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</si>
  <si>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</si>
  <si>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</si>
  <si>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</si>
  <si>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</si>
  <si>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</si>
  <si>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</si>
  <si>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</si>
  <si>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</si>
  <si>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</si>
  <si>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</si>
  <si>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</si>
  <si>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</si>
  <si>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</si>
  <si>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</si>
  <si>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</si>
  <si>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</si>
  <si>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</si>
  <si>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</si>
  <si>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</si>
  <si>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</si>
  <si>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</si>
  <si>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</si>
  <si>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</si>
  <si>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</si>
  <si>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</si>
  <si>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</si>
  <si>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</si>
  <si>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</si>
  <si>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</si>
  <si>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</si>
  <si>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</si>
  <si>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</si>
  <si>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</si>
  <si>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</si>
  <si>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</si>
  <si>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</si>
  <si>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</si>
  <si>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</si>
  <si>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</si>
  <si>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</si>
  <si>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</si>
  <si>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</si>
  <si>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</si>
  <si>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</si>
  <si>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</si>
  <si>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</si>
  <si>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</si>
  <si>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</si>
  <si>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</si>
  <si>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</si>
  <si>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</si>
  <si>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</si>
  <si>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</si>
  <si>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</si>
  <si>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</si>
  <si>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</si>
  <si>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</si>
  <si>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</si>
  <si>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</si>
  <si>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</si>
  <si>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</si>
  <si>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</si>
  <si>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</si>
  <si>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</si>
  <si>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</si>
  <si>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</si>
  <si>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</si>
  <si>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</si>
  <si>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</si>
  <si>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</si>
  <si>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</si>
  <si>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</si>
  <si>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</si>
  <si>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</si>
  <si>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</si>
  <si>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</si>
  <si>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</si>
  <si>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</si>
  <si>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</si>
  <si>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</si>
  <si>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</si>
  <si>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</si>
  <si>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</si>
  <si>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</si>
  <si>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</si>
  <si>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</si>
  <si>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</si>
  <si>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</si>
  <si>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</si>
  <si>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</si>
  <si>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</si>
  <si>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</si>
  <si>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</si>
  <si>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</si>
  <si>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</si>
  <si>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</si>
  <si>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</si>
  <si>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</si>
  <si>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</si>
  <si>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</si>
  <si>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</si>
  <si>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</si>
  <si>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</si>
  <si>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</si>
  <si>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</si>
  <si>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</si>
  <si>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</si>
  <si>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</si>
  <si>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</si>
  <si>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</si>
  <si>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</si>
  <si>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</si>
  <si>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</si>
  <si>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</si>
  <si>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</si>
  <si>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</si>
  <si>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</si>
  <si>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</si>
  <si>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</si>
  <si>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</si>
  <si>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</si>
  <si>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</si>
  <si>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</si>
  <si>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</si>
  <si>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</si>
  <si>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</si>
  <si>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</si>
  <si>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</si>
  <si>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</si>
  <si>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</si>
  <si>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</si>
  <si>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</si>
  <si>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</si>
  <si>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</si>
  <si>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</si>
  <si>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</si>
  <si>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</si>
  <si>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</si>
  <si>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</si>
  <si>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</si>
  <si>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</si>
  <si>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</si>
  <si>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</si>
  <si>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</si>
  <si>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</si>
  <si>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</si>
  <si>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</si>
  <si>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</si>
  <si>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</si>
  <si>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</si>
  <si>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</si>
  <si>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</si>
  <si>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</si>
  <si>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</si>
  <si>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</si>
  <si>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</si>
  <si>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</si>
  <si>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</si>
  <si>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</si>
  <si>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</si>
  <si>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</si>
  <si>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</si>
  <si>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</si>
  <si>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</si>
  <si>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</si>
  <si>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</si>
  <si>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</si>
  <si>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</si>
  <si>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</si>
  <si>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</si>
  <si>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</si>
  <si>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</si>
  <si>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</si>
  <si>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</si>
  <si>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</si>
  <si>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</si>
  <si>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</si>
  <si>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</si>
  <si>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</si>
  <si>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</si>
  <si>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</si>
  <si>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</si>
  <si>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</si>
  <si>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</si>
  <si>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</si>
  <si>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</si>
  <si>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</si>
  <si>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</si>
  <si>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</si>
  <si>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</si>
  <si>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</si>
  <si>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</si>
  <si>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</si>
  <si>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</si>
  <si>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</si>
  <si>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</si>
  <si>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</si>
  <si>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</si>
  <si>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</si>
  <si>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</si>
  <si>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</si>
  <si>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</si>
  <si>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</si>
  <si>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</si>
  <si>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</si>
  <si>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</si>
  <si>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</si>
  <si>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</si>
  <si>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</si>
  <si>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</si>
  <si>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</si>
  <si>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</si>
  <si>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</si>
  <si>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</si>
  <si>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</si>
  <si>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</si>
  <si>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</si>
  <si>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</si>
  <si>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</si>
  <si>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</si>
  <si>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</si>
  <si>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</si>
  <si>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</si>
  <si>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</si>
  <si>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</si>
  <si>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</si>
  <si>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</si>
  <si>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</si>
  <si>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</si>
  <si>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</si>
  <si>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</si>
  <si>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</si>
  <si>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</si>
  <si>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</si>
  <si>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</si>
  <si>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</si>
  <si>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</si>
  <si>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</si>
  <si>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</si>
  <si>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</si>
  <si>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</si>
  <si>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</si>
  <si>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</si>
  <si>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</si>
  <si>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</si>
  <si>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</si>
  <si>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</si>
  <si>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</si>
  <si>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</si>
  <si>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</si>
  <si>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</si>
  <si>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</si>
  <si>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</si>
  <si>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</si>
  <si>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</si>
  <si>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</si>
  <si>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</si>
  <si>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</si>
  <si>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</si>
  <si>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</si>
  <si>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</si>
  <si>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</si>
  <si>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</si>
  <si>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</si>
  <si>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</si>
  <si>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</si>
  <si>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</si>
  <si>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</si>
  <si>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</si>
  <si>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</si>
  <si>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</si>
  <si>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</si>
  <si>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</si>
  <si>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</si>
  <si>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</si>
  <si>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</si>
  <si>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</si>
  <si>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</si>
  <si>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</si>
  <si>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</si>
  <si>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</si>
  <si>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</si>
  <si>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</si>
  <si>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</si>
  <si>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</si>
  <si>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</si>
  <si>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</si>
  <si>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</si>
  <si>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</si>
  <si>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</si>
  <si>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</si>
  <si>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</si>
  <si>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</si>
  <si>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</si>
  <si>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</si>
  <si>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</si>
  <si>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</si>
  <si>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</si>
  <si>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</si>
  <si>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</si>
  <si>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</si>
  <si>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</si>
  <si>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</si>
  <si>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</si>
  <si>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</si>
  <si>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</si>
  <si>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</si>
  <si>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</si>
  <si>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</si>
  <si>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</si>
  <si>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</si>
  <si>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</si>
  <si>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</si>
  <si>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</si>
  <si>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</si>
  <si>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</si>
  <si>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</si>
  <si>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</si>
  <si>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</si>
  <si>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</si>
  <si>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</si>
  <si>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</si>
  <si>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</si>
  <si>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</si>
  <si>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</si>
  <si>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</si>
  <si>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</si>
  <si>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</si>
  <si>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</si>
  <si>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</si>
  <si>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</si>
  <si>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</si>
  <si>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</si>
  <si>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</si>
  <si>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</si>
  <si>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</si>
  <si>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</si>
  <si>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</si>
  <si>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</si>
  <si>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</si>
  <si>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</si>
  <si>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</si>
  <si>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</si>
  <si>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</si>
  <si>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</si>
  <si>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</si>
  <si>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</si>
  <si>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</si>
  <si>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</si>
  <si>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</si>
  <si>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</si>
  <si>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</si>
  <si>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</si>
  <si>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</si>
  <si>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</si>
  <si>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</si>
  <si>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</si>
  <si>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</si>
  <si>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</si>
  <si>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</si>
  <si>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</si>
  <si>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</si>
  <si>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</si>
  <si>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</si>
  <si>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</si>
  <si>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</si>
  <si>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</si>
  <si>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</si>
  <si>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</si>
  <si>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</si>
  <si>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</si>
  <si>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</si>
  <si>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</si>
  <si>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</si>
  <si>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</si>
  <si>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</si>
  <si>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</si>
  <si>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</si>
  <si>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</si>
  <si>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</si>
  <si>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</si>
  <si>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</si>
  <si>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</si>
  <si>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</si>
  <si>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</si>
  <si>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</si>
  <si>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</si>
  <si>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</si>
  <si>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</si>
  <si>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</si>
  <si>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</si>
  <si>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</si>
  <si>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</si>
  <si>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</si>
  <si>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</si>
  <si>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</si>
  <si>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</si>
  <si>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</si>
  <si>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</si>
  <si>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</si>
  <si>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</si>
  <si>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</si>
  <si>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</si>
  <si>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</si>
  <si>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</si>
  <si>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</si>
  <si>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</si>
  <si>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</si>
  <si>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</si>
  <si>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</si>
  <si>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</si>
  <si>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</si>
  <si>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</si>
  <si>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</si>
  <si>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</si>
  <si>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</si>
  <si>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</si>
  <si>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</si>
  <si>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</si>
  <si>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</si>
  <si>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</si>
  <si>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</si>
  <si>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</si>
  <si>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</si>
  <si>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</si>
  <si>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</si>
  <si>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</si>
  <si>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</si>
  <si>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</si>
  <si>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</si>
  <si>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</si>
  <si>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</si>
  <si>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</si>
  <si>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</si>
  <si>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</si>
  <si>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</si>
  <si>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</si>
  <si>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</si>
  <si>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</si>
  <si>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</si>
  <si>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</si>
  <si>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</si>
  <si>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</si>
  <si>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</si>
  <si>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</si>
  <si>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</si>
  <si>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</si>
  <si>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</si>
  <si>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</si>
  <si>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</si>
  <si>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</si>
  <si>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</si>
  <si>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</si>
  <si>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</si>
  <si>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</si>
  <si>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</si>
  <si>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</si>
  <si>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</si>
  <si>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</si>
  <si>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</si>
  <si>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</si>
  <si>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</si>
  <si>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</si>
  <si>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</si>
  <si>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</si>
  <si>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</si>
  <si>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</si>
  <si>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</si>
  <si>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</si>
  <si>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</si>
  <si>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</si>
  <si>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</si>
  <si>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</si>
  <si>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</si>
  <si>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</si>
  <si>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</si>
  <si>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</si>
  <si>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</si>
  <si>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</si>
  <si>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</si>
  <si>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</si>
  <si>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</si>
  <si>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</si>
  <si>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</si>
  <si>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</si>
  <si>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</si>
  <si>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</si>
  <si>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</si>
  <si>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</si>
  <si>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</si>
  <si>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</si>
  <si>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</si>
  <si>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</si>
  <si>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</si>
  <si>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</si>
  <si>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</si>
  <si>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</si>
  <si>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</si>
  <si>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</si>
  <si>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</si>
  <si>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</si>
  <si>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</si>
  <si>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</si>
  <si>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</si>
  <si>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</si>
  <si>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</si>
  <si>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</si>
  <si>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</si>
  <si>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</si>
  <si>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</si>
  <si>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</si>
  <si>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</si>
  <si>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</si>
  <si>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</si>
  <si>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</si>
  <si>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</si>
  <si>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</si>
  <si>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</si>
  <si>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</si>
  <si>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</si>
  <si>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</si>
  <si>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</si>
  <si>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</si>
  <si>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</si>
  <si>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</si>
  <si>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</si>
  <si>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</si>
  <si>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</si>
  <si>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</si>
  <si>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</si>
  <si>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</si>
  <si>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</si>
  <si>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</si>
  <si>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</si>
  <si>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</si>
  <si>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</si>
  <si>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</si>
  <si>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</si>
  <si>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</si>
  <si>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</si>
  <si>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</si>
  <si>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</si>
  <si>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</si>
  <si>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</si>
  <si>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</si>
  <si>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</si>
  <si>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</si>
  <si>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</si>
  <si>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</si>
  <si>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</si>
  <si>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</si>
  <si>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</si>
  <si>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</si>
  <si>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</si>
  <si>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</si>
  <si>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</si>
  <si>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</si>
  <si>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</si>
  <si>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</si>
  <si>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</si>
  <si>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</si>
  <si>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</si>
  <si>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</si>
  <si>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</si>
  <si>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</si>
  <si>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</si>
  <si>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</si>
  <si>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</si>
  <si>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</si>
  <si>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</si>
  <si>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</si>
  <si>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</si>
  <si>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</si>
  <si>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</si>
  <si>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</si>
  <si>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</si>
  <si>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</si>
  <si>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</si>
  <si>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</si>
  <si>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</si>
  <si>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</si>
  <si>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</si>
  <si>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</si>
  <si>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</si>
  <si>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</si>
  <si>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</si>
  <si>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</si>
  <si>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</si>
  <si>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</si>
  <si>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</si>
  <si>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</si>
  <si>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</si>
  <si>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</si>
  <si>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</si>
  <si>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</si>
  <si>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</si>
  <si>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</si>
  <si>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</si>
  <si>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</si>
  <si>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</si>
  <si>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</si>
  <si>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</si>
  <si>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</si>
  <si>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</si>
  <si>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</si>
  <si>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</si>
  <si>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</si>
  <si>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</si>
  <si>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</si>
  <si>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</si>
  <si>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</si>
  <si>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</si>
  <si>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</si>
  <si>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</si>
  <si>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</si>
  <si>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</si>
  <si>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</si>
  <si>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</si>
  <si>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</si>
  <si>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</si>
  <si>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</si>
  <si>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</si>
  <si>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</si>
  <si>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</si>
  <si>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</si>
  <si>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</si>
  <si>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</si>
  <si>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</si>
  <si>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</si>
  <si>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</si>
  <si>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</si>
  <si>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</si>
  <si>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</si>
  <si>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</si>
  <si>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</si>
  <si>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</si>
  <si>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</si>
  <si>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</si>
  <si>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</si>
  <si>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</si>
  <si>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</si>
  <si>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</si>
  <si>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</si>
  <si>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</si>
  <si>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</si>
  <si>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</si>
  <si>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</si>
  <si>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</si>
  <si>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</si>
  <si>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</si>
  <si>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</si>
  <si>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</si>
  <si>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</si>
  <si>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</si>
  <si>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</si>
  <si>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</si>
  <si>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</si>
  <si>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</si>
  <si>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</si>
  <si>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</si>
  <si>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</si>
  <si>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</si>
  <si>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</si>
  <si>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</si>
  <si>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</si>
  <si>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</si>
  <si>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</si>
  <si>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</si>
  <si>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</si>
  <si>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</si>
  <si>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</si>
  <si>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</si>
  <si>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</si>
  <si>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</si>
  <si>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</si>
  <si>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</si>
  <si>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</si>
  <si>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</si>
  <si>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</si>
  <si>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</si>
  <si>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</si>
  <si>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</si>
  <si>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</si>
  <si>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</si>
  <si>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</si>
  <si>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</si>
  <si>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</si>
  <si>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</si>
  <si>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</si>
  <si>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</si>
  <si>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</si>
  <si>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</si>
  <si>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</si>
  <si>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</si>
  <si>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</si>
  <si>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</si>
  <si>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</si>
  <si>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</si>
  <si>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</si>
  <si>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</si>
  <si>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</si>
  <si>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</si>
  <si>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</si>
  <si>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</si>
  <si>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</si>
  <si>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</si>
  <si>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</si>
  <si>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</si>
  <si>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</si>
  <si>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</si>
  <si>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</si>
  <si>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</si>
  <si>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</si>
  <si>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</si>
  <si>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</si>
  <si>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</si>
  <si>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</si>
  <si>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</si>
  <si>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</si>
  <si>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</si>
  <si>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</si>
  <si>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</si>
  <si>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</si>
  <si>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</si>
  <si>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</si>
  <si>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</si>
  <si>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</si>
  <si>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</si>
  <si>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</si>
  <si>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</si>
  <si>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</si>
  <si>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</si>
  <si>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</si>
  <si>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</si>
  <si>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</si>
  <si>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</si>
  <si>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</si>
  <si>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</si>
  <si>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</si>
  <si>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</si>
  <si>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</si>
  <si>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</si>
  <si>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</si>
  <si>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</si>
  <si>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</si>
  <si>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</si>
  <si>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</si>
  <si>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</si>
  <si>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</si>
  <si>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</si>
  <si>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</si>
  <si>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</si>
  <si>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</si>
  <si>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</si>
  <si>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</si>
  <si>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</si>
  <si>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</si>
  <si>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</si>
  <si>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</si>
  <si>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</si>
  <si>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</si>
  <si>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</si>
  <si>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</si>
  <si>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</si>
  <si>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</si>
  <si>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</si>
  <si>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</si>
  <si>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</si>
  <si>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</si>
  <si>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</si>
  <si>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</si>
  <si>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</si>
  <si>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</si>
  <si>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</si>
  <si>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</si>
  <si>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</si>
  <si>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</si>
  <si>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</si>
  <si>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</si>
  <si>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</si>
  <si>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</si>
  <si>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</si>
  <si>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</si>
  <si>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</si>
  <si>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</si>
  <si>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</si>
  <si>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</si>
  <si>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</si>
  <si>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</si>
  <si>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</si>
  <si>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</si>
  <si>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</si>
  <si>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</si>
  <si>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</si>
  <si>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</si>
  <si>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</si>
  <si>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</si>
  <si>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</si>
  <si>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</si>
  <si>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</si>
  <si>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</si>
  <si>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</si>
  <si>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</si>
  <si>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</si>
  <si>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</si>
  <si>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</si>
  <si>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</si>
  <si>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</si>
  <si>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</si>
  <si>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</si>
  <si>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</si>
  <si>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</si>
  <si>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</si>
  <si>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</si>
  <si>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</si>
  <si>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</si>
  <si>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</si>
  <si>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</si>
  <si>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</si>
  <si>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</si>
  <si>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</si>
  <si>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</si>
  <si>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</si>
  <si>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</si>
  <si>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</si>
  <si>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</si>
  <si>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</si>
  <si>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</si>
  <si>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</si>
  <si>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</si>
  <si>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</si>
  <si>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</si>
  <si>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</si>
  <si>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</si>
  <si>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</si>
  <si>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</si>
  <si>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</si>
  <si>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</si>
  <si>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</si>
  <si>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</si>
  <si>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</si>
  <si>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</si>
  <si>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</si>
  <si>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</si>
  <si>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</si>
  <si>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</si>
  <si>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</si>
  <si>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</si>
  <si>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</si>
  <si>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</si>
  <si>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</si>
  <si>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</si>
  <si>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</si>
  <si>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</si>
  <si>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</si>
  <si>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</si>
  <si>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</si>
  <si>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</si>
  <si>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</si>
  <si>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</si>
  <si>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</si>
  <si>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</si>
  <si>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</si>
  <si>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</si>
  <si>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</si>
  <si>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</si>
  <si>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</si>
  <si>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</si>
  <si>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</si>
  <si>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</si>
  <si>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</si>
  <si>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</si>
  <si>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</si>
  <si>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</si>
  <si>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</si>
  <si>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</si>
  <si>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</si>
  <si>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</si>
  <si>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</si>
  <si>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</si>
  <si>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</si>
  <si>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</si>
  <si>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</si>
  <si>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</si>
  <si>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</si>
  <si>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</si>
  <si>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</si>
  <si>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</si>
  <si>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</si>
  <si>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</si>
  <si>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</si>
  <si>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</si>
  <si>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</si>
  <si>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</si>
  <si>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</si>
  <si>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</si>
  <si>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</si>
  <si>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</si>
  <si>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</si>
  <si>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</si>
  <si>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</si>
  <si>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</si>
  <si>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</si>
  <si>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</si>
  <si>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</si>
  <si>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</si>
  <si>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</si>
  <si>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</si>
  <si>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</si>
  <si>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</si>
  <si>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</si>
  <si>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</si>
  <si>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</si>
  <si>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</si>
  <si>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</si>
  <si>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</si>
  <si>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</si>
  <si>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</si>
  <si>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</si>
  <si>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</si>
  <si>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</si>
  <si>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</si>
  <si>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</si>
  <si>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</si>
  <si>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</si>
  <si>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</si>
  <si>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</si>
  <si>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</si>
  <si>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</si>
  <si>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</si>
  <si>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</si>
  <si>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</si>
  <si>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</si>
  <si>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</si>
  <si>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</si>
  <si>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</si>
  <si>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</si>
  <si>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</si>
  <si>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</si>
  <si>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</si>
  <si>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</si>
  <si>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</si>
  <si>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</si>
  <si>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</si>
  <si>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</si>
  <si>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</si>
  <si>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</si>
  <si>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진해해군</t>
    <phoneticPr fontId="2" type="noConversion"/>
  </si>
  <si>
    <t>외주 정비 견적 기술지원</t>
    <phoneticPr fontId="2" type="noConversion"/>
  </si>
  <si>
    <t>외주정비</t>
    <phoneticPr fontId="2" type="noConversion"/>
  </si>
  <si>
    <t>인도후</t>
    <phoneticPr fontId="2" type="noConversion"/>
  </si>
  <si>
    <t>김기환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</si>
  <si>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</si>
  <si>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</si>
  <si>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</si>
  <si>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</si>
  <si>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</si>
  <si>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</si>
  <si>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</si>
  <si>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</si>
  <si>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</si>
  <si>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</si>
  <si>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개인차량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</si>
  <si>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</si>
  <si>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</si>
  <si>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</si>
  <si>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</si>
  <si>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</si>
  <si>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</si>
  <si>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</si>
  <si>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</si>
  <si>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</si>
  <si>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</si>
  <si>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</si>
  <si>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</si>
  <si>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</si>
  <si>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</si>
  <si>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</si>
  <si>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</si>
  <si>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</si>
  <si>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</si>
  <si>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</si>
  <si>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</si>
  <si>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</si>
  <si>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</si>
  <si>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</si>
  <si>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</si>
  <si>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근로자의 날</t>
    <phoneticPr fontId="2" type="noConversion"/>
  </si>
  <si>
    <t>창립기념일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</si>
</sst>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7"/>
  <sheetViews>
    <sheetView showGridLines="0" tabSelected="1" topLeftCell="A194" zoomScaleNormal="100" workbookViewId="0">
      <selection activeCell="G222" sqref="G22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2" t="s">
        <v>3301</v>
      </c>
      <c r="B1" s="572"/>
      <c r="C1" s="572"/>
      <c r="D1" s="572"/>
      <c r="E1" s="572"/>
      <c r="F1" s="572"/>
      <c r="G1" s="572"/>
      <c r="H1" s="572"/>
      <c r="I1" s="572"/>
      <c r="J1" s="572"/>
      <c r="K1" s="572"/>
      <c r="L1" s="572"/>
      <c r="M1" s="572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73"/>
      <c r="Q22" s="574"/>
      <c r="R22" s="574"/>
      <c r="S22" s="574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73"/>
      <c r="Q27" s="574"/>
      <c r="R27" s="574"/>
      <c r="S27" s="574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73"/>
      <c r="Q36" s="574"/>
      <c r="R36" s="574"/>
      <c r="S36" s="574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73"/>
      <c r="Q37" s="574"/>
      <c r="R37" s="574"/>
      <c r="S37" s="574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3"/>
      <c r="Q40" s="574"/>
      <c r="R40" s="574"/>
      <c r="S40" s="574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73"/>
      <c r="Q41" s="574"/>
      <c r="R41" s="574"/>
      <c r="S41" s="574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3" t="s">
        <v>4433</v>
      </c>
      <c r="Q43" s="574"/>
      <c r="R43" s="574"/>
      <c r="S43" s="574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73"/>
      <c r="Q61" s="574"/>
      <c r="R61" s="574"/>
      <c r="S61" s="574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73"/>
      <c r="Q64" s="574"/>
      <c r="R64" s="574"/>
      <c r="S64" s="574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73"/>
      <c r="Q67" s="574"/>
      <c r="R67" s="574"/>
      <c r="S67" s="574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3"/>
      <c r="Q74" s="574"/>
      <c r="R74" s="574"/>
      <c r="S74" s="574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73"/>
      <c r="Q83" s="574"/>
      <c r="R83" s="574"/>
      <c r="S83" s="574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73"/>
      <c r="Q85" s="574"/>
      <c r="R85" s="574"/>
      <c r="S85" s="574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73" t="s">
        <v>4433</v>
      </c>
      <c r="Q93" s="574"/>
      <c r="R93" s="574"/>
      <c r="S93" s="574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77"/>
      <c r="Q169" s="578"/>
      <c r="R169" s="578"/>
      <c r="S169" s="578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5" t="s">
        <v>4740</v>
      </c>
      <c r="Q182" s="576"/>
      <c r="R182" s="576"/>
      <c r="S182" s="576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4974</v>
      </c>
      <c r="D193" s="3"/>
      <c r="E193" s="489"/>
      <c r="F193" s="489"/>
      <c r="G193" s="494"/>
      <c r="H193" s="488" t="s">
        <v>4976</v>
      </c>
      <c r="I193" s="489"/>
      <c r="J193" s="488" t="s">
        <v>4977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4974</v>
      </c>
      <c r="D195" s="3"/>
      <c r="E195" s="489"/>
      <c r="F195" s="489"/>
      <c r="G195" s="494"/>
      <c r="H195" s="488" t="s">
        <v>4976</v>
      </c>
      <c r="I195" s="489"/>
      <c r="J195" s="488" t="s">
        <v>4977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5005</v>
      </c>
      <c r="I199" s="540"/>
      <c r="J199" s="541" t="s">
        <v>5006</v>
      </c>
      <c r="K199" s="126" t="s">
        <v>5007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4974</v>
      </c>
      <c r="D200" s="4"/>
      <c r="E200" s="534" t="s">
        <v>4979</v>
      </c>
      <c r="F200" s="31" t="s">
        <v>3632</v>
      </c>
      <c r="G200" s="16" t="s">
        <v>4980</v>
      </c>
      <c r="H200" s="199" t="s">
        <v>4978</v>
      </c>
      <c r="I200" s="31"/>
      <c r="J200" s="31" t="s">
        <v>4975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5003</v>
      </c>
      <c r="I201" s="489" t="s">
        <v>5000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5004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8"/>
      <c r="P203" s="495"/>
      <c r="Q203" s="549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4998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4997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5337</v>
      </c>
      <c r="D206" s="3" t="s">
        <v>5338</v>
      </c>
      <c r="E206" s="488" t="s">
        <v>5335</v>
      </c>
      <c r="F206" s="489" t="s">
        <v>5334</v>
      </c>
      <c r="G206" s="494"/>
      <c r="H206" s="488" t="s">
        <v>5336</v>
      </c>
      <c r="I206" s="489" t="s">
        <v>5339</v>
      </c>
      <c r="J206" s="489"/>
      <c r="K206" s="137"/>
      <c r="L206" s="494" t="s">
        <v>5350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5341</v>
      </c>
      <c r="D207" s="3" t="s">
        <v>5342</v>
      </c>
      <c r="E207" s="489" t="s">
        <v>5343</v>
      </c>
      <c r="F207" s="489" t="s">
        <v>5344</v>
      </c>
      <c r="G207" s="494" t="s">
        <v>5345</v>
      </c>
      <c r="H207" s="488" t="s">
        <v>5346</v>
      </c>
      <c r="I207" s="489" t="s">
        <v>5340</v>
      </c>
      <c r="J207" s="488" t="s">
        <v>5347</v>
      </c>
      <c r="K207" s="137" t="s">
        <v>5348</v>
      </c>
      <c r="L207" s="494" t="s">
        <v>5349</v>
      </c>
      <c r="M207" s="490">
        <v>1</v>
      </c>
      <c r="N207" s="489"/>
      <c r="O207" s="461"/>
    </row>
    <row r="208" spans="1:17" s="17" customFormat="1" ht="33" customHeight="1">
      <c r="A208" s="453"/>
      <c r="B208" s="415">
        <v>46108</v>
      </c>
      <c r="C208" s="3" t="s">
        <v>4999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4997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4"/>
      <c r="D209" s="4"/>
      <c r="E209" s="31"/>
      <c r="F209" s="31"/>
      <c r="G209" s="16"/>
      <c r="H209" s="199"/>
      <c r="I209" s="31"/>
      <c r="J209" s="31"/>
      <c r="K209" s="126"/>
      <c r="L209" s="16"/>
      <c r="M209" s="8"/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5376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3"/>
      <c r="D213" s="3"/>
      <c r="E213" s="488"/>
      <c r="F213" s="493"/>
      <c r="G213" s="494"/>
      <c r="H213" s="488"/>
      <c r="I213" s="488"/>
      <c r="J213" s="488"/>
      <c r="K213" s="137"/>
      <c r="L213" s="494"/>
      <c r="M213" s="490"/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/>
      <c r="J214" s="199" t="s">
        <v>488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189" t="s">
        <v>4947</v>
      </c>
      <c r="D215" s="189" t="s">
        <v>4948</v>
      </c>
      <c r="E215" s="324" t="s">
        <v>1794</v>
      </c>
      <c r="F215" s="550" t="s">
        <v>4963</v>
      </c>
      <c r="G215" s="401" t="s">
        <v>4964</v>
      </c>
      <c r="H215" s="246" t="s">
        <v>5324</v>
      </c>
      <c r="I215" s="324" t="s">
        <v>5001</v>
      </c>
      <c r="J215" s="246" t="s">
        <v>4965</v>
      </c>
      <c r="K215" s="247" t="s">
        <v>4966</v>
      </c>
      <c r="L215" s="401" t="s">
        <v>5002</v>
      </c>
      <c r="M215" s="420">
        <v>3</v>
      </c>
      <c r="N215" s="450"/>
      <c r="O215" s="459"/>
    </row>
    <row r="216" spans="1:16" s="17" customFormat="1" ht="33" customHeight="1">
      <c r="A216" s="453"/>
      <c r="B216" s="415">
        <v>46112</v>
      </c>
      <c r="C216" s="4"/>
      <c r="D216" s="4"/>
      <c r="E216" s="31"/>
      <c r="F216" s="31"/>
      <c r="G216" s="16"/>
      <c r="H216" s="199"/>
      <c r="I216" s="31"/>
      <c r="J216" s="199"/>
      <c r="K216" s="126"/>
      <c r="L216" s="16"/>
      <c r="M216" s="8"/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5333</v>
      </c>
      <c r="F217" s="550" t="s">
        <v>3372</v>
      </c>
      <c r="G217" s="401" t="s">
        <v>23</v>
      </c>
      <c r="H217" s="246" t="s">
        <v>5324</v>
      </c>
      <c r="I217" s="324"/>
      <c r="J217" s="246" t="s">
        <v>642</v>
      </c>
      <c r="K217" s="247" t="s">
        <v>15</v>
      </c>
      <c r="L217" s="401"/>
      <c r="M217" s="420">
        <v>2</v>
      </c>
      <c r="N217" s="31" t="s">
        <v>4717</v>
      </c>
      <c r="O217" s="459"/>
    </row>
    <row r="218" spans="1:16" s="17" customFormat="1" ht="33" customHeight="1">
      <c r="A218" s="453"/>
      <c r="B218" s="415">
        <v>46113</v>
      </c>
      <c r="C218" s="4"/>
      <c r="D218" s="4"/>
      <c r="E218" s="299"/>
      <c r="F218" s="31"/>
      <c r="G218" s="16"/>
      <c r="H218" s="199"/>
      <c r="I218" s="31"/>
      <c r="J218" s="31"/>
      <c r="K218" s="126"/>
      <c r="L218" s="16"/>
      <c r="M218" s="8"/>
      <c r="N218" s="31"/>
      <c r="O218" s="461"/>
    </row>
    <row r="219" spans="1:16" s="17" customFormat="1" ht="33" customHeight="1">
      <c r="A219" s="453"/>
      <c r="B219" s="415">
        <v>46114</v>
      </c>
      <c r="C219" s="189" t="s">
        <v>21</v>
      </c>
      <c r="D219" s="189" t="s">
        <v>14</v>
      </c>
      <c r="E219" s="324" t="s">
        <v>108</v>
      </c>
      <c r="F219" s="324" t="s">
        <v>2978</v>
      </c>
      <c r="G219" s="401" t="s">
        <v>144</v>
      </c>
      <c r="H219" s="246" t="s">
        <v>272</v>
      </c>
      <c r="I219" s="324"/>
      <c r="J219" s="324" t="s">
        <v>642</v>
      </c>
      <c r="K219" s="247" t="s">
        <v>15</v>
      </c>
      <c r="L219" s="401"/>
      <c r="M219" s="8">
        <v>2</v>
      </c>
      <c r="N219" s="450"/>
      <c r="O219" s="459"/>
    </row>
    <row r="220" spans="1:16" s="17" customFormat="1" ht="33" customHeight="1">
      <c r="A220" s="453"/>
      <c r="B220" s="415">
        <v>46114</v>
      </c>
      <c r="C220" s="4"/>
      <c r="D220" s="4"/>
      <c r="E220" s="299"/>
      <c r="F220" s="31"/>
      <c r="G220" s="16"/>
      <c r="H220" s="199"/>
      <c r="I220" s="31"/>
      <c r="J220" s="31"/>
      <c r="K220" s="126"/>
      <c r="L220" s="16"/>
      <c r="M220" s="8"/>
      <c r="N220" s="31"/>
      <c r="O220" s="461"/>
    </row>
    <row r="221" spans="1:16" s="17" customFormat="1" ht="33" customHeight="1">
      <c r="A221" s="453"/>
      <c r="B221" s="415">
        <v>46115</v>
      </c>
      <c r="C221" s="189" t="s">
        <v>21</v>
      </c>
      <c r="D221" s="189" t="s">
        <v>14</v>
      </c>
      <c r="E221" s="324" t="s">
        <v>108</v>
      </c>
      <c r="F221" s="324" t="s">
        <v>2978</v>
      </c>
      <c r="G221" s="401" t="s">
        <v>144</v>
      </c>
      <c r="H221" s="246" t="s">
        <v>272</v>
      </c>
      <c r="I221" s="324"/>
      <c r="J221" s="324" t="s">
        <v>642</v>
      </c>
      <c r="K221" s="247" t="s">
        <v>15</v>
      </c>
      <c r="L221" s="401"/>
      <c r="M221" s="8">
        <v>2</v>
      </c>
      <c r="N221" s="31" t="s">
        <v>4717</v>
      </c>
      <c r="O221" s="458"/>
    </row>
    <row r="222" spans="1:16" s="17" customFormat="1" ht="33" customHeight="1">
      <c r="A222" s="453"/>
      <c r="B222" s="415">
        <v>46115</v>
      </c>
      <c r="C222" s="4"/>
      <c r="D222" s="4"/>
      <c r="E222" s="31"/>
      <c r="F222" s="31"/>
      <c r="G222" s="16"/>
      <c r="H222" s="199"/>
      <c r="I222" s="31"/>
      <c r="J222" s="31"/>
      <c r="K222" s="126"/>
      <c r="L222" s="16"/>
      <c r="M222" s="8"/>
      <c r="N222" s="31"/>
      <c r="O222" s="457"/>
    </row>
    <row r="223" spans="1:16" s="17" customFormat="1" ht="33" customHeight="1">
      <c r="A223" s="453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199"/>
      <c r="O223" s="467"/>
    </row>
    <row r="224" spans="1:16" s="17" customFormat="1" ht="33" customHeight="1">
      <c r="A224" s="454"/>
      <c r="B224" s="415">
        <v>46116</v>
      </c>
      <c r="C224" s="4"/>
      <c r="D224" s="4"/>
      <c r="E224" s="31"/>
      <c r="F224" s="31"/>
      <c r="G224" s="16"/>
      <c r="H224" s="199"/>
      <c r="I224" s="199"/>
      <c r="J224" s="199"/>
      <c r="K224" s="126"/>
      <c r="L224" s="16"/>
      <c r="M224" s="8"/>
      <c r="N224" s="31"/>
      <c r="O224" s="461"/>
    </row>
    <row r="225" spans="1:16" s="17" customFormat="1" ht="33" customHeight="1">
      <c r="A225" s="455" t="s">
        <v>0</v>
      </c>
      <c r="B225" s="333" t="s">
        <v>1</v>
      </c>
      <c r="C225" s="332" t="s">
        <v>2</v>
      </c>
      <c r="D225" s="332" t="s">
        <v>3</v>
      </c>
      <c r="E225" s="332" t="s">
        <v>4</v>
      </c>
      <c r="F225" s="332" t="s">
        <v>5</v>
      </c>
      <c r="G225" s="332" t="s">
        <v>6</v>
      </c>
      <c r="H225" s="334" t="s">
        <v>7</v>
      </c>
      <c r="I225" s="332" t="s">
        <v>8</v>
      </c>
      <c r="J225" s="332" t="s">
        <v>9</v>
      </c>
      <c r="K225" s="335" t="s">
        <v>10</v>
      </c>
      <c r="L225" s="336" t="s">
        <v>11</v>
      </c>
      <c r="M225" s="332" t="s">
        <v>12</v>
      </c>
      <c r="N225" s="337" t="s">
        <v>13</v>
      </c>
      <c r="O225" s="456" t="s">
        <v>63</v>
      </c>
    </row>
    <row r="226" spans="1:16" s="17" customFormat="1" ht="33" customHeight="1">
      <c r="A226" s="452" t="s">
        <v>4539</v>
      </c>
      <c r="B226" s="415">
        <v>46118</v>
      </c>
      <c r="C226" s="3"/>
      <c r="D226" s="3"/>
      <c r="E226" s="489"/>
      <c r="F226" s="489"/>
      <c r="G226" s="494"/>
      <c r="H226" s="488"/>
      <c r="I226" s="489"/>
      <c r="J226" s="489"/>
      <c r="K226" s="137"/>
      <c r="L226" s="494"/>
      <c r="M226" s="490"/>
      <c r="N226" s="491"/>
      <c r="O226" s="496"/>
    </row>
    <row r="227" spans="1:16" s="17" customFormat="1" ht="33" customHeight="1">
      <c r="A227" s="453"/>
      <c r="B227" s="415">
        <v>46118</v>
      </c>
      <c r="C227" s="4"/>
      <c r="D227" s="4"/>
      <c r="E227" s="299"/>
      <c r="F227" s="31"/>
      <c r="G227" s="16"/>
      <c r="H227" s="199"/>
      <c r="I227" s="31"/>
      <c r="J227" s="31"/>
      <c r="K227" s="126"/>
      <c r="L227" s="16"/>
      <c r="M227" s="8"/>
      <c r="N227" s="31"/>
      <c r="O227" s="460"/>
    </row>
    <row r="228" spans="1:16" s="17" customFormat="1" ht="33" customHeight="1">
      <c r="A228" s="453"/>
      <c r="B228" s="415">
        <v>46119</v>
      </c>
      <c r="C228" s="210" t="s">
        <v>21</v>
      </c>
      <c r="D228" s="210" t="s">
        <v>17</v>
      </c>
      <c r="E228" s="429" t="s">
        <v>4779</v>
      </c>
      <c r="F228" s="325" t="s">
        <v>4776</v>
      </c>
      <c r="G228" s="423" t="s">
        <v>4780</v>
      </c>
      <c r="H228" s="399" t="s">
        <v>4781</v>
      </c>
      <c r="I228" s="325" t="s">
        <v>4566</v>
      </c>
      <c r="J228" s="325"/>
      <c r="K228" s="343" t="s">
        <v>42</v>
      </c>
      <c r="L228" s="423"/>
      <c r="M228" s="424">
        <v>2</v>
      </c>
      <c r="N228" s="325"/>
      <c r="O228" s="473" t="s">
        <v>4567</v>
      </c>
      <c r="P228" s="445" t="s">
        <v>4568</v>
      </c>
    </row>
    <row r="229" spans="1:16" s="17" customFormat="1" ht="33" customHeight="1">
      <c r="A229" s="453"/>
      <c r="B229" s="415">
        <v>46119</v>
      </c>
      <c r="C229" s="4"/>
      <c r="D229" s="4"/>
      <c r="E229" s="31"/>
      <c r="F229" s="31"/>
      <c r="G229" s="16"/>
      <c r="H229" s="199"/>
      <c r="I229" s="31"/>
      <c r="J229" s="199"/>
      <c r="K229" s="126"/>
      <c r="L229" s="16"/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4" t="s">
        <v>4947</v>
      </c>
      <c r="D230" s="4" t="s">
        <v>4948</v>
      </c>
      <c r="E230" s="31"/>
      <c r="F230" s="31"/>
      <c r="G230" s="16"/>
      <c r="H230" s="199"/>
      <c r="I230" s="31"/>
      <c r="J230" s="199"/>
      <c r="K230" s="126"/>
      <c r="L230" s="16"/>
      <c r="M230" s="8"/>
      <c r="N230" s="31" t="s">
        <v>4717</v>
      </c>
      <c r="O230" s="459"/>
    </row>
    <row r="231" spans="1:16" s="17" customFormat="1" ht="33" customHeight="1">
      <c r="A231" s="453"/>
      <c r="B231" s="415">
        <v>46120</v>
      </c>
      <c r="C231" s="4"/>
      <c r="D231" s="4"/>
      <c r="E231" s="299"/>
      <c r="F231" s="31"/>
      <c r="G231" s="16"/>
      <c r="H231" s="199"/>
      <c r="I231" s="31"/>
      <c r="J231" s="31"/>
      <c r="K231" s="126"/>
      <c r="L231" s="16"/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88" t="s">
        <v>4558</v>
      </c>
      <c r="F232" s="493" t="s">
        <v>4559</v>
      </c>
      <c r="G232" s="494" t="s">
        <v>35</v>
      </c>
      <c r="H232" s="488" t="s">
        <v>4959</v>
      </c>
      <c r="I232" s="488" t="s">
        <v>4958</v>
      </c>
      <c r="J232" s="488"/>
      <c r="K232" s="137" t="s">
        <v>15</v>
      </c>
      <c r="L232" s="16" t="s">
        <v>4973</v>
      </c>
      <c r="M232" s="8">
        <v>3</v>
      </c>
      <c r="N232" s="450"/>
      <c r="O232" s="459"/>
    </row>
    <row r="233" spans="1:16" s="17" customFormat="1" ht="33" customHeight="1">
      <c r="A233" s="453"/>
      <c r="B233" s="415">
        <v>46121</v>
      </c>
      <c r="C233" s="4" t="s">
        <v>4947</v>
      </c>
      <c r="D233" s="4" t="s">
        <v>4948</v>
      </c>
      <c r="E233" s="299" t="s">
        <v>4967</v>
      </c>
      <c r="F233" s="31" t="s">
        <v>4968</v>
      </c>
      <c r="G233" s="16" t="s">
        <v>4969</v>
      </c>
      <c r="H233" s="199" t="s">
        <v>4970</v>
      </c>
      <c r="I233" s="31" t="s">
        <v>4972</v>
      </c>
      <c r="J233" s="31" t="s">
        <v>4965</v>
      </c>
      <c r="K233" s="126" t="s">
        <v>4971</v>
      </c>
      <c r="L233" s="16"/>
      <c r="M233" s="8">
        <v>3</v>
      </c>
      <c r="N233" s="31"/>
      <c r="O233" s="461"/>
    </row>
    <row r="234" spans="1:16" s="17" customFormat="1" ht="33" customHeight="1">
      <c r="A234" s="453"/>
      <c r="B234" s="415">
        <v>46122</v>
      </c>
      <c r="C234" s="4"/>
      <c r="D234" s="4"/>
      <c r="E234" s="31"/>
      <c r="F234" s="299"/>
      <c r="G234" s="16"/>
      <c r="H234" s="199"/>
      <c r="I234" s="31"/>
      <c r="J234" s="199"/>
      <c r="K234" s="126"/>
      <c r="L234" s="16"/>
      <c r="M234" s="8"/>
      <c r="N234" s="31" t="s">
        <v>4717</v>
      </c>
      <c r="O234" s="458"/>
    </row>
    <row r="235" spans="1:16" s="17" customFormat="1" ht="33" customHeight="1">
      <c r="A235" s="453"/>
      <c r="B235" s="415">
        <v>46122</v>
      </c>
      <c r="C235" s="4" t="s">
        <v>4947</v>
      </c>
      <c r="D235" s="4" t="s">
        <v>4948</v>
      </c>
      <c r="E235" s="299" t="s">
        <v>4967</v>
      </c>
      <c r="F235" s="502" t="s">
        <v>4968</v>
      </c>
      <c r="G235" s="16" t="s">
        <v>4969</v>
      </c>
      <c r="H235" s="503" t="s">
        <v>4970</v>
      </c>
      <c r="I235" s="502" t="s">
        <v>4972</v>
      </c>
      <c r="J235" s="502" t="s">
        <v>4965</v>
      </c>
      <c r="K235" s="126" t="s">
        <v>4971</v>
      </c>
      <c r="L235" s="16"/>
      <c r="M235" s="8">
        <v>3</v>
      </c>
      <c r="N235" s="31"/>
      <c r="O235" s="457"/>
    </row>
    <row r="236" spans="1:16" s="17" customFormat="1" ht="33" customHeight="1">
      <c r="A236" s="453"/>
      <c r="B236" s="415">
        <v>46123</v>
      </c>
      <c r="C236" s="4"/>
      <c r="D236" s="4"/>
      <c r="E236" s="31"/>
      <c r="F236" s="31"/>
      <c r="G236" s="16"/>
      <c r="H236" s="199"/>
      <c r="I236" s="199"/>
      <c r="J236" s="199"/>
      <c r="K236" s="126"/>
      <c r="L236" s="16"/>
      <c r="M236" s="8"/>
      <c r="N236" s="199"/>
      <c r="O236" s="467"/>
    </row>
    <row r="237" spans="1:16" s="17" customFormat="1" ht="33" customHeight="1">
      <c r="A237" s="454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31"/>
      <c r="O237" s="461"/>
    </row>
    <row r="238" spans="1:16" s="17" customFormat="1" ht="33" customHeight="1">
      <c r="A238" s="455" t="s">
        <v>0</v>
      </c>
      <c r="B238" s="333" t="s">
        <v>1</v>
      </c>
      <c r="C238" s="332" t="s">
        <v>2</v>
      </c>
      <c r="D238" s="332" t="s">
        <v>3</v>
      </c>
      <c r="E238" s="332" t="s">
        <v>4</v>
      </c>
      <c r="F238" s="332" t="s">
        <v>5</v>
      </c>
      <c r="G238" s="332" t="s">
        <v>6</v>
      </c>
      <c r="H238" s="334" t="s">
        <v>7</v>
      </c>
      <c r="I238" s="332" t="s">
        <v>8</v>
      </c>
      <c r="J238" s="332" t="s">
        <v>9</v>
      </c>
      <c r="K238" s="335" t="s">
        <v>10</v>
      </c>
      <c r="L238" s="336" t="s">
        <v>11</v>
      </c>
      <c r="M238" s="332" t="s">
        <v>12</v>
      </c>
      <c r="N238" s="337" t="s">
        <v>13</v>
      </c>
      <c r="O238" s="456" t="s">
        <v>63</v>
      </c>
    </row>
    <row r="239" spans="1:16" s="17" customFormat="1" ht="33" customHeight="1">
      <c r="A239" s="452" t="s">
        <v>4540</v>
      </c>
      <c r="B239" s="415">
        <v>46125</v>
      </c>
      <c r="C239" s="4"/>
      <c r="D239" s="4"/>
      <c r="E239" s="31"/>
      <c r="F239" s="199"/>
      <c r="G239" s="16"/>
      <c r="H239" s="199"/>
      <c r="I239" s="31"/>
      <c r="J239" s="31"/>
      <c r="K239" s="126"/>
      <c r="L239" s="16"/>
      <c r="M239" s="8"/>
      <c r="N239" s="31" t="s">
        <v>4717</v>
      </c>
      <c r="O239" s="460"/>
    </row>
    <row r="240" spans="1:16" s="17" customFormat="1" ht="33" customHeight="1">
      <c r="A240" s="453"/>
      <c r="B240" s="415">
        <v>46125</v>
      </c>
      <c r="C240" s="4"/>
      <c r="D240" s="4"/>
      <c r="E240" s="299"/>
      <c r="F240" s="31"/>
      <c r="G240" s="16"/>
      <c r="H240" s="199"/>
      <c r="I240" s="31"/>
      <c r="J240" s="31"/>
      <c r="K240" s="126"/>
      <c r="L240" s="16"/>
      <c r="M240" s="8"/>
      <c r="N240" s="31"/>
      <c r="O240" s="460"/>
    </row>
    <row r="241" spans="1:15" s="17" customFormat="1" ht="33" customHeight="1">
      <c r="A241" s="453"/>
      <c r="B241" s="415">
        <v>46126</v>
      </c>
      <c r="C241" s="4"/>
      <c r="D241" s="4"/>
      <c r="E241" s="31"/>
      <c r="F241" s="31"/>
      <c r="G241" s="16"/>
      <c r="H241" s="199"/>
      <c r="I241" s="31"/>
      <c r="J241" s="199"/>
      <c r="K241" s="126"/>
      <c r="L241" s="16"/>
      <c r="M241" s="8"/>
      <c r="N241" s="450"/>
      <c r="O241" s="459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46127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31" t="s">
        <v>4717</v>
      </c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299"/>
      <c r="F244" s="31"/>
      <c r="G244" s="16"/>
      <c r="H244" s="199"/>
      <c r="I244" s="31"/>
      <c r="J244" s="31"/>
      <c r="K244" s="126"/>
      <c r="L244" s="16"/>
      <c r="M244" s="8"/>
      <c r="N244" s="31"/>
      <c r="O244" s="461"/>
    </row>
    <row r="245" spans="1:15" s="17" customFormat="1" ht="33" customHeight="1">
      <c r="A245" s="453"/>
      <c r="B245" s="415">
        <v>46128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450"/>
      <c r="O245" s="459"/>
    </row>
    <row r="246" spans="1:15" s="17" customFormat="1" ht="33" customHeight="1">
      <c r="A246" s="453"/>
      <c r="B246" s="415">
        <v>46128</v>
      </c>
      <c r="C246" s="4" t="s">
        <v>5279</v>
      </c>
      <c r="D246" s="4" t="s">
        <v>5325</v>
      </c>
      <c r="E246" s="299" t="s">
        <v>5326</v>
      </c>
      <c r="F246" s="31" t="s">
        <v>5327</v>
      </c>
      <c r="G246" s="16" t="s">
        <v>5328</v>
      </c>
      <c r="H246" s="199" t="s">
        <v>5329</v>
      </c>
      <c r="I246" s="31" t="s">
        <v>5330</v>
      </c>
      <c r="J246" s="31"/>
      <c r="K246" s="126" t="s">
        <v>5331</v>
      </c>
      <c r="L246" s="16" t="s">
        <v>5332</v>
      </c>
      <c r="M246" s="8">
        <v>1</v>
      </c>
      <c r="N246" s="31"/>
      <c r="O246" s="461"/>
    </row>
    <row r="247" spans="1:15" s="17" customFormat="1" ht="33" customHeight="1">
      <c r="A247" s="453"/>
      <c r="B247" s="415">
        <v>46129</v>
      </c>
      <c r="C247" s="4"/>
      <c r="D247" s="4"/>
      <c r="E247" s="31"/>
      <c r="F247" s="299"/>
      <c r="G247" s="16"/>
      <c r="H247" s="199"/>
      <c r="I247" s="31"/>
      <c r="J247" s="199"/>
      <c r="K247" s="126"/>
      <c r="L247" s="16"/>
      <c r="M247" s="8"/>
      <c r="N247" s="31" t="s">
        <v>4717</v>
      </c>
      <c r="O247" s="458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31"/>
      <c r="G248" s="16"/>
      <c r="H248" s="199"/>
      <c r="I248" s="31"/>
      <c r="J248" s="31"/>
      <c r="K248" s="126"/>
      <c r="L248" s="16"/>
      <c r="M248" s="8"/>
      <c r="N248" s="31"/>
      <c r="O248" s="457"/>
    </row>
    <row r="249" spans="1:15" s="17" customFormat="1" ht="33" customHeight="1">
      <c r="A249" s="453"/>
      <c r="B249" s="415">
        <v>46130</v>
      </c>
      <c r="C249" s="4"/>
      <c r="D249" s="4"/>
      <c r="E249" s="31"/>
      <c r="F249" s="31"/>
      <c r="G249" s="16"/>
      <c r="H249" s="199"/>
      <c r="I249" s="199"/>
      <c r="J249" s="199"/>
      <c r="K249" s="126"/>
      <c r="L249" s="16"/>
      <c r="M249" s="8"/>
      <c r="N249" s="199"/>
      <c r="O249" s="467"/>
    </row>
    <row r="250" spans="1:15" s="17" customFormat="1" ht="33" customHeight="1">
      <c r="A250" s="454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31"/>
      <c r="O250" s="461"/>
    </row>
    <row r="251" spans="1:15" s="17" customFormat="1" ht="33" customHeight="1">
      <c r="A251" s="455" t="s">
        <v>0</v>
      </c>
      <c r="B251" s="333" t="s">
        <v>1</v>
      </c>
      <c r="C251" s="332" t="s">
        <v>2</v>
      </c>
      <c r="D251" s="332" t="s">
        <v>3</v>
      </c>
      <c r="E251" s="332" t="s">
        <v>4</v>
      </c>
      <c r="F251" s="332" t="s">
        <v>5</v>
      </c>
      <c r="G251" s="332" t="s">
        <v>6</v>
      </c>
      <c r="H251" s="334" t="s">
        <v>7</v>
      </c>
      <c r="I251" s="332" t="s">
        <v>8</v>
      </c>
      <c r="J251" s="332" t="s">
        <v>9</v>
      </c>
      <c r="K251" s="335" t="s">
        <v>10</v>
      </c>
      <c r="L251" s="336" t="s">
        <v>11</v>
      </c>
      <c r="M251" s="332" t="s">
        <v>12</v>
      </c>
      <c r="N251" s="337" t="s">
        <v>13</v>
      </c>
      <c r="O251" s="456" t="s">
        <v>63</v>
      </c>
    </row>
    <row r="252" spans="1:15" s="17" customFormat="1" ht="33" customHeight="1">
      <c r="A252" s="452" t="s">
        <v>4541</v>
      </c>
      <c r="B252" s="415">
        <v>46132</v>
      </c>
      <c r="C252" s="4"/>
      <c r="D252" s="4"/>
      <c r="E252" s="31"/>
      <c r="F252" s="199"/>
      <c r="G252" s="16"/>
      <c r="H252" s="199"/>
      <c r="I252" s="31"/>
      <c r="J252" s="31"/>
      <c r="K252" s="126"/>
      <c r="L252" s="16"/>
      <c r="M252" s="8"/>
      <c r="N252" s="31" t="s">
        <v>4717</v>
      </c>
      <c r="O252" s="460"/>
    </row>
    <row r="253" spans="1:15" s="17" customFormat="1" ht="33" customHeight="1">
      <c r="A253" s="453"/>
      <c r="B253" s="415">
        <v>46132</v>
      </c>
      <c r="C253" s="4"/>
      <c r="D253" s="4"/>
      <c r="E253" s="299"/>
      <c r="F253" s="31"/>
      <c r="G253" s="16"/>
      <c r="H253" s="199"/>
      <c r="I253" s="31"/>
      <c r="J253" s="31"/>
      <c r="K253" s="126"/>
      <c r="L253" s="16"/>
      <c r="M253" s="8"/>
      <c r="N253" s="31"/>
      <c r="O253" s="460"/>
    </row>
    <row r="254" spans="1:15" s="17" customFormat="1" ht="33" customHeight="1">
      <c r="A254" s="453"/>
      <c r="B254" s="415">
        <v>46133</v>
      </c>
      <c r="C254" s="4"/>
      <c r="D254" s="4"/>
      <c r="E254" s="31"/>
      <c r="F254" s="31"/>
      <c r="G254" s="16"/>
      <c r="H254" s="199"/>
      <c r="I254" s="31"/>
      <c r="J254" s="199"/>
      <c r="K254" s="126"/>
      <c r="L254" s="16"/>
      <c r="M254" s="8"/>
      <c r="N254" s="450"/>
      <c r="O254" s="459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46134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31" t="s">
        <v>4717</v>
      </c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299"/>
      <c r="F257" s="31"/>
      <c r="G257" s="16"/>
      <c r="H257" s="199"/>
      <c r="I257" s="31"/>
      <c r="J257" s="31"/>
      <c r="K257" s="126"/>
      <c r="L257" s="16"/>
      <c r="M257" s="8"/>
      <c r="N257" s="31"/>
      <c r="O257" s="461"/>
    </row>
    <row r="258" spans="1:15" s="17" customFormat="1" ht="33" customHeight="1">
      <c r="A258" s="453"/>
      <c r="B258" s="415">
        <v>46135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450"/>
      <c r="O258" s="459"/>
    </row>
    <row r="259" spans="1:15" s="17" customFormat="1" ht="33" customHeight="1">
      <c r="A259" s="453"/>
      <c r="B259" s="415">
        <v>46135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46136</v>
      </c>
      <c r="C260" s="4"/>
      <c r="D260" s="4"/>
      <c r="E260" s="31"/>
      <c r="F260" s="299"/>
      <c r="G260" s="16"/>
      <c r="H260" s="199"/>
      <c r="I260" s="31"/>
      <c r="J260" s="199"/>
      <c r="K260" s="126"/>
      <c r="L260" s="16"/>
      <c r="M260" s="8"/>
      <c r="N260" s="31" t="s">
        <v>4717</v>
      </c>
      <c r="O260" s="458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53"/>
      <c r="B262" s="415">
        <v>46137</v>
      </c>
      <c r="C262" s="4"/>
      <c r="D262" s="4"/>
      <c r="E262" s="31"/>
      <c r="F262" s="31"/>
      <c r="G262" s="16"/>
      <c r="H262" s="199"/>
      <c r="I262" s="199"/>
      <c r="J262" s="199"/>
      <c r="K262" s="126"/>
      <c r="L262" s="16"/>
      <c r="M262" s="8"/>
      <c r="N262" s="199"/>
      <c r="O262" s="467"/>
    </row>
    <row r="263" spans="1:15" s="17" customFormat="1" ht="33" customHeight="1">
      <c r="A263" s="454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31"/>
      <c r="O263" s="461"/>
    </row>
    <row r="264" spans="1:15" s="17" customFormat="1" ht="33" customHeight="1">
      <c r="A264" s="455" t="s">
        <v>0</v>
      </c>
      <c r="B264" s="333" t="s">
        <v>1</v>
      </c>
      <c r="C264" s="332" t="s">
        <v>2</v>
      </c>
      <c r="D264" s="332" t="s">
        <v>3</v>
      </c>
      <c r="E264" s="332" t="s">
        <v>4</v>
      </c>
      <c r="F264" s="332" t="s">
        <v>5</v>
      </c>
      <c r="G264" s="332" t="s">
        <v>6</v>
      </c>
      <c r="H264" s="334" t="s">
        <v>7</v>
      </c>
      <c r="I264" s="332" t="s">
        <v>8</v>
      </c>
      <c r="J264" s="332" t="s">
        <v>9</v>
      </c>
      <c r="K264" s="335" t="s">
        <v>10</v>
      </c>
      <c r="L264" s="336" t="s">
        <v>11</v>
      </c>
      <c r="M264" s="332" t="s">
        <v>12</v>
      </c>
      <c r="N264" s="337" t="s">
        <v>13</v>
      </c>
      <c r="O264" s="456" t="s">
        <v>63</v>
      </c>
    </row>
    <row r="265" spans="1:15" s="17" customFormat="1" ht="33" customHeight="1">
      <c r="A265" s="452" t="s">
        <v>4542</v>
      </c>
      <c r="B265" s="415">
        <v>46139</v>
      </c>
      <c r="C265" s="4"/>
      <c r="D265" s="4"/>
      <c r="E265" s="31"/>
      <c r="F265" s="199"/>
      <c r="G265" s="16"/>
      <c r="H265" s="199"/>
      <c r="I265" s="31"/>
      <c r="J265" s="31"/>
      <c r="K265" s="126"/>
      <c r="L265" s="16"/>
      <c r="M265" s="8"/>
      <c r="N265" s="31" t="s">
        <v>4717</v>
      </c>
      <c r="O265" s="460"/>
    </row>
    <row r="266" spans="1:15" s="17" customFormat="1" ht="33" customHeight="1">
      <c r="A266" s="453"/>
      <c r="B266" s="415">
        <v>46139</v>
      </c>
      <c r="C266" s="4"/>
      <c r="D266" s="4"/>
      <c r="E266" s="299"/>
      <c r="F266" s="31"/>
      <c r="G266" s="16"/>
      <c r="H266" s="199"/>
      <c r="I266" s="31"/>
      <c r="J266" s="31"/>
      <c r="K266" s="126"/>
      <c r="L266" s="16"/>
      <c r="M266" s="8"/>
      <c r="N266" s="31"/>
      <c r="O266" s="460"/>
    </row>
    <row r="267" spans="1:15" s="17" customFormat="1" ht="33" customHeight="1">
      <c r="A267" s="453"/>
      <c r="B267" s="415">
        <v>46140</v>
      </c>
      <c r="C267" s="4"/>
      <c r="D267" s="4"/>
      <c r="E267" s="31"/>
      <c r="F267" s="31"/>
      <c r="G267" s="16"/>
      <c r="H267" s="199"/>
      <c r="I267" s="31"/>
      <c r="J267" s="199"/>
      <c r="K267" s="126"/>
      <c r="L267" s="16"/>
      <c r="M267" s="8"/>
      <c r="N267" s="450"/>
      <c r="O267" s="459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46141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31" t="s">
        <v>4717</v>
      </c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299"/>
      <c r="F270" s="31"/>
      <c r="G270" s="16"/>
      <c r="H270" s="199"/>
      <c r="I270" s="31"/>
      <c r="J270" s="31"/>
      <c r="K270" s="126"/>
      <c r="L270" s="16"/>
      <c r="M270" s="8"/>
      <c r="N270" s="31"/>
      <c r="O270" s="461"/>
    </row>
    <row r="271" spans="1:15" s="17" customFormat="1" ht="33" customHeight="1">
      <c r="A271" s="453"/>
      <c r="B271" s="415">
        <v>46142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450"/>
      <c r="O271" s="459"/>
    </row>
    <row r="272" spans="1:15" s="17" customFormat="1" ht="33" customHeight="1">
      <c r="A272" s="453"/>
      <c r="B272" s="415">
        <v>46142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46143</v>
      </c>
      <c r="C273" s="4"/>
      <c r="D273" s="4"/>
      <c r="E273" s="31"/>
      <c r="F273" s="299"/>
      <c r="G273" s="16"/>
      <c r="H273" s="199"/>
      <c r="I273" s="31"/>
      <c r="J273" s="199"/>
      <c r="K273" s="126"/>
      <c r="L273" s="16"/>
      <c r="M273" s="8"/>
      <c r="N273" s="31" t="s">
        <v>4717</v>
      </c>
      <c r="O273" s="458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31"/>
      <c r="G274" s="16"/>
      <c r="H274" s="427" t="s">
        <v>5375</v>
      </c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53"/>
      <c r="B275" s="415">
        <v>46144</v>
      </c>
      <c r="C275" s="4"/>
      <c r="D275" s="4"/>
      <c r="E275" s="31"/>
      <c r="F275" s="31"/>
      <c r="G275" s="16"/>
      <c r="H275" s="199"/>
      <c r="I275" s="199"/>
      <c r="J275" s="199"/>
      <c r="K275" s="126"/>
      <c r="L275" s="16"/>
      <c r="M275" s="8"/>
      <c r="N275" s="199"/>
      <c r="O275" s="467"/>
    </row>
    <row r="276" spans="1:15" s="17" customFormat="1" ht="33" customHeight="1">
      <c r="A276" s="454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31"/>
      <c r="O276" s="461"/>
    </row>
    <row r="277" spans="1:15" s="17" customFormat="1" ht="33" customHeight="1">
      <c r="A277" s="455" t="s">
        <v>0</v>
      </c>
      <c r="B277" s="333" t="s">
        <v>1</v>
      </c>
      <c r="C277" s="332" t="s">
        <v>2</v>
      </c>
      <c r="D277" s="332" t="s">
        <v>3</v>
      </c>
      <c r="E277" s="332" t="s">
        <v>4</v>
      </c>
      <c r="F277" s="332" t="s">
        <v>5</v>
      </c>
      <c r="G277" s="332" t="s">
        <v>6</v>
      </c>
      <c r="H277" s="334" t="s">
        <v>7</v>
      </c>
      <c r="I277" s="332" t="s">
        <v>8</v>
      </c>
      <c r="J277" s="332" t="s">
        <v>9</v>
      </c>
      <c r="K277" s="335" t="s">
        <v>10</v>
      </c>
      <c r="L277" s="336" t="s">
        <v>11</v>
      </c>
      <c r="M277" s="332" t="s">
        <v>12</v>
      </c>
      <c r="N277" s="337" t="s">
        <v>13</v>
      </c>
      <c r="O277" s="456" t="s">
        <v>63</v>
      </c>
    </row>
    <row r="278" spans="1:15" s="17" customFormat="1" ht="33" customHeight="1">
      <c r="A278" s="452" t="s">
        <v>4543</v>
      </c>
      <c r="B278" s="415">
        <v>46146</v>
      </c>
      <c r="C278" s="4"/>
      <c r="D278" s="4"/>
      <c r="E278" s="31"/>
      <c r="F278" s="199"/>
      <c r="G278" s="16"/>
      <c r="H278" s="199"/>
      <c r="I278" s="31"/>
      <c r="J278" s="31"/>
      <c r="K278" s="126"/>
      <c r="L278" s="16"/>
      <c r="M278" s="8"/>
      <c r="N278" s="31" t="s">
        <v>4717</v>
      </c>
      <c r="O278" s="460"/>
    </row>
    <row r="279" spans="1:15" s="17" customFormat="1" ht="33" customHeight="1">
      <c r="A279" s="453"/>
      <c r="B279" s="415">
        <v>46146</v>
      </c>
      <c r="C279" s="4"/>
      <c r="D279" s="4"/>
      <c r="E279" s="299"/>
      <c r="F279" s="31"/>
      <c r="G279" s="16"/>
      <c r="H279" s="199"/>
      <c r="I279" s="31"/>
      <c r="J279" s="31"/>
      <c r="K279" s="126"/>
      <c r="L279" s="16"/>
      <c r="M279" s="8"/>
      <c r="N279" s="31"/>
      <c r="O279" s="460"/>
    </row>
    <row r="280" spans="1:15" s="17" customFormat="1" ht="33" customHeight="1">
      <c r="A280" s="453"/>
      <c r="B280" s="415">
        <v>46147</v>
      </c>
      <c r="C280" s="4"/>
      <c r="D280" s="4"/>
      <c r="E280" s="31"/>
      <c r="F280" s="31"/>
      <c r="G280" s="16"/>
      <c r="H280" s="427" t="s">
        <v>4810</v>
      </c>
      <c r="I280" s="31"/>
      <c r="J280" s="199"/>
      <c r="K280" s="126"/>
      <c r="L280" s="16"/>
      <c r="M280" s="8"/>
      <c r="N280" s="450"/>
      <c r="O280" s="459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199"/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46148</v>
      </c>
      <c r="C282" s="4" t="s">
        <v>114</v>
      </c>
      <c r="D282" s="4" t="s">
        <v>5359</v>
      </c>
      <c r="E282" s="545" t="s">
        <v>5369</v>
      </c>
      <c r="F282" s="545" t="s">
        <v>5370</v>
      </c>
      <c r="G282" s="16" t="s">
        <v>5371</v>
      </c>
      <c r="H282" s="546" t="s">
        <v>5363</v>
      </c>
      <c r="I282" s="545"/>
      <c r="J282" s="199"/>
      <c r="K282" s="126"/>
      <c r="L282" s="16"/>
      <c r="M282" s="8"/>
      <c r="N282" s="31" t="s">
        <v>4717</v>
      </c>
      <c r="O282" s="459"/>
    </row>
    <row r="283" spans="1:15" s="17" customFormat="1" ht="33" customHeight="1">
      <c r="A283" s="453"/>
      <c r="B283" s="415">
        <v>46148</v>
      </c>
      <c r="C283" s="4"/>
      <c r="D283" s="4"/>
      <c r="E283" s="299"/>
      <c r="F283" s="31"/>
      <c r="G283" s="16"/>
      <c r="H283" s="199"/>
      <c r="I283" s="31"/>
      <c r="J283" s="31"/>
      <c r="K283" s="126"/>
      <c r="L283" s="16"/>
      <c r="M283" s="8"/>
      <c r="N283" s="31"/>
      <c r="O283" s="461"/>
    </row>
    <row r="284" spans="1:15" s="17" customFormat="1" ht="33" customHeight="1">
      <c r="A284" s="453"/>
      <c r="B284" s="415">
        <v>46149</v>
      </c>
      <c r="C284" s="4" t="s">
        <v>114</v>
      </c>
      <c r="D284" s="4" t="s">
        <v>5359</v>
      </c>
      <c r="E284" s="545" t="s">
        <v>5369</v>
      </c>
      <c r="F284" s="545" t="s">
        <v>5370</v>
      </c>
      <c r="G284" s="16" t="s">
        <v>5362</v>
      </c>
      <c r="H284" s="546" t="s">
        <v>5363</v>
      </c>
      <c r="I284" s="31"/>
      <c r="J284" s="199"/>
      <c r="K284" s="126"/>
      <c r="L284" s="16"/>
      <c r="M284" s="8"/>
      <c r="N284" s="450"/>
      <c r="O284" s="459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5359</v>
      </c>
      <c r="E285" s="545" t="s">
        <v>5369</v>
      </c>
      <c r="F285" s="545" t="s">
        <v>5370</v>
      </c>
      <c r="G285" s="16" t="s">
        <v>5372</v>
      </c>
      <c r="H285" s="546" t="s">
        <v>5363</v>
      </c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46150</v>
      </c>
      <c r="C286" s="4" t="s">
        <v>114</v>
      </c>
      <c r="D286" s="4" t="s">
        <v>5359</v>
      </c>
      <c r="E286" s="545" t="s">
        <v>5369</v>
      </c>
      <c r="F286" s="545" t="s">
        <v>5370</v>
      </c>
      <c r="G286" s="16" t="s">
        <v>5373</v>
      </c>
      <c r="H286" s="546" t="s">
        <v>5363</v>
      </c>
      <c r="I286" s="31"/>
      <c r="J286" s="199"/>
      <c r="K286" s="126"/>
      <c r="L286" s="16"/>
      <c r="M286" s="8"/>
      <c r="N286" s="31" t="s">
        <v>4717</v>
      </c>
      <c r="O286" s="458"/>
    </row>
    <row r="287" spans="1:15" s="17" customFormat="1" ht="33" customHeight="1">
      <c r="A287" s="453"/>
      <c r="B287" s="415">
        <v>46150</v>
      </c>
      <c r="C287" s="4"/>
      <c r="D287" s="4"/>
      <c r="E287" s="31"/>
      <c r="F287" s="31"/>
      <c r="G287" s="16"/>
      <c r="H287" s="199"/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53"/>
      <c r="B288" s="415">
        <v>46151</v>
      </c>
      <c r="C288" s="4"/>
      <c r="D288" s="4"/>
      <c r="E288" s="31"/>
      <c r="F288" s="31"/>
      <c r="G288" s="16"/>
      <c r="H288" s="199"/>
      <c r="I288" s="199"/>
      <c r="J288" s="199"/>
      <c r="K288" s="126"/>
      <c r="L288" s="16"/>
      <c r="M288" s="8"/>
      <c r="N288" s="199"/>
      <c r="O288" s="467"/>
    </row>
    <row r="289" spans="1:15" s="17" customFormat="1" ht="33" customHeight="1">
      <c r="A289" s="454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31"/>
      <c r="O289" s="461"/>
    </row>
    <row r="290" spans="1:15" s="17" customFormat="1" ht="33" customHeight="1">
      <c r="A290" s="455" t="s">
        <v>0</v>
      </c>
      <c r="B290" s="333" t="s">
        <v>1</v>
      </c>
      <c r="C290" s="332" t="s">
        <v>2</v>
      </c>
      <c r="D290" s="332" t="s">
        <v>3</v>
      </c>
      <c r="E290" s="332" t="s">
        <v>4</v>
      </c>
      <c r="F290" s="332" t="s">
        <v>5</v>
      </c>
      <c r="G290" s="332" t="s">
        <v>6</v>
      </c>
      <c r="H290" s="334" t="s">
        <v>7</v>
      </c>
      <c r="I290" s="332" t="s">
        <v>8</v>
      </c>
      <c r="J290" s="332" t="s">
        <v>9</v>
      </c>
      <c r="K290" s="335" t="s">
        <v>10</v>
      </c>
      <c r="L290" s="336" t="s">
        <v>11</v>
      </c>
      <c r="M290" s="332" t="s">
        <v>12</v>
      </c>
      <c r="N290" s="337" t="s">
        <v>13</v>
      </c>
      <c r="O290" s="456" t="s">
        <v>63</v>
      </c>
    </row>
    <row r="291" spans="1:15" s="17" customFormat="1" ht="33" customHeight="1">
      <c r="A291" s="452" t="s">
        <v>4544</v>
      </c>
      <c r="B291" s="415">
        <v>46153</v>
      </c>
      <c r="C291" s="4"/>
      <c r="D291" s="4"/>
      <c r="E291" s="31"/>
      <c r="F291" s="199"/>
      <c r="G291" s="16"/>
      <c r="H291" s="199"/>
      <c r="I291" s="31"/>
      <c r="J291" s="31"/>
      <c r="K291" s="126"/>
      <c r="L291" s="16"/>
      <c r="M291" s="8"/>
      <c r="N291" s="31" t="s">
        <v>4717</v>
      </c>
      <c r="O291" s="460"/>
    </row>
    <row r="292" spans="1:15" s="17" customFormat="1" ht="33" customHeight="1">
      <c r="A292" s="453"/>
      <c r="B292" s="415">
        <v>46153</v>
      </c>
      <c r="C292" s="4"/>
      <c r="D292" s="4"/>
      <c r="E292" s="299"/>
      <c r="F292" s="31"/>
      <c r="G292" s="16"/>
      <c r="H292" s="199"/>
      <c r="I292" s="31"/>
      <c r="J292" s="31"/>
      <c r="K292" s="126"/>
      <c r="L292" s="16"/>
      <c r="M292" s="8"/>
      <c r="N292" s="31"/>
      <c r="O292" s="460"/>
    </row>
    <row r="293" spans="1:15" s="17" customFormat="1" ht="33" customHeight="1">
      <c r="A293" s="453"/>
      <c r="B293" s="415">
        <v>46154</v>
      </c>
      <c r="C293" s="4"/>
      <c r="D293" s="4"/>
      <c r="E293" s="31"/>
      <c r="F293" s="31"/>
      <c r="G293" s="16"/>
      <c r="H293" s="199"/>
      <c r="I293" s="31"/>
      <c r="J293" s="199"/>
      <c r="K293" s="126"/>
      <c r="L293" s="16"/>
      <c r="M293" s="8"/>
      <c r="N293" s="450"/>
      <c r="O293" s="459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46155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31" t="s">
        <v>4717</v>
      </c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299"/>
      <c r="F296" s="31"/>
      <c r="G296" s="16"/>
      <c r="H296" s="199"/>
      <c r="I296" s="31"/>
      <c r="J296" s="31"/>
      <c r="K296" s="126"/>
      <c r="L296" s="16"/>
      <c r="M296" s="8"/>
      <c r="N296" s="31"/>
      <c r="O296" s="461"/>
    </row>
    <row r="297" spans="1:15" s="17" customFormat="1" ht="33" customHeight="1">
      <c r="A297" s="453"/>
      <c r="B297" s="415">
        <v>46156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450"/>
      <c r="O297" s="459"/>
    </row>
    <row r="298" spans="1:15" s="17" customFormat="1" ht="33" customHeight="1">
      <c r="A298" s="453"/>
      <c r="B298" s="415">
        <v>46156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46157</v>
      </c>
      <c r="C299" s="189" t="s">
        <v>4549</v>
      </c>
      <c r="D299" s="189" t="s">
        <v>4550</v>
      </c>
      <c r="E299" s="246" t="s">
        <v>4560</v>
      </c>
      <c r="F299" s="446" t="s">
        <v>4561</v>
      </c>
      <c r="G299" s="401" t="s">
        <v>4551</v>
      </c>
      <c r="H299" s="246" t="s">
        <v>4554</v>
      </c>
      <c r="I299" s="246" t="s">
        <v>4960</v>
      </c>
      <c r="J299" s="246"/>
      <c r="K299" s="247" t="s">
        <v>4552</v>
      </c>
      <c r="L299" s="401"/>
      <c r="M299" s="420"/>
      <c r="N299" s="31" t="s">
        <v>4717</v>
      </c>
      <c r="O299" s="471" t="s">
        <v>4553</v>
      </c>
    </row>
    <row r="300" spans="1:15" s="17" customFormat="1" ht="33" customHeight="1">
      <c r="A300" s="453"/>
      <c r="B300" s="415">
        <v>46157</v>
      </c>
      <c r="C300" s="4"/>
      <c r="D300" s="4"/>
      <c r="E300" s="31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53"/>
      <c r="B301" s="415">
        <v>46158</v>
      </c>
      <c r="C301" s="4"/>
      <c r="D301" s="4"/>
      <c r="E301" s="31"/>
      <c r="F301" s="31"/>
      <c r="G301" s="16"/>
      <c r="H301" s="199"/>
      <c r="I301" s="199"/>
      <c r="J301" s="199"/>
      <c r="K301" s="126"/>
      <c r="L301" s="16"/>
      <c r="M301" s="8"/>
      <c r="N301" s="199"/>
      <c r="O301" s="467"/>
    </row>
    <row r="302" spans="1:15" s="17" customFormat="1" ht="33" customHeight="1">
      <c r="A302" s="454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31"/>
      <c r="O302" s="461"/>
    </row>
    <row r="303" spans="1:15" s="17" customFormat="1" ht="33" customHeight="1">
      <c r="A303" s="455" t="s">
        <v>0</v>
      </c>
      <c r="B303" s="333" t="s">
        <v>1</v>
      </c>
      <c r="C303" s="332" t="s">
        <v>2</v>
      </c>
      <c r="D303" s="332" t="s">
        <v>3</v>
      </c>
      <c r="E303" s="332" t="s">
        <v>4</v>
      </c>
      <c r="F303" s="332" t="s">
        <v>5</v>
      </c>
      <c r="G303" s="332" t="s">
        <v>6</v>
      </c>
      <c r="H303" s="334" t="s">
        <v>7</v>
      </c>
      <c r="I303" s="332" t="s">
        <v>8</v>
      </c>
      <c r="J303" s="332" t="s">
        <v>9</v>
      </c>
      <c r="K303" s="335" t="s">
        <v>10</v>
      </c>
      <c r="L303" s="336" t="s">
        <v>11</v>
      </c>
      <c r="M303" s="332" t="s">
        <v>12</v>
      </c>
      <c r="N303" s="337" t="s">
        <v>13</v>
      </c>
      <c r="O303" s="456" t="s">
        <v>63</v>
      </c>
    </row>
    <row r="304" spans="1:15" s="17" customFormat="1" ht="33" customHeight="1">
      <c r="A304" s="452" t="s">
        <v>4545</v>
      </c>
      <c r="B304" s="415">
        <v>46160</v>
      </c>
      <c r="C304" s="4"/>
      <c r="D304" s="4"/>
      <c r="E304" s="31"/>
      <c r="F304" s="199"/>
      <c r="G304" s="16"/>
      <c r="H304" s="199"/>
      <c r="I304" s="31"/>
      <c r="J304" s="31"/>
      <c r="K304" s="126"/>
      <c r="L304" s="16"/>
      <c r="M304" s="8"/>
      <c r="N304" s="31" t="s">
        <v>4717</v>
      </c>
      <c r="O304" s="460"/>
    </row>
    <row r="305" spans="1:15" s="17" customFormat="1" ht="33" customHeight="1">
      <c r="A305" s="453"/>
      <c r="B305" s="415">
        <v>46160</v>
      </c>
      <c r="C305" s="4"/>
      <c r="D305" s="4"/>
      <c r="E305" s="299"/>
      <c r="F305" s="31"/>
      <c r="G305" s="16"/>
      <c r="H305" s="199"/>
      <c r="I305" s="31"/>
      <c r="J305" s="31"/>
      <c r="K305" s="126"/>
      <c r="L305" s="16"/>
      <c r="M305" s="8"/>
      <c r="N305" s="31"/>
      <c r="O305" s="460"/>
    </row>
    <row r="306" spans="1:15" s="17" customFormat="1" ht="33" customHeight="1">
      <c r="A306" s="453"/>
      <c r="B306" s="415">
        <v>46161</v>
      </c>
      <c r="C306" s="4"/>
      <c r="D306" s="4"/>
      <c r="E306" s="31"/>
      <c r="F306" s="31"/>
      <c r="G306" s="16"/>
      <c r="H306" s="199"/>
      <c r="I306" s="31"/>
      <c r="J306" s="199"/>
      <c r="K306" s="126"/>
      <c r="L306" s="16"/>
      <c r="M306" s="8"/>
      <c r="N306" s="450"/>
      <c r="O306" s="459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46162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31" t="s">
        <v>4717</v>
      </c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299"/>
      <c r="F309" s="31"/>
      <c r="G309" s="16"/>
      <c r="H309" s="199"/>
      <c r="I309" s="31"/>
      <c r="J309" s="31"/>
      <c r="K309" s="126"/>
      <c r="L309" s="16"/>
      <c r="M309" s="8"/>
      <c r="N309" s="31"/>
      <c r="O309" s="461"/>
    </row>
    <row r="310" spans="1:15" s="17" customFormat="1" ht="33" customHeight="1">
      <c r="A310" s="453"/>
      <c r="B310" s="415">
        <v>46163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450"/>
      <c r="O310" s="459"/>
    </row>
    <row r="311" spans="1:15" s="17" customFormat="1" ht="33" customHeight="1">
      <c r="A311" s="453"/>
      <c r="B311" s="415">
        <v>46163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46164</v>
      </c>
      <c r="C312" s="4"/>
      <c r="D312" s="4"/>
      <c r="E312" s="31"/>
      <c r="F312" s="299"/>
      <c r="G312" s="16"/>
      <c r="H312" s="199"/>
      <c r="I312" s="31"/>
      <c r="J312" s="199"/>
      <c r="K312" s="126"/>
      <c r="L312" s="16"/>
      <c r="M312" s="8"/>
      <c r="N312" s="31" t="s">
        <v>4717</v>
      </c>
      <c r="O312" s="458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53"/>
      <c r="B314" s="415">
        <v>46165</v>
      </c>
      <c r="C314" s="4"/>
      <c r="D314" s="4"/>
      <c r="E314" s="31"/>
      <c r="F314" s="31"/>
      <c r="G314" s="16"/>
      <c r="H314" s="199"/>
      <c r="I314" s="199"/>
      <c r="J314" s="199"/>
      <c r="K314" s="126"/>
      <c r="L314" s="16"/>
      <c r="M314" s="8"/>
      <c r="N314" s="199"/>
      <c r="O314" s="467"/>
    </row>
    <row r="315" spans="1:15" s="17" customFormat="1" ht="33" customHeight="1">
      <c r="A315" s="454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31"/>
      <c r="O315" s="461"/>
    </row>
    <row r="316" spans="1:15" s="17" customFormat="1" ht="33" customHeight="1">
      <c r="A316" s="455" t="s">
        <v>0</v>
      </c>
      <c r="B316" s="333" t="s">
        <v>1</v>
      </c>
      <c r="C316" s="332" t="s">
        <v>2</v>
      </c>
      <c r="D316" s="332" t="s">
        <v>3</v>
      </c>
      <c r="E316" s="332" t="s">
        <v>4</v>
      </c>
      <c r="F316" s="332" t="s">
        <v>5</v>
      </c>
      <c r="G316" s="332" t="s">
        <v>6</v>
      </c>
      <c r="H316" s="334" t="s">
        <v>7</v>
      </c>
      <c r="I316" s="332" t="s">
        <v>8</v>
      </c>
      <c r="J316" s="332" t="s">
        <v>9</v>
      </c>
      <c r="K316" s="335" t="s">
        <v>10</v>
      </c>
      <c r="L316" s="336" t="s">
        <v>11</v>
      </c>
      <c r="M316" s="332" t="s">
        <v>12</v>
      </c>
      <c r="N316" s="337" t="s">
        <v>13</v>
      </c>
      <c r="O316" s="456" t="s">
        <v>63</v>
      </c>
    </row>
    <row r="317" spans="1:15" s="17" customFormat="1" ht="33" customHeight="1">
      <c r="A317" s="452" t="s">
        <v>4546</v>
      </c>
      <c r="B317" s="415">
        <v>46167</v>
      </c>
      <c r="C317" s="4"/>
      <c r="D317" s="4"/>
      <c r="E317" s="31"/>
      <c r="F317" s="199"/>
      <c r="G317" s="16"/>
      <c r="H317" s="427" t="s">
        <v>4716</v>
      </c>
      <c r="I317" s="31"/>
      <c r="J317" s="31"/>
      <c r="K317" s="126"/>
      <c r="L317" s="16"/>
      <c r="M317" s="8"/>
      <c r="N317" s="31"/>
      <c r="O317" s="460"/>
    </row>
    <row r="318" spans="1:15" s="17" customFormat="1" ht="33" customHeight="1">
      <c r="A318" s="453"/>
      <c r="B318" s="415">
        <v>46167</v>
      </c>
      <c r="C318" s="4"/>
      <c r="D318" s="4"/>
      <c r="E318" s="299"/>
      <c r="F318" s="31"/>
      <c r="G318" s="16"/>
      <c r="H318" s="199"/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46168</v>
      </c>
      <c r="C319" s="4"/>
      <c r="D319" s="4"/>
      <c r="E319" s="31"/>
      <c r="F319" s="31"/>
      <c r="G319" s="16"/>
      <c r="H319" s="199"/>
      <c r="I319" s="31"/>
      <c r="J319" s="199"/>
      <c r="K319" s="126"/>
      <c r="L319" s="16"/>
      <c r="M319" s="8"/>
      <c r="N319" s="450"/>
      <c r="O319" s="459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46169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299"/>
      <c r="F322" s="31"/>
      <c r="G322" s="16"/>
      <c r="H322" s="199"/>
      <c r="I322" s="31"/>
      <c r="J322" s="31"/>
      <c r="K322" s="126"/>
      <c r="L322" s="16"/>
      <c r="M322" s="8"/>
      <c r="N322" s="31"/>
      <c r="O322" s="461"/>
    </row>
    <row r="323" spans="1:15" s="17" customFormat="1" ht="33" customHeight="1">
      <c r="A323" s="453"/>
      <c r="B323" s="415">
        <v>46170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46170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46171</v>
      </c>
      <c r="C325" s="4"/>
      <c r="D325" s="4"/>
      <c r="E325" s="31"/>
      <c r="F325" s="299"/>
      <c r="G325" s="16"/>
      <c r="H325" s="199"/>
      <c r="I325" s="31"/>
      <c r="J325" s="199"/>
      <c r="K325" s="126"/>
      <c r="L325" s="16"/>
      <c r="M325" s="8"/>
      <c r="N325" s="31"/>
      <c r="O325" s="458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53"/>
      <c r="B327" s="415">
        <v>46172</v>
      </c>
      <c r="C327" s="4"/>
      <c r="D327" s="4"/>
      <c r="E327" s="31"/>
      <c r="F327" s="31"/>
      <c r="G327" s="16"/>
      <c r="H327" s="199"/>
      <c r="I327" s="199"/>
      <c r="J327" s="199"/>
      <c r="K327" s="126"/>
      <c r="L327" s="16"/>
      <c r="M327" s="8"/>
      <c r="N327" s="199"/>
      <c r="O327" s="467"/>
    </row>
    <row r="328" spans="1:15" s="17" customFormat="1" ht="33" customHeight="1">
      <c r="A328" s="454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31"/>
      <c r="O328" s="461"/>
    </row>
    <row r="329" spans="1:15" s="17" customFormat="1" ht="33" customHeight="1">
      <c r="A329" s="455" t="s">
        <v>0</v>
      </c>
      <c r="B329" s="333" t="s">
        <v>1</v>
      </c>
      <c r="C329" s="332" t="s">
        <v>2</v>
      </c>
      <c r="D329" s="332" t="s">
        <v>3</v>
      </c>
      <c r="E329" s="332" t="s">
        <v>4</v>
      </c>
      <c r="F329" s="332" t="s">
        <v>5</v>
      </c>
      <c r="G329" s="332" t="s">
        <v>6</v>
      </c>
      <c r="H329" s="334" t="s">
        <v>7</v>
      </c>
      <c r="I329" s="332" t="s">
        <v>8</v>
      </c>
      <c r="J329" s="332" t="s">
        <v>9</v>
      </c>
      <c r="K329" s="335" t="s">
        <v>10</v>
      </c>
      <c r="L329" s="336" t="s">
        <v>11</v>
      </c>
      <c r="M329" s="332" t="s">
        <v>12</v>
      </c>
      <c r="N329" s="337" t="s">
        <v>13</v>
      </c>
      <c r="O329" s="456" t="s">
        <v>63</v>
      </c>
    </row>
    <row r="330" spans="1:15" s="17" customFormat="1" ht="33" customHeight="1">
      <c r="A330" s="452" t="s">
        <v>4547</v>
      </c>
      <c r="B330" s="415">
        <v>46174</v>
      </c>
      <c r="C330" s="4"/>
      <c r="D330" s="4"/>
      <c r="E330" s="31"/>
      <c r="F330" s="199"/>
      <c r="G330" s="16"/>
      <c r="H330" s="199"/>
      <c r="I330" s="31"/>
      <c r="J330" s="31"/>
      <c r="K330" s="126"/>
      <c r="L330" s="16"/>
      <c r="M330" s="8"/>
      <c r="N330" s="31"/>
      <c r="O330" s="460"/>
    </row>
    <row r="331" spans="1:15" s="17" customFormat="1" ht="33" customHeight="1">
      <c r="A331" s="453"/>
      <c r="B331" s="415">
        <v>46174</v>
      </c>
      <c r="C331" s="4"/>
      <c r="D331" s="4"/>
      <c r="E331" s="299"/>
      <c r="F331" s="31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46175</v>
      </c>
      <c r="C332" s="4"/>
      <c r="D332" s="4"/>
      <c r="E332" s="31"/>
      <c r="F332" s="31"/>
      <c r="G332" s="16"/>
      <c r="H332" s="199"/>
      <c r="I332" s="31"/>
      <c r="J332" s="199"/>
      <c r="K332" s="126"/>
      <c r="L332" s="16"/>
      <c r="M332" s="8"/>
      <c r="N332" s="450"/>
      <c r="O332" s="459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46176</v>
      </c>
      <c r="C334" s="4"/>
      <c r="D334" s="4"/>
      <c r="E334" s="31"/>
      <c r="F334" s="31"/>
      <c r="G334" s="16"/>
      <c r="H334" s="427" t="s">
        <v>4809</v>
      </c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299"/>
      <c r="F335" s="31"/>
      <c r="G335" s="16"/>
      <c r="H335" s="199"/>
      <c r="I335" s="31"/>
      <c r="J335" s="31"/>
      <c r="K335" s="126"/>
      <c r="L335" s="16"/>
      <c r="M335" s="8"/>
      <c r="N335" s="31"/>
      <c r="O335" s="461"/>
    </row>
    <row r="336" spans="1:15" s="17" customFormat="1" ht="33" customHeight="1">
      <c r="A336" s="453"/>
      <c r="B336" s="415">
        <v>46177</v>
      </c>
      <c r="C336" s="4"/>
      <c r="D336" s="4"/>
      <c r="E336" s="31"/>
      <c r="F336" s="31"/>
      <c r="G336" s="16"/>
      <c r="H336" s="199"/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46177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46178</v>
      </c>
      <c r="C338" s="4" t="s">
        <v>114</v>
      </c>
      <c r="D338" s="4" t="s">
        <v>5359</v>
      </c>
      <c r="E338" s="545" t="s">
        <v>5369</v>
      </c>
      <c r="F338" s="545" t="s">
        <v>5370</v>
      </c>
      <c r="G338" s="16" t="s">
        <v>5374</v>
      </c>
      <c r="H338" s="546" t="s">
        <v>5363</v>
      </c>
      <c r="I338" s="31"/>
      <c r="J338" s="199"/>
      <c r="K338" s="126"/>
      <c r="L338" s="16"/>
      <c r="M338" s="8"/>
      <c r="N338" s="31"/>
      <c r="O338" s="458"/>
    </row>
    <row r="339" spans="1:15" s="17" customFormat="1" ht="33" customHeight="1">
      <c r="A339" s="453"/>
      <c r="B339" s="415">
        <v>46178</v>
      </c>
      <c r="C339" s="4"/>
      <c r="D339" s="4"/>
      <c r="E339" s="31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53"/>
      <c r="B340" s="415">
        <v>46179</v>
      </c>
      <c r="C340" s="4"/>
      <c r="D340" s="4"/>
      <c r="E340" s="31"/>
      <c r="F340" s="31"/>
      <c r="G340" s="16"/>
      <c r="H340" s="199"/>
      <c r="I340" s="199"/>
      <c r="J340" s="199"/>
      <c r="K340" s="126"/>
      <c r="L340" s="16"/>
      <c r="M340" s="8"/>
      <c r="N340" s="199"/>
      <c r="O340" s="467"/>
    </row>
    <row r="341" spans="1:15" s="17" customFormat="1" ht="33" customHeight="1">
      <c r="A341" s="454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31"/>
      <c r="O341" s="461"/>
    </row>
    <row r="342" spans="1:15" s="17" customFormat="1" ht="33" customHeight="1">
      <c r="A342" s="455" t="s">
        <v>0</v>
      </c>
      <c r="B342" s="333" t="s">
        <v>1</v>
      </c>
      <c r="C342" s="332" t="s">
        <v>2</v>
      </c>
      <c r="D342" s="332" t="s">
        <v>3</v>
      </c>
      <c r="E342" s="332" t="s">
        <v>4</v>
      </c>
      <c r="F342" s="332" t="s">
        <v>5</v>
      </c>
      <c r="G342" s="332" t="s">
        <v>6</v>
      </c>
      <c r="H342" s="334" t="s">
        <v>7</v>
      </c>
      <c r="I342" s="332" t="s">
        <v>8</v>
      </c>
      <c r="J342" s="332" t="s">
        <v>9</v>
      </c>
      <c r="K342" s="335" t="s">
        <v>10</v>
      </c>
      <c r="L342" s="336" t="s">
        <v>11</v>
      </c>
      <c r="M342" s="332" t="s">
        <v>12</v>
      </c>
      <c r="N342" s="337" t="s">
        <v>13</v>
      </c>
      <c r="O342" s="456" t="s">
        <v>63</v>
      </c>
    </row>
    <row r="343" spans="1:15" s="17" customFormat="1" ht="33" customHeight="1">
      <c r="A343" s="452" t="s">
        <v>4548</v>
      </c>
      <c r="B343" s="415">
        <v>46181</v>
      </c>
      <c r="C343" s="4" t="s">
        <v>114</v>
      </c>
      <c r="D343" s="4" t="s">
        <v>5359</v>
      </c>
      <c r="E343" s="545" t="s">
        <v>5360</v>
      </c>
      <c r="F343" s="545" t="s">
        <v>5361</v>
      </c>
      <c r="G343" s="16" t="s">
        <v>5367</v>
      </c>
      <c r="H343" s="546" t="s">
        <v>5363</v>
      </c>
      <c r="I343" s="31" t="s">
        <v>5368</v>
      </c>
      <c r="J343" s="31"/>
      <c r="K343" s="126"/>
      <c r="L343" s="16"/>
      <c r="M343" s="8"/>
      <c r="N343" s="31"/>
      <c r="O343" s="460"/>
    </row>
    <row r="344" spans="1:15" s="17" customFormat="1" ht="33" customHeight="1">
      <c r="A344" s="453"/>
      <c r="B344" s="415">
        <v>46181</v>
      </c>
      <c r="C344" s="4"/>
      <c r="D344" s="4"/>
      <c r="E344" s="299"/>
      <c r="F344" s="31"/>
      <c r="G344" s="16"/>
      <c r="H344" s="199"/>
      <c r="I344" s="31"/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46182</v>
      </c>
      <c r="C345" s="4" t="s">
        <v>114</v>
      </c>
      <c r="D345" s="4" t="s">
        <v>5359</v>
      </c>
      <c r="E345" s="31" t="s">
        <v>5360</v>
      </c>
      <c r="F345" s="31" t="s">
        <v>5361</v>
      </c>
      <c r="G345" s="16" t="s">
        <v>5362</v>
      </c>
      <c r="H345" s="199" t="s">
        <v>5363</v>
      </c>
      <c r="I345" s="31"/>
      <c r="J345" s="199" t="s">
        <v>5364</v>
      </c>
      <c r="K345" s="126"/>
      <c r="L345" s="16"/>
      <c r="M345" s="8"/>
      <c r="N345" s="450"/>
      <c r="O345" s="459"/>
    </row>
    <row r="346" spans="1:15" s="17" customFormat="1" ht="33" customHeight="1">
      <c r="A346" s="453"/>
      <c r="B346" s="415">
        <v>46182</v>
      </c>
      <c r="C346" s="4"/>
      <c r="D346" s="4"/>
      <c r="E346" s="31"/>
      <c r="F346" s="31"/>
      <c r="G346" s="16"/>
      <c r="H346" s="199"/>
      <c r="I346" s="31"/>
      <c r="J346" s="199"/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46183</v>
      </c>
      <c r="C347" s="4" t="s">
        <v>114</v>
      </c>
      <c r="D347" s="4" t="s">
        <v>5359</v>
      </c>
      <c r="E347" s="545" t="s">
        <v>5360</v>
      </c>
      <c r="F347" s="545" t="s">
        <v>5361</v>
      </c>
      <c r="G347" s="16" t="s">
        <v>5365</v>
      </c>
      <c r="H347" s="546" t="s">
        <v>5363</v>
      </c>
      <c r="I347" s="31" t="s">
        <v>5366</v>
      </c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/>
      <c r="D348" s="4"/>
      <c r="E348" s="299"/>
      <c r="F348" s="31"/>
      <c r="G348" s="16"/>
      <c r="H348" s="199"/>
      <c r="I348" s="31"/>
      <c r="J348" s="31"/>
      <c r="K348" s="126"/>
      <c r="L348" s="16"/>
      <c r="M348" s="8"/>
      <c r="N348" s="31"/>
      <c r="O348" s="461"/>
    </row>
    <row r="349" spans="1:15" s="17" customFormat="1" ht="33" customHeight="1">
      <c r="A349" s="453"/>
      <c r="B349" s="415">
        <v>46184</v>
      </c>
      <c r="C349" s="4"/>
      <c r="D349" s="4"/>
      <c r="E349" s="31"/>
      <c r="F349" s="31"/>
      <c r="G349" s="16"/>
      <c r="H349" s="199"/>
      <c r="I349" s="31"/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46184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46185</v>
      </c>
      <c r="C351" s="4"/>
      <c r="D351" s="4"/>
      <c r="E351" s="31"/>
      <c r="F351" s="299"/>
      <c r="G351" s="16"/>
      <c r="H351" s="199"/>
      <c r="I351" s="31"/>
      <c r="J351" s="199"/>
      <c r="K351" s="126"/>
      <c r="L351" s="16"/>
      <c r="M351" s="8"/>
      <c r="N351" s="31"/>
      <c r="O351" s="458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53"/>
      <c r="B353" s="415">
        <v>46186</v>
      </c>
      <c r="C353" s="4"/>
      <c r="D353" s="4"/>
      <c r="E353" s="31"/>
      <c r="F353" s="31"/>
      <c r="G353" s="16"/>
      <c r="H353" s="199"/>
      <c r="I353" s="199"/>
      <c r="J353" s="199"/>
      <c r="K353" s="126"/>
      <c r="L353" s="16"/>
      <c r="M353" s="8"/>
      <c r="N353" s="199"/>
      <c r="O353" s="467"/>
    </row>
    <row r="354" spans="1:15">
      <c r="A354" s="453"/>
      <c r="B354" s="415">
        <v>46186</v>
      </c>
      <c r="C354" s="10"/>
      <c r="D354" s="10"/>
      <c r="E354" s="341"/>
      <c r="F354" s="341"/>
      <c r="G354" s="7"/>
      <c r="H354" s="161"/>
      <c r="I354" s="161"/>
      <c r="J354" s="161"/>
      <c r="K354" s="338"/>
      <c r="L354" s="7"/>
      <c r="M354" s="451"/>
      <c r="N354" s="341"/>
      <c r="O354" s="474"/>
    </row>
    <row r="358" spans="1:15">
      <c r="B358" s="395"/>
    </row>
    <row r="359" spans="1:15">
      <c r="B359" s="395"/>
    </row>
    <row r="360" spans="1:15">
      <c r="C360" s="4" t="s">
        <v>21</v>
      </c>
      <c r="D360" s="4" t="s">
        <v>14</v>
      </c>
      <c r="E360" s="31" t="s">
        <v>428</v>
      </c>
      <c r="F360" s="199" t="s">
        <v>3110</v>
      </c>
      <c r="G360" s="16" t="s">
        <v>3082</v>
      </c>
      <c r="H360" s="199" t="s">
        <v>3111</v>
      </c>
      <c r="I360" s="31" t="s">
        <v>3112</v>
      </c>
      <c r="J360" s="199" t="s">
        <v>3113</v>
      </c>
      <c r="K360" s="126" t="s">
        <v>15</v>
      </c>
      <c r="L360" s="16">
        <v>9080</v>
      </c>
      <c r="M360" s="8">
        <v>2</v>
      </c>
      <c r="N360" s="76"/>
    </row>
    <row r="363" spans="1:15" ht="27">
      <c r="C363" s="9" t="s">
        <v>29</v>
      </c>
      <c r="D363" s="9" t="s">
        <v>2996</v>
      </c>
      <c r="E363" s="31" t="s">
        <v>3000</v>
      </c>
      <c r="F363" s="199" t="s">
        <v>2998</v>
      </c>
      <c r="G363" s="16" t="s">
        <v>2999</v>
      </c>
      <c r="H363" s="199" t="s">
        <v>3001</v>
      </c>
      <c r="I363" s="31"/>
      <c r="J363" s="31" t="s">
        <v>642</v>
      </c>
      <c r="K363" s="126" t="s">
        <v>42</v>
      </c>
      <c r="L363" s="16" t="s">
        <v>3032</v>
      </c>
      <c r="M363" s="8">
        <v>2</v>
      </c>
    </row>
    <row r="365" spans="1:15">
      <c r="B365" s="395"/>
    </row>
    <row r="366" spans="1:15">
      <c r="C366" s="4" t="s">
        <v>21</v>
      </c>
      <c r="D366" s="4" t="s">
        <v>14</v>
      </c>
      <c r="E366" s="31" t="s">
        <v>3076</v>
      </c>
      <c r="F366" s="31" t="s">
        <v>1651</v>
      </c>
      <c r="G366" s="16" t="s">
        <v>3083</v>
      </c>
      <c r="H366" s="199" t="s">
        <v>1387</v>
      </c>
      <c r="I366" s="31" t="s">
        <v>3084</v>
      </c>
      <c r="J366" s="31" t="s">
        <v>3085</v>
      </c>
      <c r="K366" s="126" t="s">
        <v>3077</v>
      </c>
      <c r="L366" s="16" t="s">
        <v>33</v>
      </c>
      <c r="M366" s="8">
        <v>2</v>
      </c>
    </row>
    <row r="368" spans="1:15">
      <c r="C368" s="4" t="s">
        <v>21</v>
      </c>
      <c r="D368" s="4" t="s">
        <v>14</v>
      </c>
      <c r="E368" s="31" t="s">
        <v>2253</v>
      </c>
      <c r="F368" s="31" t="s">
        <v>1977</v>
      </c>
      <c r="G368" s="16" t="s">
        <v>2180</v>
      </c>
      <c r="H368" s="199" t="s">
        <v>3035</v>
      </c>
      <c r="I368" s="31" t="s">
        <v>90</v>
      </c>
      <c r="J368" s="31" t="s">
        <v>2965</v>
      </c>
      <c r="K368" s="126" t="s">
        <v>15</v>
      </c>
      <c r="L368" s="16" t="s">
        <v>33</v>
      </c>
      <c r="M368" s="8">
        <v>2</v>
      </c>
    </row>
    <row r="372" spans="2:15">
      <c r="B372" s="59"/>
      <c r="C372" s="59" t="s">
        <v>21</v>
      </c>
      <c r="D372" s="59" t="s">
        <v>14</v>
      </c>
      <c r="E372" s="319" t="s">
        <v>108</v>
      </c>
      <c r="F372" s="319" t="s">
        <v>1974</v>
      </c>
      <c r="G372" s="203" t="s">
        <v>144</v>
      </c>
      <c r="H372" s="318" t="s">
        <v>304</v>
      </c>
      <c r="I372" s="319" t="s">
        <v>2823</v>
      </c>
      <c r="J372" s="319"/>
      <c r="K372" s="317" t="s">
        <v>15</v>
      </c>
      <c r="L372" s="203" t="s">
        <v>33</v>
      </c>
      <c r="M372" s="188">
        <v>2</v>
      </c>
    </row>
    <row r="373" spans="2:15">
      <c r="C373" s="4" t="s">
        <v>21</v>
      </c>
      <c r="D373" s="4" t="s">
        <v>14</v>
      </c>
      <c r="E373" s="31" t="s">
        <v>1793</v>
      </c>
      <c r="F373" s="31" t="s">
        <v>2141</v>
      </c>
      <c r="G373" s="16" t="s">
        <v>143</v>
      </c>
      <c r="H373" s="199" t="s">
        <v>2993</v>
      </c>
      <c r="I373" s="31"/>
      <c r="J373" s="31" t="s">
        <v>1315</v>
      </c>
      <c r="K373" s="126" t="s">
        <v>15</v>
      </c>
      <c r="L373" s="16" t="s">
        <v>91</v>
      </c>
      <c r="M373" s="8">
        <v>1</v>
      </c>
    </row>
    <row r="379" spans="2:15">
      <c r="C379" s="4" t="s">
        <v>21</v>
      </c>
      <c r="D379" s="4" t="s">
        <v>14</v>
      </c>
      <c r="E379" s="31" t="s">
        <v>1901</v>
      </c>
      <c r="F379" s="31">
        <v>3307</v>
      </c>
      <c r="G379" s="16" t="s">
        <v>812</v>
      </c>
      <c r="H379" s="199" t="s">
        <v>2884</v>
      </c>
      <c r="I379" s="199" t="s">
        <v>2785</v>
      </c>
      <c r="J379" s="199"/>
      <c r="K379" s="126" t="s">
        <v>15</v>
      </c>
      <c r="L379" s="16" t="s">
        <v>33</v>
      </c>
      <c r="M379" s="8">
        <v>2</v>
      </c>
    </row>
    <row r="381" spans="2:15">
      <c r="B381" s="331">
        <v>45795</v>
      </c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2559</v>
      </c>
      <c r="I381" s="199" t="s">
        <v>90</v>
      </c>
      <c r="J381" s="199" t="s">
        <v>642</v>
      </c>
      <c r="K381" s="126" t="s">
        <v>15</v>
      </c>
      <c r="L381" s="16" t="s">
        <v>33</v>
      </c>
      <c r="M381" s="8">
        <v>3</v>
      </c>
      <c r="N381" s="31"/>
      <c r="O381" s="329" t="s">
        <v>2907</v>
      </c>
    </row>
    <row r="382" spans="2:15" ht="27">
      <c r="C382" s="4" t="s">
        <v>21</v>
      </c>
      <c r="D382" s="4" t="s">
        <v>17</v>
      </c>
      <c r="E382" s="31" t="s">
        <v>78</v>
      </c>
      <c r="F382" s="31">
        <v>7060</v>
      </c>
      <c r="G382" s="16" t="s">
        <v>2869</v>
      </c>
      <c r="H382" s="199" t="s">
        <v>2918</v>
      </c>
      <c r="I382" s="31" t="s">
        <v>90</v>
      </c>
      <c r="J382" s="199" t="s">
        <v>60</v>
      </c>
      <c r="K382" s="126" t="s">
        <v>15</v>
      </c>
      <c r="L382" s="16" t="s">
        <v>33</v>
      </c>
      <c r="M382" s="8">
        <v>2</v>
      </c>
    </row>
    <row r="384" spans="2:15">
      <c r="C384" s="4" t="s">
        <v>21</v>
      </c>
      <c r="D384" s="4" t="s">
        <v>14</v>
      </c>
      <c r="E384" s="31" t="s">
        <v>3078</v>
      </c>
      <c r="F384" s="31" t="s">
        <v>2906</v>
      </c>
      <c r="G384" s="16" t="s">
        <v>83</v>
      </c>
      <c r="H384" s="199" t="s">
        <v>3079</v>
      </c>
      <c r="I384" s="199"/>
      <c r="J384" s="199" t="s">
        <v>3081</v>
      </c>
      <c r="K384" s="126" t="s">
        <v>15</v>
      </c>
      <c r="L384" s="16" t="s">
        <v>3080</v>
      </c>
      <c r="M384" s="8">
        <v>3</v>
      </c>
    </row>
    <row r="387" spans="3:13">
      <c r="C387" s="4" t="s">
        <v>21</v>
      </c>
      <c r="D387" s="4" t="s">
        <v>14</v>
      </c>
      <c r="E387" s="31" t="s">
        <v>428</v>
      </c>
      <c r="F387" s="199" t="s">
        <v>3110</v>
      </c>
      <c r="G387" s="16" t="s">
        <v>3082</v>
      </c>
      <c r="H387" s="199" t="s">
        <v>3111</v>
      </c>
      <c r="I387" s="31" t="s">
        <v>3112</v>
      </c>
      <c r="J387" s="199" t="s">
        <v>3113</v>
      </c>
      <c r="K387" s="126" t="s">
        <v>15</v>
      </c>
      <c r="L387" s="16">
        <v>9080</v>
      </c>
      <c r="M387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45" activePane="bottomLeft" state="frozen"/>
      <selection pane="bottomLeft" activeCell="F1357" sqref="F135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5" t="s">
        <v>162</v>
      </c>
      <c r="B1" s="665" t="s">
        <v>163</v>
      </c>
      <c r="C1" s="663" t="s">
        <v>1</v>
      </c>
      <c r="D1" s="663" t="s">
        <v>2</v>
      </c>
      <c r="E1" s="663" t="s">
        <v>3</v>
      </c>
      <c r="F1" s="27" t="s">
        <v>54</v>
      </c>
      <c r="G1" s="663" t="s">
        <v>5</v>
      </c>
      <c r="H1" s="663" t="s">
        <v>6</v>
      </c>
      <c r="I1" s="663" t="s">
        <v>7</v>
      </c>
      <c r="J1" s="663" t="s">
        <v>55</v>
      </c>
      <c r="K1" s="667" t="s">
        <v>484</v>
      </c>
      <c r="L1" s="669" t="s">
        <v>56</v>
      </c>
      <c r="M1" s="661" t="s">
        <v>57</v>
      </c>
      <c r="N1" s="663" t="s">
        <v>58</v>
      </c>
    </row>
    <row r="2" spans="1:14">
      <c r="A2" s="666"/>
      <c r="B2" s="666"/>
      <c r="C2" s="664"/>
      <c r="D2" s="664"/>
      <c r="E2" s="664"/>
      <c r="F2" s="28" t="s">
        <v>59</v>
      </c>
      <c r="G2" s="664"/>
      <c r="H2" s="664"/>
      <c r="I2" s="664"/>
      <c r="J2" s="664"/>
      <c r="K2" s="668"/>
      <c r="L2" s="670"/>
      <c r="M2" s="662"/>
      <c r="N2" s="664"/>
    </row>
    <row r="3" spans="1:14" ht="27">
      <c r="A3" s="55">
        <v>1</v>
      </c>
      <c r="B3" s="62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6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7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40"/>
      <c r="C9" s="6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40"/>
      <c r="C10" s="6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4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40"/>
      <c r="C12" s="6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40"/>
      <c r="C13" s="6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40"/>
      <c r="C14" s="67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40"/>
      <c r="C15" s="6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40"/>
      <c r="C16" s="6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6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6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7"/>
    </row>
    <row r="24" spans="1:17" ht="27">
      <c r="A24" s="55">
        <v>4</v>
      </c>
      <c r="B24" s="625" t="s">
        <v>21</v>
      </c>
      <c r="C24" s="62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1" t="s">
        <v>85</v>
      </c>
      <c r="K24" s="644" t="s">
        <v>41</v>
      </c>
      <c r="L24" s="6" t="s">
        <v>15</v>
      </c>
      <c r="M24" s="652">
        <v>180000</v>
      </c>
      <c r="N24" s="45" t="s">
        <v>195</v>
      </c>
    </row>
    <row r="25" spans="1:17" ht="27">
      <c r="A25" s="55">
        <v>4</v>
      </c>
      <c r="B25" s="640"/>
      <c r="C25" s="62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2"/>
      <c r="K25" s="645"/>
      <c r="L25" s="6" t="s">
        <v>15</v>
      </c>
      <c r="M25" s="653"/>
      <c r="N25" s="45" t="s">
        <v>195</v>
      </c>
    </row>
    <row r="26" spans="1:17">
      <c r="A26" s="55">
        <v>4</v>
      </c>
      <c r="B26" s="640"/>
      <c r="C26" s="62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1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2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2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4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40"/>
      <c r="C32" s="62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40"/>
      <c r="C33" s="62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5" t="s">
        <v>20</v>
      </c>
      <c r="C35" s="623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2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5" t="s">
        <v>20</v>
      </c>
      <c r="C37" s="623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2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5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59"/>
      <c r="C40" s="62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59"/>
      <c r="C41" s="62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48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49"/>
      <c r="C45" s="648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49"/>
      <c r="C46" s="65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50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5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5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5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5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5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5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4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48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49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50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5" t="s">
        <v>64</v>
      </c>
      <c r="C67" s="623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44" t="s">
        <v>436</v>
      </c>
      <c r="L67" s="6" t="s">
        <v>437</v>
      </c>
      <c r="M67" s="652">
        <v>750000</v>
      </c>
      <c r="N67" s="45" t="s">
        <v>447</v>
      </c>
    </row>
    <row r="68" spans="1:15" ht="27">
      <c r="A68" s="55">
        <v>19</v>
      </c>
      <c r="B68" s="640"/>
      <c r="C68" s="651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45"/>
      <c r="L68" s="6" t="s">
        <v>412</v>
      </c>
      <c r="M68" s="653"/>
      <c r="N68" s="45" t="s">
        <v>446</v>
      </c>
    </row>
    <row r="69" spans="1:15">
      <c r="A69" s="55">
        <v>19</v>
      </c>
      <c r="B69" s="640"/>
      <c r="C69" s="62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4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4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4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4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40"/>
      <c r="C83" s="62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40"/>
      <c r="C84" s="62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40"/>
      <c r="C85" s="623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40"/>
      <c r="C86" s="62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4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4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40"/>
      <c r="C93" s="623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40"/>
      <c r="C94" s="651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40"/>
      <c r="C95" s="62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4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5" t="s">
        <v>21</v>
      </c>
      <c r="C99" s="623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40"/>
      <c r="C100" s="62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4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4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4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4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41" t="s">
        <v>659</v>
      </c>
      <c r="C110" s="64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42"/>
      <c r="C111" s="67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42"/>
      <c r="C112" s="67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74"/>
      <c r="C113" s="67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7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42"/>
      <c r="C115" s="64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43"/>
      <c r="C116" s="67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5" t="s">
        <v>20</v>
      </c>
      <c r="C117" s="68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1" t="s">
        <v>169</v>
      </c>
      <c r="K117" s="644" t="s">
        <v>646</v>
      </c>
      <c r="L117" s="57" t="s">
        <v>210</v>
      </c>
      <c r="M117" s="677">
        <f>250000*5</f>
        <v>1250000</v>
      </c>
      <c r="N117" s="625" t="s">
        <v>122</v>
      </c>
    </row>
    <row r="118" spans="1:14">
      <c r="A118" s="102">
        <v>28</v>
      </c>
      <c r="B118" s="640"/>
      <c r="C118" s="651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7"/>
      <c r="K118" s="686"/>
      <c r="L118" s="57" t="s">
        <v>210</v>
      </c>
      <c r="M118" s="679"/>
      <c r="N118" s="640"/>
    </row>
    <row r="119" spans="1:14">
      <c r="A119" s="102">
        <v>28</v>
      </c>
      <c r="B119" s="640"/>
      <c r="C119" s="651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2"/>
      <c r="K119" s="645"/>
      <c r="L119" s="57" t="s">
        <v>210</v>
      </c>
      <c r="M119" s="678"/>
      <c r="N119" s="626"/>
    </row>
    <row r="120" spans="1:14">
      <c r="A120" s="102">
        <v>28</v>
      </c>
      <c r="B120" s="626"/>
      <c r="C120" s="62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41" t="s">
        <v>308</v>
      </c>
      <c r="C122" s="64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1" t="s">
        <v>459</v>
      </c>
      <c r="N122" s="111" t="s">
        <v>707</v>
      </c>
    </row>
    <row r="123" spans="1:14" ht="16.5" customHeight="1">
      <c r="A123" s="55">
        <v>29</v>
      </c>
      <c r="B123" s="642"/>
      <c r="C123" s="64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1" t="s">
        <v>665</v>
      </c>
      <c r="K123" s="648" t="s">
        <v>708</v>
      </c>
      <c r="L123" s="111" t="s">
        <v>325</v>
      </c>
      <c r="M123" s="680" t="s">
        <v>709</v>
      </c>
      <c r="N123" s="111"/>
    </row>
    <row r="124" spans="1:14">
      <c r="A124" s="55">
        <v>29</v>
      </c>
      <c r="B124" s="642"/>
      <c r="C124" s="64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42"/>
      <c r="K124" s="649"/>
      <c r="L124" s="111" t="s">
        <v>325</v>
      </c>
      <c r="M124" s="681"/>
      <c r="N124" s="111"/>
    </row>
    <row r="125" spans="1:14">
      <c r="A125" s="55">
        <v>29</v>
      </c>
      <c r="B125" s="642"/>
      <c r="C125" s="64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3"/>
      <c r="K125" s="650"/>
      <c r="L125" s="111" t="s">
        <v>325</v>
      </c>
      <c r="M125" s="682"/>
      <c r="N125" s="111"/>
    </row>
    <row r="126" spans="1:14">
      <c r="A126" s="55">
        <v>29</v>
      </c>
      <c r="B126" s="643"/>
      <c r="C126" s="64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1" t="s">
        <v>459</v>
      </c>
      <c r="N126" s="111" t="s">
        <v>426</v>
      </c>
    </row>
    <row r="127" spans="1:14">
      <c r="A127" s="55">
        <v>29</v>
      </c>
      <c r="B127" s="64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1" t="s">
        <v>673</v>
      </c>
      <c r="N127" s="111" t="s">
        <v>697</v>
      </c>
    </row>
    <row r="128" spans="1:14">
      <c r="A128" s="55">
        <v>29</v>
      </c>
      <c r="B128" s="64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1" t="s">
        <v>459</v>
      </c>
      <c r="N128" s="111" t="s">
        <v>716</v>
      </c>
    </row>
    <row r="129" spans="1:14">
      <c r="A129" s="55">
        <v>29</v>
      </c>
      <c r="B129" s="64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1" t="s">
        <v>673</v>
      </c>
      <c r="N129" s="111" t="s">
        <v>716</v>
      </c>
    </row>
    <row r="130" spans="1:14">
      <c r="A130" s="55">
        <v>29</v>
      </c>
      <c r="B130" s="642"/>
      <c r="C130" s="64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1" t="s">
        <v>459</v>
      </c>
      <c r="N130" s="111" t="s">
        <v>716</v>
      </c>
    </row>
    <row r="131" spans="1:14">
      <c r="A131" s="55">
        <v>29</v>
      </c>
      <c r="B131" s="642"/>
      <c r="C131" s="64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1" t="s">
        <v>673</v>
      </c>
      <c r="N131" s="111" t="s">
        <v>724</v>
      </c>
    </row>
    <row r="132" spans="1:14">
      <c r="A132" s="55">
        <v>29</v>
      </c>
      <c r="B132" s="642"/>
      <c r="C132" s="64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1" t="s">
        <v>673</v>
      </c>
      <c r="N132" s="111" t="s">
        <v>698</v>
      </c>
    </row>
    <row r="133" spans="1:14">
      <c r="A133" s="55">
        <v>29</v>
      </c>
      <c r="B133" s="642"/>
      <c r="C133" s="64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1" t="s">
        <v>459</v>
      </c>
      <c r="N133" s="111" t="s">
        <v>727</v>
      </c>
    </row>
    <row r="134" spans="1:14" ht="25.5">
      <c r="A134" s="55">
        <v>29</v>
      </c>
      <c r="B134" s="64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1" t="s">
        <v>360</v>
      </c>
      <c r="N134" s="111" t="s">
        <v>724</v>
      </c>
    </row>
    <row r="135" spans="1:14" ht="16.5" customHeight="1">
      <c r="A135" s="55">
        <v>30</v>
      </c>
      <c r="B135" s="625" t="s">
        <v>619</v>
      </c>
      <c r="C135" s="623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40"/>
      <c r="C136" s="651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40"/>
      <c r="C137" s="65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2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40"/>
      <c r="C140" s="623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40"/>
      <c r="C141" s="62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5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5" t="s">
        <v>20</v>
      </c>
      <c r="C146" s="623" t="s">
        <v>870</v>
      </c>
      <c r="D146" s="644" t="s">
        <v>19</v>
      </c>
      <c r="E146" s="683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24"/>
      <c r="D147" s="645"/>
      <c r="E147" s="684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5" t="s">
        <v>124</v>
      </c>
      <c r="C148" s="623" t="s">
        <v>783</v>
      </c>
      <c r="D148" s="644" t="s">
        <v>19</v>
      </c>
      <c r="E148" s="683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24"/>
      <c r="D149" s="645"/>
      <c r="E149" s="684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4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5" t="s">
        <v>248</v>
      </c>
    </row>
    <row r="154" spans="1:14" ht="27">
      <c r="A154" s="55">
        <v>34</v>
      </c>
      <c r="B154" s="640"/>
      <c r="C154" s="62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40"/>
    </row>
    <row r="155" spans="1:14" ht="27">
      <c r="A155" s="55">
        <v>34</v>
      </c>
      <c r="B155" s="640"/>
      <c r="C155" s="62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40"/>
      <c r="C156" s="62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5" t="s">
        <v>826</v>
      </c>
    </row>
    <row r="157" spans="1:14" ht="27">
      <c r="A157" s="55">
        <v>34</v>
      </c>
      <c r="B157" s="640"/>
      <c r="C157" s="62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40"/>
    </row>
    <row r="158" spans="1:14" ht="27">
      <c r="A158" s="55">
        <v>34</v>
      </c>
      <c r="B158" s="640"/>
      <c r="C158" s="62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40"/>
    </row>
    <row r="159" spans="1:14" ht="27">
      <c r="A159" s="55">
        <v>34</v>
      </c>
      <c r="B159" s="640"/>
      <c r="C159" s="62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40"/>
    </row>
    <row r="160" spans="1:14" ht="27">
      <c r="A160" s="55">
        <v>34</v>
      </c>
      <c r="B160" s="64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40"/>
    </row>
    <row r="161" spans="1:15" ht="27">
      <c r="A161" s="55">
        <v>34</v>
      </c>
      <c r="B161" s="64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4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4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0" t="s">
        <v>850</v>
      </c>
      <c r="C167" s="620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1"/>
      <c r="C168" s="621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1"/>
      <c r="C169" s="621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2"/>
      <c r="C170" s="622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0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1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1"/>
      <c r="C178" s="620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2"/>
      <c r="C179" s="622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1"/>
      <c r="C181" s="623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1" t="s">
        <v>839</v>
      </c>
      <c r="K181" s="644" t="s">
        <v>986</v>
      </c>
      <c r="L181" s="6" t="s">
        <v>911</v>
      </c>
      <c r="M181" s="677">
        <f>180000+200000+200000</f>
        <v>580000</v>
      </c>
      <c r="N181" s="45" t="s">
        <v>807</v>
      </c>
    </row>
    <row r="182" spans="1:14">
      <c r="A182" s="55">
        <v>36</v>
      </c>
      <c r="B182" s="601"/>
      <c r="C182" s="651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2"/>
      <c r="K182" s="645"/>
      <c r="L182" s="6" t="s">
        <v>912</v>
      </c>
      <c r="M182" s="678"/>
      <c r="N182" s="45" t="s">
        <v>807</v>
      </c>
    </row>
    <row r="183" spans="1:14">
      <c r="A183" s="55">
        <v>36</v>
      </c>
      <c r="B183" s="601"/>
      <c r="C183" s="62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0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1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1"/>
      <c r="C187" s="620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2"/>
      <c r="C188" s="622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0" t="s">
        <v>940</v>
      </c>
      <c r="C192" s="620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1"/>
      <c r="C193" s="62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2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1"/>
      <c r="C196" s="623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1"/>
      <c r="C197" s="62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1"/>
      <c r="C198" s="623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2"/>
      <c r="C199" s="62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0" t="s">
        <v>20</v>
      </c>
      <c r="C200" s="620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1"/>
      <c r="C201" s="62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1"/>
      <c r="C202" s="620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2"/>
      <c r="C203" s="622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0" t="s">
        <v>20</v>
      </c>
      <c r="C207" s="620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1"/>
      <c r="C208" s="62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2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0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1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2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0" t="s">
        <v>20</v>
      </c>
      <c r="C218" s="620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1"/>
      <c r="C219" s="62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2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0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1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5" t="s">
        <v>248</v>
      </c>
    </row>
    <row r="226" spans="1:14">
      <c r="A226" s="55">
        <v>44</v>
      </c>
      <c r="B226" s="601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40"/>
    </row>
    <row r="227" spans="1:14">
      <c r="A227" s="55">
        <v>44</v>
      </c>
      <c r="B227" s="602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60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0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1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1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2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0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1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2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0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1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2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0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2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0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0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1"/>
      <c r="C249" s="620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5" t="s">
        <v>248</v>
      </c>
    </row>
    <row r="250" spans="1:14">
      <c r="A250" s="55">
        <v>48</v>
      </c>
      <c r="B250" s="602"/>
      <c r="C250" s="62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600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1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1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2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0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1"/>
      <c r="C256" s="620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5" t="s">
        <v>248</v>
      </c>
    </row>
    <row r="257" spans="1:14">
      <c r="A257" s="55">
        <v>49</v>
      </c>
      <c r="B257" s="602"/>
      <c r="C257" s="62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600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2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11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2" t="s">
        <v>1113</v>
      </c>
      <c r="N260" s="130" t="s">
        <v>1098</v>
      </c>
    </row>
    <row r="261" spans="1:14">
      <c r="A261" s="55">
        <v>49</v>
      </c>
      <c r="B261" s="612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2" t="s">
        <v>459</v>
      </c>
      <c r="N261" s="609" t="s">
        <v>1104</v>
      </c>
    </row>
    <row r="262" spans="1:14" ht="25.5">
      <c r="A262" s="133">
        <v>49</v>
      </c>
      <c r="B262" s="613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3" t="s">
        <v>673</v>
      </c>
      <c r="N262" s="610"/>
    </row>
    <row r="263" spans="1:14" ht="16.5" customHeight="1">
      <c r="A263" s="55">
        <v>50</v>
      </c>
      <c r="B263" s="600" t="s">
        <v>20</v>
      </c>
      <c r="C263" s="620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1"/>
      <c r="C264" s="621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1"/>
      <c r="C265" s="621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1"/>
      <c r="C266" s="621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2"/>
      <c r="C267" s="62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11" t="s">
        <v>659</v>
      </c>
      <c r="C268" s="60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4" t="s">
        <v>709</v>
      </c>
      <c r="N268" s="149" t="s">
        <v>666</v>
      </c>
    </row>
    <row r="269" spans="1:14">
      <c r="A269" s="55">
        <v>51</v>
      </c>
      <c r="B269" s="612"/>
      <c r="C269" s="676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4" t="s">
        <v>1113</v>
      </c>
      <c r="N269" s="149" t="s">
        <v>426</v>
      </c>
    </row>
    <row r="270" spans="1:14">
      <c r="A270" s="55">
        <v>51</v>
      </c>
      <c r="B270" s="613"/>
      <c r="C270" s="61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4" t="s">
        <v>459</v>
      </c>
      <c r="N270" s="149" t="s">
        <v>1161</v>
      </c>
    </row>
    <row r="271" spans="1:14" ht="16.5" customHeight="1">
      <c r="A271" s="55">
        <v>52</v>
      </c>
      <c r="B271" s="600" t="s">
        <v>20</v>
      </c>
      <c r="C271" s="620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1"/>
      <c r="C272" s="62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1"/>
      <c r="C273" s="62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1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1"/>
      <c r="C275" s="620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1"/>
      <c r="C276" s="622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2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35" t="s">
        <v>1197</v>
      </c>
      <c r="B278" s="636"/>
      <c r="C278" s="636"/>
      <c r="D278" s="636"/>
      <c r="E278" s="636"/>
      <c r="F278" s="636"/>
      <c r="G278" s="636"/>
      <c r="H278" s="636"/>
      <c r="I278" s="636"/>
      <c r="J278" s="636"/>
      <c r="K278" s="636"/>
      <c r="L278" s="636"/>
      <c r="M278" s="636"/>
      <c r="N278" s="637"/>
    </row>
    <row r="279" spans="1:15" ht="16.5" customHeight="1">
      <c r="A279" s="55">
        <v>1</v>
      </c>
      <c r="B279" s="600" t="s">
        <v>20</v>
      </c>
      <c r="C279" s="620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2"/>
      <c r="C280" s="62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0" t="s">
        <v>64</v>
      </c>
      <c r="C281" s="620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1"/>
      <c r="C282" s="622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1"/>
      <c r="C283" s="620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1" t="s">
        <v>1175</v>
      </c>
      <c r="K283" s="633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1"/>
      <c r="C284" s="622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2"/>
      <c r="K284" s="634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1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2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38" t="s">
        <v>124</v>
      </c>
      <c r="C287" s="60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2" t="s">
        <v>709</v>
      </c>
      <c r="N287" s="130" t="s">
        <v>666</v>
      </c>
    </row>
    <row r="288" spans="1:15">
      <c r="A288" s="55">
        <v>2</v>
      </c>
      <c r="B288" s="639"/>
      <c r="C288" s="61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2" t="s">
        <v>1113</v>
      </c>
      <c r="N288" s="129" t="s">
        <v>426</v>
      </c>
    </row>
    <row r="289" spans="1:15">
      <c r="A289" s="55">
        <v>2</v>
      </c>
      <c r="B289" s="611" t="s">
        <v>64</v>
      </c>
      <c r="C289" s="60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2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12"/>
      <c r="C290" s="62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5" t="s">
        <v>1234</v>
      </c>
      <c r="N290" s="157" t="s">
        <v>727</v>
      </c>
    </row>
    <row r="291" spans="1:15" ht="25.5">
      <c r="A291" s="55">
        <v>2</v>
      </c>
      <c r="B291" s="612"/>
      <c r="C291" s="630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09" t="s">
        <v>639</v>
      </c>
      <c r="K291" s="627" t="s">
        <v>672</v>
      </c>
      <c r="L291" s="149" t="s">
        <v>310</v>
      </c>
      <c r="M291" s="618" t="s">
        <v>673</v>
      </c>
      <c r="N291" s="149" t="s">
        <v>724</v>
      </c>
    </row>
    <row r="292" spans="1:15">
      <c r="A292" s="55">
        <v>2</v>
      </c>
      <c r="B292" s="612"/>
      <c r="C292" s="62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0"/>
      <c r="K292" s="628"/>
      <c r="L292" s="149" t="s">
        <v>310</v>
      </c>
      <c r="M292" s="619"/>
      <c r="N292" s="149" t="s">
        <v>724</v>
      </c>
    </row>
    <row r="293" spans="1:15">
      <c r="A293" s="55">
        <v>2</v>
      </c>
      <c r="B293" s="612"/>
      <c r="C293" s="630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4" t="s">
        <v>673</v>
      </c>
      <c r="N293" s="149" t="s">
        <v>724</v>
      </c>
    </row>
    <row r="294" spans="1:15">
      <c r="A294" s="55">
        <v>2</v>
      </c>
      <c r="B294" s="612"/>
      <c r="C294" s="61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4" t="s">
        <v>673</v>
      </c>
      <c r="N294" s="149" t="s">
        <v>1209</v>
      </c>
    </row>
    <row r="295" spans="1:15">
      <c r="A295" s="55">
        <v>2</v>
      </c>
      <c r="B295" s="613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4" t="s">
        <v>673</v>
      </c>
      <c r="N295" s="149" t="s">
        <v>1211</v>
      </c>
    </row>
    <row r="296" spans="1:15" ht="16.5" customHeight="1">
      <c r="A296" s="55">
        <v>3</v>
      </c>
      <c r="B296" s="600" t="s">
        <v>20</v>
      </c>
      <c r="C296" s="620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1"/>
      <c r="C297" s="621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2"/>
      <c r="C298" s="622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0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1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2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0" t="s">
        <v>20</v>
      </c>
      <c r="C302" s="620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1"/>
      <c r="C303" s="621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1"/>
      <c r="C304" s="621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1"/>
      <c r="C305" s="621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2"/>
      <c r="C306" s="622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0" t="s">
        <v>20</v>
      </c>
      <c r="C308" s="620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2"/>
      <c r="C309" s="622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11" t="s">
        <v>308</v>
      </c>
      <c r="C313" s="60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2" t="s">
        <v>1113</v>
      </c>
      <c r="N313" s="130" t="s">
        <v>666</v>
      </c>
    </row>
    <row r="314" spans="1:18">
      <c r="A314" s="55">
        <v>6</v>
      </c>
      <c r="B314" s="613"/>
      <c r="C314" s="61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2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4" t="s">
        <v>459</v>
      </c>
      <c r="N315" s="149" t="s">
        <v>1287</v>
      </c>
    </row>
    <row r="316" spans="1:18" ht="16.5" customHeight="1">
      <c r="A316" s="55">
        <v>7</v>
      </c>
      <c r="B316" s="600" t="s">
        <v>20</v>
      </c>
      <c r="C316" s="620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1"/>
      <c r="C317" s="621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2"/>
      <c r="C318" s="622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2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0" t="s">
        <v>20</v>
      </c>
      <c r="C322" s="620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2"/>
      <c r="C323" s="622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1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1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2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0" t="s">
        <v>20</v>
      </c>
      <c r="C329" s="620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1"/>
      <c r="C330" s="621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2"/>
      <c r="C331" s="62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0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2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0" t="s">
        <v>20</v>
      </c>
      <c r="C334" s="620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1"/>
      <c r="C335" s="621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1"/>
      <c r="C336" s="621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2"/>
      <c r="C337" s="62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0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1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1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2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0" t="s">
        <v>20</v>
      </c>
      <c r="C342" s="620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1"/>
      <c r="C343" s="622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1"/>
      <c r="C349" s="62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2"/>
      <c r="C350" s="62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11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2" t="s">
        <v>459</v>
      </c>
      <c r="N351" s="130" t="s">
        <v>666</v>
      </c>
      <c r="O351" s="192"/>
    </row>
    <row r="352" spans="1:15">
      <c r="A352" s="55">
        <v>12</v>
      </c>
      <c r="B352" s="612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2" t="s">
        <v>457</v>
      </c>
      <c r="N352" s="130" t="s">
        <v>666</v>
      </c>
      <c r="O352" s="192"/>
    </row>
    <row r="353" spans="1:15">
      <c r="A353" s="55">
        <v>12</v>
      </c>
      <c r="B353" s="612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2" t="s">
        <v>673</v>
      </c>
      <c r="N353" s="130" t="s">
        <v>666</v>
      </c>
      <c r="O353" s="192"/>
    </row>
    <row r="354" spans="1:15">
      <c r="A354" s="55">
        <v>12</v>
      </c>
      <c r="B354" s="612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2" t="s">
        <v>673</v>
      </c>
      <c r="N354" s="130" t="s">
        <v>666</v>
      </c>
      <c r="O354" s="192"/>
    </row>
    <row r="355" spans="1:15">
      <c r="A355" s="55">
        <v>12</v>
      </c>
      <c r="B355" s="613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2" t="s">
        <v>459</v>
      </c>
      <c r="N355" s="130" t="s">
        <v>426</v>
      </c>
      <c r="O355" s="192"/>
    </row>
    <row r="356" spans="1:15" ht="25.5">
      <c r="A356" s="55">
        <v>12</v>
      </c>
      <c r="B356" s="611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2" t="s">
        <v>457</v>
      </c>
      <c r="N356" s="157" t="s">
        <v>1426</v>
      </c>
      <c r="O356" s="192"/>
    </row>
    <row r="357" spans="1:15">
      <c r="A357" s="55">
        <v>12</v>
      </c>
      <c r="B357" s="612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2" t="s">
        <v>360</v>
      </c>
      <c r="N357" s="157" t="s">
        <v>1207</v>
      </c>
      <c r="O357" s="192"/>
    </row>
    <row r="358" spans="1:15" ht="25.5">
      <c r="A358" s="55">
        <v>12</v>
      </c>
      <c r="B358" s="612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2" t="s">
        <v>1432</v>
      </c>
      <c r="N358" s="157" t="s">
        <v>1207</v>
      </c>
      <c r="O358" s="192"/>
    </row>
    <row r="359" spans="1:15">
      <c r="A359" s="55">
        <v>12</v>
      </c>
      <c r="B359" s="613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2" t="s">
        <v>360</v>
      </c>
      <c r="N359" s="157" t="s">
        <v>1207</v>
      </c>
      <c r="O359" s="192"/>
    </row>
    <row r="360" spans="1:15" ht="40.5">
      <c r="A360" s="55">
        <v>13</v>
      </c>
      <c r="B360" s="600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1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2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1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0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1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1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2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11" t="s">
        <v>308</v>
      </c>
      <c r="C375" s="129" t="s">
        <v>1533</v>
      </c>
      <c r="D375" s="609" t="s">
        <v>307</v>
      </c>
      <c r="E375" s="609" t="s">
        <v>323</v>
      </c>
      <c r="F375" s="609" t="s">
        <v>308</v>
      </c>
      <c r="G375" s="614">
        <v>4266</v>
      </c>
      <c r="H375" s="609" t="s">
        <v>641</v>
      </c>
      <c r="I375" s="614" t="s">
        <v>1535</v>
      </c>
      <c r="J375" s="609" t="s">
        <v>1536</v>
      </c>
      <c r="K375" s="616" t="s">
        <v>693</v>
      </c>
      <c r="L375" s="609" t="s">
        <v>325</v>
      </c>
      <c r="M375" s="618" t="s">
        <v>1537</v>
      </c>
      <c r="N375" s="609" t="s">
        <v>426</v>
      </c>
    </row>
    <row r="376" spans="1:19">
      <c r="A376" s="205" t="s">
        <v>1541</v>
      </c>
      <c r="B376" s="612"/>
      <c r="C376" s="130" t="s">
        <v>1534</v>
      </c>
      <c r="D376" s="610"/>
      <c r="E376" s="610"/>
      <c r="F376" s="610"/>
      <c r="G376" s="615"/>
      <c r="H376" s="610"/>
      <c r="I376" s="615"/>
      <c r="J376" s="610"/>
      <c r="K376" s="617"/>
      <c r="L376" s="610"/>
      <c r="M376" s="619"/>
      <c r="N376" s="610"/>
    </row>
    <row r="377" spans="1:19">
      <c r="A377" s="205" t="s">
        <v>1541</v>
      </c>
      <c r="B377" s="612"/>
      <c r="C377" s="129" t="s">
        <v>1538</v>
      </c>
      <c r="D377" s="609" t="s">
        <v>307</v>
      </c>
      <c r="E377" s="609" t="s">
        <v>323</v>
      </c>
      <c r="F377" s="609" t="s">
        <v>308</v>
      </c>
      <c r="G377" s="614">
        <v>3306</v>
      </c>
      <c r="H377" s="609" t="s">
        <v>1154</v>
      </c>
      <c r="I377" s="614" t="s">
        <v>1540</v>
      </c>
      <c r="J377" s="609" t="s">
        <v>1536</v>
      </c>
      <c r="K377" s="616" t="s">
        <v>693</v>
      </c>
      <c r="L377" s="609" t="s">
        <v>325</v>
      </c>
      <c r="M377" s="618" t="s">
        <v>1537</v>
      </c>
      <c r="N377" s="609" t="s">
        <v>426</v>
      </c>
    </row>
    <row r="378" spans="1:19">
      <c r="A378" s="205" t="s">
        <v>1541</v>
      </c>
      <c r="B378" s="613"/>
      <c r="C378" s="130" t="s">
        <v>1539</v>
      </c>
      <c r="D378" s="610"/>
      <c r="E378" s="610"/>
      <c r="F378" s="610"/>
      <c r="G378" s="615"/>
      <c r="H378" s="610"/>
      <c r="I378" s="615"/>
      <c r="J378" s="610"/>
      <c r="K378" s="617"/>
      <c r="L378" s="610"/>
      <c r="M378" s="619"/>
      <c r="N378" s="610"/>
    </row>
    <row r="379" spans="1:19" ht="27" customHeight="1">
      <c r="A379" s="124">
        <v>15</v>
      </c>
      <c r="B379" s="600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1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1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2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2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0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1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1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2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1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2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0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1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2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1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1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1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1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1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2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89" t="s">
        <v>1788</v>
      </c>
      <c r="C403" s="234" t="s">
        <v>1754</v>
      </c>
      <c r="D403" s="605" t="s">
        <v>307</v>
      </c>
      <c r="E403" s="605" t="s">
        <v>323</v>
      </c>
      <c r="F403" s="605" t="s">
        <v>308</v>
      </c>
      <c r="G403" s="607">
        <v>3306</v>
      </c>
      <c r="H403" s="605" t="s">
        <v>1154</v>
      </c>
      <c r="I403" s="607" t="s">
        <v>1755</v>
      </c>
      <c r="J403" s="605" t="s">
        <v>665</v>
      </c>
      <c r="K403" s="688" t="s">
        <v>1289</v>
      </c>
      <c r="L403" s="605" t="s">
        <v>325</v>
      </c>
      <c r="M403" s="603" t="s">
        <v>1756</v>
      </c>
      <c r="N403" s="605" t="s">
        <v>666</v>
      </c>
    </row>
    <row r="404" spans="1:14">
      <c r="A404" s="124">
        <v>18</v>
      </c>
      <c r="B404" s="590"/>
      <c r="C404" s="234" t="s">
        <v>1757</v>
      </c>
      <c r="D404" s="606"/>
      <c r="E404" s="606"/>
      <c r="F404" s="606"/>
      <c r="G404" s="608"/>
      <c r="H404" s="606"/>
      <c r="I404" s="608"/>
      <c r="J404" s="606"/>
      <c r="K404" s="689"/>
      <c r="L404" s="606"/>
      <c r="M404" s="604"/>
      <c r="N404" s="606"/>
    </row>
    <row r="405" spans="1:14" ht="22.5">
      <c r="A405" s="124">
        <v>18</v>
      </c>
      <c r="B405" s="590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6" t="s">
        <v>1760</v>
      </c>
      <c r="N405" s="234"/>
    </row>
    <row r="406" spans="1:14" ht="16.5" customHeight="1">
      <c r="A406" s="124">
        <v>18</v>
      </c>
      <c r="B406" s="590"/>
      <c r="C406" s="234" t="s">
        <v>1761</v>
      </c>
      <c r="D406" s="605" t="s">
        <v>307</v>
      </c>
      <c r="E406" s="605" t="s">
        <v>323</v>
      </c>
      <c r="F406" s="605" t="s">
        <v>308</v>
      </c>
      <c r="G406" s="607" t="s">
        <v>1762</v>
      </c>
      <c r="H406" s="605" t="s">
        <v>348</v>
      </c>
      <c r="I406" s="607" t="s">
        <v>1155</v>
      </c>
      <c r="J406" s="605" t="s">
        <v>665</v>
      </c>
      <c r="K406" s="605" t="s">
        <v>1763</v>
      </c>
      <c r="L406" s="605" t="s">
        <v>325</v>
      </c>
      <c r="M406" s="603" t="s">
        <v>1764</v>
      </c>
      <c r="N406" s="605" t="s">
        <v>666</v>
      </c>
    </row>
    <row r="407" spans="1:14">
      <c r="A407" s="124">
        <v>18</v>
      </c>
      <c r="B407" s="590"/>
      <c r="C407" s="234" t="s">
        <v>1765</v>
      </c>
      <c r="D407" s="606"/>
      <c r="E407" s="606"/>
      <c r="F407" s="606"/>
      <c r="G407" s="608"/>
      <c r="H407" s="606"/>
      <c r="I407" s="608"/>
      <c r="J407" s="606"/>
      <c r="K407" s="606"/>
      <c r="L407" s="606"/>
      <c r="M407" s="604"/>
      <c r="N407" s="606"/>
    </row>
    <row r="408" spans="1:14" ht="16.5" customHeight="1">
      <c r="A408" s="124">
        <v>18</v>
      </c>
      <c r="B408" s="590"/>
      <c r="C408" s="236" t="s">
        <v>1766</v>
      </c>
      <c r="D408" s="605" t="s">
        <v>307</v>
      </c>
      <c r="E408" s="605" t="s">
        <v>323</v>
      </c>
      <c r="F408" s="605" t="s">
        <v>308</v>
      </c>
      <c r="G408" s="607" t="s">
        <v>1767</v>
      </c>
      <c r="H408" s="605" t="s">
        <v>330</v>
      </c>
      <c r="I408" s="607" t="s">
        <v>1768</v>
      </c>
      <c r="J408" s="605" t="s">
        <v>665</v>
      </c>
      <c r="K408" s="605" t="s">
        <v>1769</v>
      </c>
      <c r="L408" s="605" t="s">
        <v>325</v>
      </c>
      <c r="M408" s="603" t="s">
        <v>1770</v>
      </c>
      <c r="N408" s="605" t="s">
        <v>1771</v>
      </c>
    </row>
    <row r="409" spans="1:14">
      <c r="A409" s="124">
        <v>18</v>
      </c>
      <c r="B409" s="591"/>
      <c r="C409" s="234" t="s">
        <v>1772</v>
      </c>
      <c r="D409" s="606"/>
      <c r="E409" s="606"/>
      <c r="F409" s="606"/>
      <c r="G409" s="608"/>
      <c r="H409" s="606"/>
      <c r="I409" s="608"/>
      <c r="J409" s="606"/>
      <c r="K409" s="606"/>
      <c r="L409" s="606"/>
      <c r="M409" s="604"/>
      <c r="N409" s="606"/>
    </row>
    <row r="410" spans="1:14" ht="16.5" customHeight="1">
      <c r="A410" s="124">
        <v>18</v>
      </c>
      <c r="B410" s="589" t="s">
        <v>254</v>
      </c>
      <c r="C410" s="690" t="s">
        <v>1773</v>
      </c>
      <c r="D410" s="605" t="s">
        <v>312</v>
      </c>
      <c r="E410" s="605" t="s">
        <v>321</v>
      </c>
      <c r="F410" s="605" t="s">
        <v>710</v>
      </c>
      <c r="G410" s="605" t="s">
        <v>1774</v>
      </c>
      <c r="H410" s="690" t="s">
        <v>1775</v>
      </c>
      <c r="I410" s="235" t="s">
        <v>1776</v>
      </c>
      <c r="J410" s="605"/>
      <c r="K410" s="692" t="s">
        <v>1777</v>
      </c>
      <c r="L410" s="605" t="s">
        <v>310</v>
      </c>
      <c r="M410" s="603" t="s">
        <v>1770</v>
      </c>
      <c r="N410" s="605" t="s">
        <v>1778</v>
      </c>
    </row>
    <row r="411" spans="1:14">
      <c r="A411" s="124">
        <v>18</v>
      </c>
      <c r="B411" s="590"/>
      <c r="C411" s="691"/>
      <c r="D411" s="606"/>
      <c r="E411" s="606"/>
      <c r="F411" s="606"/>
      <c r="G411" s="606"/>
      <c r="H411" s="691"/>
      <c r="I411" s="235" t="s">
        <v>1779</v>
      </c>
      <c r="J411" s="606"/>
      <c r="K411" s="693"/>
      <c r="L411" s="606"/>
      <c r="M411" s="604"/>
      <c r="N411" s="606"/>
    </row>
    <row r="412" spans="1:14" ht="22.5">
      <c r="A412" s="124">
        <v>18</v>
      </c>
      <c r="B412" s="590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6" t="s">
        <v>1770</v>
      </c>
      <c r="N412" s="234" t="s">
        <v>1781</v>
      </c>
    </row>
    <row r="413" spans="1:14" ht="16.5" customHeight="1">
      <c r="A413" s="124">
        <v>18</v>
      </c>
      <c r="B413" s="590"/>
      <c r="C413" s="690" t="s">
        <v>1782</v>
      </c>
      <c r="D413" s="690" t="s">
        <v>701</v>
      </c>
      <c r="E413" s="605" t="s">
        <v>676</v>
      </c>
      <c r="F413" s="690" t="s">
        <v>1783</v>
      </c>
      <c r="G413" s="690" t="s">
        <v>1784</v>
      </c>
      <c r="H413" s="690" t="s">
        <v>663</v>
      </c>
      <c r="I413" s="235" t="s">
        <v>1785</v>
      </c>
      <c r="J413" s="605" t="s">
        <v>639</v>
      </c>
      <c r="K413" s="605" t="s">
        <v>732</v>
      </c>
      <c r="L413" s="605" t="s">
        <v>310</v>
      </c>
      <c r="M413" s="603" t="s">
        <v>1786</v>
      </c>
      <c r="N413" s="605" t="s">
        <v>1787</v>
      </c>
    </row>
    <row r="414" spans="1:14">
      <c r="A414" s="124">
        <v>18</v>
      </c>
      <c r="B414" s="591"/>
      <c r="C414" s="691"/>
      <c r="D414" s="691"/>
      <c r="E414" s="606"/>
      <c r="F414" s="691"/>
      <c r="G414" s="691"/>
      <c r="H414" s="691"/>
      <c r="I414" s="26"/>
      <c r="J414" s="606"/>
      <c r="K414" s="606"/>
      <c r="L414" s="606"/>
      <c r="M414" s="604"/>
      <c r="N414" s="606"/>
    </row>
    <row r="415" spans="1:14" ht="16.5" customHeight="1">
      <c r="A415" s="124">
        <v>19</v>
      </c>
      <c r="B415" s="589" t="s">
        <v>20</v>
      </c>
      <c r="C415" s="149" t="s">
        <v>1800</v>
      </c>
      <c r="D415" s="609" t="s">
        <v>307</v>
      </c>
      <c r="E415" s="609" t="s">
        <v>323</v>
      </c>
      <c r="F415" s="609" t="s">
        <v>308</v>
      </c>
      <c r="G415" s="614" t="s">
        <v>1802</v>
      </c>
      <c r="H415" s="609" t="s">
        <v>1803</v>
      </c>
      <c r="I415" s="614" t="s">
        <v>1798</v>
      </c>
      <c r="J415" s="609" t="s">
        <v>665</v>
      </c>
      <c r="K415" s="149" t="s">
        <v>1522</v>
      </c>
      <c r="L415" s="609" t="s">
        <v>325</v>
      </c>
      <c r="M415" s="618" t="s">
        <v>1805</v>
      </c>
      <c r="N415" s="609" t="s">
        <v>666</v>
      </c>
    </row>
    <row r="416" spans="1:14">
      <c r="A416" s="124">
        <v>19</v>
      </c>
      <c r="B416" s="590"/>
      <c r="C416" s="149" t="s">
        <v>1801</v>
      </c>
      <c r="D416" s="610"/>
      <c r="E416" s="610"/>
      <c r="F416" s="610"/>
      <c r="G416" s="615"/>
      <c r="H416" s="610"/>
      <c r="I416" s="615"/>
      <c r="J416" s="610"/>
      <c r="K416" s="149" t="s">
        <v>1804</v>
      </c>
      <c r="L416" s="610"/>
      <c r="M416" s="619"/>
      <c r="N416" s="610"/>
    </row>
    <row r="417" spans="1:14">
      <c r="A417" s="124">
        <v>19</v>
      </c>
      <c r="B417" s="590"/>
      <c r="C417" s="149" t="s">
        <v>1806</v>
      </c>
      <c r="D417" s="609" t="s">
        <v>307</v>
      </c>
      <c r="E417" s="609" t="s">
        <v>323</v>
      </c>
      <c r="F417" s="609" t="s">
        <v>308</v>
      </c>
      <c r="G417" s="614" t="s">
        <v>1807</v>
      </c>
      <c r="H417" s="609" t="s">
        <v>1808</v>
      </c>
      <c r="I417" s="614" t="s">
        <v>1809</v>
      </c>
      <c r="J417" s="609" t="s">
        <v>665</v>
      </c>
      <c r="K417" s="627" t="s">
        <v>1156</v>
      </c>
      <c r="L417" s="609" t="s">
        <v>325</v>
      </c>
      <c r="M417" s="618" t="s">
        <v>1810</v>
      </c>
      <c r="N417" s="609" t="s">
        <v>666</v>
      </c>
    </row>
    <row r="418" spans="1:14">
      <c r="A418" s="124">
        <v>19</v>
      </c>
      <c r="B418" s="591"/>
      <c r="C418" s="149" t="s">
        <v>1801</v>
      </c>
      <c r="D418" s="610"/>
      <c r="E418" s="610"/>
      <c r="F418" s="610"/>
      <c r="G418" s="615"/>
      <c r="H418" s="610"/>
      <c r="I418" s="615"/>
      <c r="J418" s="610"/>
      <c r="K418" s="628"/>
      <c r="L418" s="610"/>
      <c r="M418" s="619"/>
      <c r="N418" s="610"/>
    </row>
    <row r="419" spans="1:14" ht="16.5" customHeight="1">
      <c r="A419" s="124">
        <v>19</v>
      </c>
      <c r="B419" s="589" t="s">
        <v>21</v>
      </c>
      <c r="C419" s="641" t="s">
        <v>1811</v>
      </c>
      <c r="D419" s="641" t="s">
        <v>701</v>
      </c>
      <c r="E419" s="609" t="s">
        <v>676</v>
      </c>
      <c r="F419" s="641" t="s">
        <v>1812</v>
      </c>
      <c r="G419" s="641" t="s">
        <v>1813</v>
      </c>
      <c r="H419" s="641" t="s">
        <v>663</v>
      </c>
      <c r="I419" s="614" t="s">
        <v>1814</v>
      </c>
      <c r="J419" s="609"/>
      <c r="K419" s="694" t="s">
        <v>1815</v>
      </c>
      <c r="L419" s="609" t="s">
        <v>310</v>
      </c>
      <c r="M419" s="618" t="s">
        <v>1816</v>
      </c>
      <c r="N419" s="150" t="s">
        <v>1817</v>
      </c>
    </row>
    <row r="420" spans="1:14">
      <c r="A420" s="124">
        <v>19</v>
      </c>
      <c r="B420" s="590"/>
      <c r="C420" s="643"/>
      <c r="D420" s="643"/>
      <c r="E420" s="610"/>
      <c r="F420" s="643"/>
      <c r="G420" s="643"/>
      <c r="H420" s="643"/>
      <c r="I420" s="615"/>
      <c r="J420" s="610"/>
      <c r="K420" s="695"/>
      <c r="L420" s="610"/>
      <c r="M420" s="619"/>
      <c r="N420" s="150" t="s">
        <v>1818</v>
      </c>
    </row>
    <row r="421" spans="1:14">
      <c r="A421" s="124">
        <v>19</v>
      </c>
      <c r="B421" s="590"/>
      <c r="C421" s="696" t="s">
        <v>1819</v>
      </c>
      <c r="D421" s="641" t="s">
        <v>701</v>
      </c>
      <c r="E421" s="609" t="s">
        <v>321</v>
      </c>
      <c r="F421" s="609" t="s">
        <v>338</v>
      </c>
      <c r="G421" s="641" t="s">
        <v>354</v>
      </c>
      <c r="H421" s="641" t="s">
        <v>1820</v>
      </c>
      <c r="I421" s="614" t="s">
        <v>1821</v>
      </c>
      <c r="J421" s="609" t="s">
        <v>639</v>
      </c>
      <c r="K421" s="698" t="s">
        <v>693</v>
      </c>
      <c r="L421" s="609" t="s">
        <v>310</v>
      </c>
      <c r="M421" s="618" t="s">
        <v>1822</v>
      </c>
      <c r="N421" s="149" t="s">
        <v>1823</v>
      </c>
    </row>
    <row r="422" spans="1:14">
      <c r="A422" s="124">
        <v>19</v>
      </c>
      <c r="B422" s="590"/>
      <c r="C422" s="697"/>
      <c r="D422" s="643"/>
      <c r="E422" s="610"/>
      <c r="F422" s="610"/>
      <c r="G422" s="643"/>
      <c r="H422" s="643"/>
      <c r="I422" s="615"/>
      <c r="J422" s="610"/>
      <c r="K422" s="699"/>
      <c r="L422" s="610"/>
      <c r="M422" s="619"/>
      <c r="N422" s="149" t="s">
        <v>1824</v>
      </c>
    </row>
    <row r="423" spans="1:14">
      <c r="A423" s="124">
        <v>19</v>
      </c>
      <c r="B423" s="590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4" t="s">
        <v>1816</v>
      </c>
      <c r="N423" s="149" t="s">
        <v>1823</v>
      </c>
    </row>
    <row r="424" spans="1:14">
      <c r="A424" s="124">
        <v>19</v>
      </c>
      <c r="B424" s="590"/>
      <c r="C424" s="641" t="s">
        <v>1826</v>
      </c>
      <c r="D424" s="641" t="s">
        <v>701</v>
      </c>
      <c r="E424" s="609" t="s">
        <v>321</v>
      </c>
      <c r="F424" s="609" t="s">
        <v>710</v>
      </c>
      <c r="G424" s="609" t="s">
        <v>1774</v>
      </c>
      <c r="H424" s="641" t="s">
        <v>1827</v>
      </c>
      <c r="I424" s="150" t="s">
        <v>1828</v>
      </c>
      <c r="J424" s="609" t="s">
        <v>639</v>
      </c>
      <c r="K424" s="609" t="s">
        <v>693</v>
      </c>
      <c r="L424" s="609" t="s">
        <v>310</v>
      </c>
      <c r="M424" s="618" t="s">
        <v>1537</v>
      </c>
      <c r="N424" s="614" t="s">
        <v>1830</v>
      </c>
    </row>
    <row r="425" spans="1:14">
      <c r="A425" s="124">
        <v>19</v>
      </c>
      <c r="B425" s="590"/>
      <c r="C425" s="643"/>
      <c r="D425" s="643"/>
      <c r="E425" s="610"/>
      <c r="F425" s="610"/>
      <c r="G425" s="610"/>
      <c r="H425" s="643"/>
      <c r="I425" s="150" t="s">
        <v>1829</v>
      </c>
      <c r="J425" s="610"/>
      <c r="K425" s="610"/>
      <c r="L425" s="610"/>
      <c r="M425" s="619"/>
      <c r="N425" s="615"/>
    </row>
    <row r="426" spans="1:14">
      <c r="A426" s="124">
        <v>19</v>
      </c>
      <c r="B426" s="591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4" t="s">
        <v>1834</v>
      </c>
      <c r="N426" s="149" t="s">
        <v>1207</v>
      </c>
    </row>
    <row r="427" spans="1:14">
      <c r="A427" s="124">
        <v>20</v>
      </c>
      <c r="B427" s="589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90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90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90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91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89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91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89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90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90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90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91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89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90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90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0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91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89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90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90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90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91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89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90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91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89" t="s">
        <v>2084</v>
      </c>
      <c r="C452" s="251" t="s">
        <v>1912</v>
      </c>
      <c r="D452" s="592" t="s">
        <v>307</v>
      </c>
      <c r="E452" s="592" t="s">
        <v>323</v>
      </c>
      <c r="F452" s="592" t="s">
        <v>308</v>
      </c>
      <c r="G452" s="592">
        <v>3306</v>
      </c>
      <c r="H452" s="592" t="s">
        <v>1154</v>
      </c>
      <c r="I452" s="592" t="s">
        <v>1913</v>
      </c>
      <c r="J452" s="592" t="s">
        <v>1112</v>
      </c>
      <c r="K452" s="592" t="s">
        <v>693</v>
      </c>
      <c r="L452" s="592" t="s">
        <v>325</v>
      </c>
      <c r="M452" s="598" t="s">
        <v>1914</v>
      </c>
      <c r="N452" s="592" t="s">
        <v>666</v>
      </c>
    </row>
    <row r="453" spans="1:14">
      <c r="A453" s="124">
        <v>23</v>
      </c>
      <c r="B453" s="590"/>
      <c r="C453" s="251" t="s">
        <v>1915</v>
      </c>
      <c r="D453" s="593"/>
      <c r="E453" s="593"/>
      <c r="F453" s="593"/>
      <c r="G453" s="593"/>
      <c r="H453" s="593"/>
      <c r="I453" s="593"/>
      <c r="J453" s="593"/>
      <c r="K453" s="593"/>
      <c r="L453" s="593"/>
      <c r="M453" s="599"/>
      <c r="N453" s="593"/>
    </row>
    <row r="454" spans="1:14">
      <c r="A454" s="124">
        <v>23</v>
      </c>
      <c r="B454" s="590"/>
      <c r="C454" s="251" t="s">
        <v>1916</v>
      </c>
      <c r="D454" s="592" t="s">
        <v>307</v>
      </c>
      <c r="E454" s="592" t="s">
        <v>323</v>
      </c>
      <c r="F454" s="592" t="s">
        <v>308</v>
      </c>
      <c r="G454" s="594" t="s">
        <v>1420</v>
      </c>
      <c r="H454" s="592" t="s">
        <v>1917</v>
      </c>
      <c r="I454" s="594" t="s">
        <v>1155</v>
      </c>
      <c r="J454" s="592" t="s">
        <v>665</v>
      </c>
      <c r="K454" s="700" t="s">
        <v>1769</v>
      </c>
      <c r="L454" s="592" t="s">
        <v>325</v>
      </c>
      <c r="M454" s="598" t="s">
        <v>1537</v>
      </c>
      <c r="N454" s="592" t="s">
        <v>666</v>
      </c>
    </row>
    <row r="455" spans="1:14">
      <c r="A455" s="124">
        <v>23</v>
      </c>
      <c r="B455" s="590"/>
      <c r="C455" s="251" t="s">
        <v>1915</v>
      </c>
      <c r="D455" s="593"/>
      <c r="E455" s="593"/>
      <c r="F455" s="593"/>
      <c r="G455" s="595"/>
      <c r="H455" s="593"/>
      <c r="I455" s="595"/>
      <c r="J455" s="593"/>
      <c r="K455" s="701"/>
      <c r="L455" s="593"/>
      <c r="M455" s="599"/>
      <c r="N455" s="593"/>
    </row>
    <row r="456" spans="1:14">
      <c r="A456" s="124">
        <v>23</v>
      </c>
      <c r="B456" s="590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7" t="s">
        <v>1914</v>
      </c>
      <c r="N456" s="249" t="s">
        <v>426</v>
      </c>
    </row>
    <row r="457" spans="1:14">
      <c r="A457" s="124">
        <v>23</v>
      </c>
      <c r="B457" s="590"/>
      <c r="C457" s="251" t="s">
        <v>1923</v>
      </c>
      <c r="D457" s="592" t="s">
        <v>307</v>
      </c>
      <c r="E457" s="592" t="s">
        <v>323</v>
      </c>
      <c r="F457" s="592" t="s">
        <v>308</v>
      </c>
      <c r="G457" s="594">
        <v>4267</v>
      </c>
      <c r="H457" s="592" t="s">
        <v>641</v>
      </c>
      <c r="I457" s="594" t="s">
        <v>1155</v>
      </c>
      <c r="J457" s="592" t="s">
        <v>665</v>
      </c>
      <c r="K457" s="700" t="s">
        <v>1769</v>
      </c>
      <c r="L457" s="592" t="s">
        <v>325</v>
      </c>
      <c r="M457" s="598" t="s">
        <v>1537</v>
      </c>
      <c r="N457" s="592" t="s">
        <v>666</v>
      </c>
    </row>
    <row r="458" spans="1:14">
      <c r="A458" s="124">
        <v>23</v>
      </c>
      <c r="B458" s="590"/>
      <c r="C458" s="251" t="s">
        <v>1924</v>
      </c>
      <c r="D458" s="593"/>
      <c r="E458" s="593"/>
      <c r="F458" s="593"/>
      <c r="G458" s="595"/>
      <c r="H458" s="593"/>
      <c r="I458" s="595"/>
      <c r="J458" s="593"/>
      <c r="K458" s="701"/>
      <c r="L458" s="593"/>
      <c r="M458" s="599"/>
      <c r="N458" s="593"/>
    </row>
    <row r="459" spans="1:14">
      <c r="A459" s="124">
        <v>23</v>
      </c>
      <c r="B459" s="590"/>
      <c r="C459" s="251" t="s">
        <v>1923</v>
      </c>
      <c r="D459" s="592" t="s">
        <v>307</v>
      </c>
      <c r="E459" s="592" t="s">
        <v>323</v>
      </c>
      <c r="F459" s="592" t="s">
        <v>308</v>
      </c>
      <c r="G459" s="594" t="s">
        <v>1925</v>
      </c>
      <c r="H459" s="592" t="s">
        <v>663</v>
      </c>
      <c r="I459" s="594" t="s">
        <v>1926</v>
      </c>
      <c r="J459" s="592" t="s">
        <v>350</v>
      </c>
      <c r="K459" s="702" t="s">
        <v>1922</v>
      </c>
      <c r="L459" s="592" t="s">
        <v>325</v>
      </c>
      <c r="M459" s="598" t="s">
        <v>1537</v>
      </c>
      <c r="N459" s="592" t="s">
        <v>426</v>
      </c>
    </row>
    <row r="460" spans="1:14">
      <c r="A460" s="124">
        <v>23</v>
      </c>
      <c r="B460" s="591"/>
      <c r="C460" s="252" t="s">
        <v>1924</v>
      </c>
      <c r="D460" s="593"/>
      <c r="E460" s="593"/>
      <c r="F460" s="593"/>
      <c r="G460" s="595"/>
      <c r="H460" s="593"/>
      <c r="I460" s="595"/>
      <c r="J460" s="593"/>
      <c r="K460" s="703"/>
      <c r="L460" s="593"/>
      <c r="M460" s="599"/>
      <c r="N460" s="593"/>
    </row>
    <row r="461" spans="1:14">
      <c r="A461" s="124">
        <v>23</v>
      </c>
      <c r="B461" s="589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7" t="s">
        <v>1834</v>
      </c>
      <c r="N461" s="250" t="s">
        <v>1931</v>
      </c>
    </row>
    <row r="462" spans="1:14">
      <c r="A462" s="124">
        <v>23</v>
      </c>
      <c r="B462" s="590"/>
      <c r="C462" s="592" t="s">
        <v>1927</v>
      </c>
      <c r="D462" s="592" t="s">
        <v>312</v>
      </c>
      <c r="E462" s="592" t="s">
        <v>676</v>
      </c>
      <c r="F462" s="592" t="s">
        <v>1932</v>
      </c>
      <c r="G462" s="592" t="s">
        <v>1933</v>
      </c>
      <c r="H462" s="596" t="s">
        <v>348</v>
      </c>
      <c r="I462" s="250" t="s">
        <v>1934</v>
      </c>
      <c r="J462" s="592"/>
      <c r="K462" s="594" t="s">
        <v>1930</v>
      </c>
      <c r="L462" s="592" t="s">
        <v>310</v>
      </c>
      <c r="M462" s="598" t="s">
        <v>1834</v>
      </c>
      <c r="N462" s="594" t="s">
        <v>1931</v>
      </c>
    </row>
    <row r="463" spans="1:14">
      <c r="A463" s="124">
        <v>23</v>
      </c>
      <c r="B463" s="590"/>
      <c r="C463" s="593"/>
      <c r="D463" s="593"/>
      <c r="E463" s="593"/>
      <c r="F463" s="593"/>
      <c r="G463" s="593"/>
      <c r="H463" s="597"/>
      <c r="I463" s="250" t="s">
        <v>1935</v>
      </c>
      <c r="J463" s="593"/>
      <c r="K463" s="595"/>
      <c r="L463" s="593"/>
      <c r="M463" s="599"/>
      <c r="N463" s="595"/>
    </row>
    <row r="464" spans="1:14" ht="24">
      <c r="A464" s="124">
        <v>23</v>
      </c>
      <c r="B464" s="590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7" t="s">
        <v>1939</v>
      </c>
      <c r="N464" s="250" t="s">
        <v>1940</v>
      </c>
    </row>
    <row r="465" spans="1:14">
      <c r="A465" s="124">
        <v>23</v>
      </c>
      <c r="B465" s="591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7" t="s">
        <v>1816</v>
      </c>
      <c r="N465" s="250" t="s">
        <v>1778</v>
      </c>
    </row>
    <row r="466" spans="1:14" ht="27">
      <c r="A466" s="124">
        <v>24</v>
      </c>
      <c r="B466" s="589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90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90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91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89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90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0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0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91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89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90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90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91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89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90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91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8">
        <v>300000</v>
      </c>
      <c r="N481" s="273" t="s">
        <v>1882</v>
      </c>
    </row>
    <row r="482" spans="1:14" ht="27">
      <c r="A482" s="124">
        <v>26</v>
      </c>
      <c r="B482" s="589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90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90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90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91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89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90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0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90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91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89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90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90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90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90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91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89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90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91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89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90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90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91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89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91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89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90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90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90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90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90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90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90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91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89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90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91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89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90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90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90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91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89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91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89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90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90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90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91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89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90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91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89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90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91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89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90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90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90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91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89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0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90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91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89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90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0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91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89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90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91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89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0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0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91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89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90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91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89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0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0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91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89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90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90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90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0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91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0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22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0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21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21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22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89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91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0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21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21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22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89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90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0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91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89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90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90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0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90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91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89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0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91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89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90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91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89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0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90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91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89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91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0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21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22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89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90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90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91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89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91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89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90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90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91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05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06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06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06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07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89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90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91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89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90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91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89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90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91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89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91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89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90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91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89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90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90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90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0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0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90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90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90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90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90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90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0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0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90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90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90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90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90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90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90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90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89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90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90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91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704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90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91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89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91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89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90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90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90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91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89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91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589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2" t="s">
        <v>673</v>
      </c>
      <c r="N685" s="130" t="s">
        <v>2730</v>
      </c>
    </row>
    <row r="686" spans="1:14">
      <c r="A686" s="124">
        <v>8</v>
      </c>
      <c r="B686" s="590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2" t="s">
        <v>673</v>
      </c>
      <c r="N686" s="130" t="s">
        <v>666</v>
      </c>
    </row>
    <row r="687" spans="1:14">
      <c r="A687" s="124">
        <v>8</v>
      </c>
      <c r="B687" s="590"/>
      <c r="C687" s="149" t="s">
        <v>2734</v>
      </c>
      <c r="D687" s="609" t="s">
        <v>307</v>
      </c>
      <c r="E687" s="609" t="s">
        <v>323</v>
      </c>
      <c r="F687" s="609" t="s">
        <v>308</v>
      </c>
      <c r="G687" s="614" t="s">
        <v>2727</v>
      </c>
      <c r="H687" s="609" t="s">
        <v>1048</v>
      </c>
      <c r="I687" s="614" t="s">
        <v>705</v>
      </c>
      <c r="J687" s="609" t="s">
        <v>665</v>
      </c>
      <c r="K687" s="708" t="s">
        <v>1769</v>
      </c>
      <c r="L687" s="609"/>
      <c r="M687" s="618" t="s">
        <v>459</v>
      </c>
      <c r="N687" s="609" t="s">
        <v>666</v>
      </c>
    </row>
    <row r="688" spans="1:14">
      <c r="A688" s="124">
        <v>8</v>
      </c>
      <c r="B688" s="590"/>
      <c r="C688" s="149" t="s">
        <v>2735</v>
      </c>
      <c r="D688" s="610"/>
      <c r="E688" s="610"/>
      <c r="F688" s="610"/>
      <c r="G688" s="615"/>
      <c r="H688" s="610"/>
      <c r="I688" s="615"/>
      <c r="J688" s="610"/>
      <c r="K688" s="709"/>
      <c r="L688" s="610"/>
      <c r="M688" s="619"/>
      <c r="N688" s="610"/>
    </row>
    <row r="689" spans="1:14">
      <c r="A689" s="124">
        <v>8</v>
      </c>
      <c r="B689" s="590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2" t="s">
        <v>673</v>
      </c>
      <c r="N689" s="130" t="s">
        <v>666</v>
      </c>
    </row>
    <row r="690" spans="1:14" ht="16.5" customHeight="1">
      <c r="A690" s="124">
        <v>8</v>
      </c>
      <c r="B690" s="590"/>
      <c r="C690" s="149" t="s">
        <v>2738</v>
      </c>
      <c r="D690" s="609" t="s">
        <v>307</v>
      </c>
      <c r="E690" s="609" t="s">
        <v>323</v>
      </c>
      <c r="F690" s="609" t="s">
        <v>308</v>
      </c>
      <c r="G690" s="614" t="s">
        <v>2739</v>
      </c>
      <c r="H690" s="609" t="s">
        <v>641</v>
      </c>
      <c r="I690" s="614" t="s">
        <v>669</v>
      </c>
      <c r="J690" s="609" t="s">
        <v>350</v>
      </c>
      <c r="K690" s="710" t="s">
        <v>2740</v>
      </c>
      <c r="L690" s="609"/>
      <c r="M690" s="618" t="s">
        <v>2777</v>
      </c>
      <c r="N690" s="609" t="s">
        <v>426</v>
      </c>
    </row>
    <row r="691" spans="1:14">
      <c r="A691" s="124">
        <v>8</v>
      </c>
      <c r="B691" s="591"/>
      <c r="C691" s="149" t="s">
        <v>2731</v>
      </c>
      <c r="D691" s="610"/>
      <c r="E691" s="610"/>
      <c r="F691" s="610"/>
      <c r="G691" s="615"/>
      <c r="H691" s="610"/>
      <c r="I691" s="615"/>
      <c r="J691" s="610"/>
      <c r="K691" s="711"/>
      <c r="L691" s="610"/>
      <c r="M691" s="619"/>
      <c r="N691" s="610"/>
    </row>
    <row r="692" spans="1:14">
      <c r="A692" s="124">
        <v>8</v>
      </c>
      <c r="B692" s="589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2" t="s">
        <v>673</v>
      </c>
      <c r="N692" s="157" t="s">
        <v>2745</v>
      </c>
    </row>
    <row r="693" spans="1:14" ht="16.5" customHeight="1">
      <c r="A693" s="124">
        <v>8</v>
      </c>
      <c r="B693" s="590"/>
      <c r="C693" s="609" t="s">
        <v>2776</v>
      </c>
      <c r="D693" s="609" t="s">
        <v>312</v>
      </c>
      <c r="E693" s="609" t="s">
        <v>676</v>
      </c>
      <c r="F693" s="150" t="s">
        <v>1812</v>
      </c>
      <c r="G693" s="614" t="s">
        <v>690</v>
      </c>
      <c r="H693" s="614" t="s">
        <v>663</v>
      </c>
      <c r="I693" s="614" t="s">
        <v>2747</v>
      </c>
      <c r="J693" s="614"/>
      <c r="K693" s="614" t="s">
        <v>699</v>
      </c>
      <c r="L693" s="609" t="s">
        <v>310</v>
      </c>
      <c r="M693" s="618" t="s">
        <v>673</v>
      </c>
      <c r="N693" s="609" t="s">
        <v>2748</v>
      </c>
    </row>
    <row r="694" spans="1:14">
      <c r="A694" s="124">
        <v>8</v>
      </c>
      <c r="B694" s="591"/>
      <c r="C694" s="610"/>
      <c r="D694" s="610"/>
      <c r="E694" s="610"/>
      <c r="F694" s="150" t="s">
        <v>2746</v>
      </c>
      <c r="G694" s="615"/>
      <c r="H694" s="615"/>
      <c r="I694" s="615"/>
      <c r="J694" s="615"/>
      <c r="K694" s="615"/>
      <c r="L694" s="610"/>
      <c r="M694" s="619"/>
      <c r="N694" s="676"/>
    </row>
    <row r="695" spans="1:14">
      <c r="A695" s="124">
        <v>9</v>
      </c>
      <c r="B695" s="589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7">
        <v>250000</v>
      </c>
      <c r="N695" s="249" t="s">
        <v>666</v>
      </c>
    </row>
    <row r="696" spans="1:14">
      <c r="A696" s="124">
        <v>9</v>
      </c>
      <c r="B696" s="590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7">
        <v>250000</v>
      </c>
      <c r="N696" s="249" t="s">
        <v>666</v>
      </c>
    </row>
    <row r="697" spans="1:14">
      <c r="A697" s="124">
        <v>9</v>
      </c>
      <c r="B697" s="590"/>
      <c r="C697" s="251" t="s">
        <v>2753</v>
      </c>
      <c r="D697" s="592" t="s">
        <v>307</v>
      </c>
      <c r="E697" s="592" t="s">
        <v>323</v>
      </c>
      <c r="F697" s="592" t="s">
        <v>308</v>
      </c>
      <c r="G697" s="594" t="s">
        <v>2754</v>
      </c>
      <c r="H697" s="592" t="s">
        <v>406</v>
      </c>
      <c r="I697" s="594" t="s">
        <v>2755</v>
      </c>
      <c r="J697" s="592" t="s">
        <v>665</v>
      </c>
      <c r="K697" s="712" t="s">
        <v>1763</v>
      </c>
      <c r="L697" s="592"/>
      <c r="M697" s="598">
        <v>750000</v>
      </c>
      <c r="N697" s="592" t="s">
        <v>666</v>
      </c>
    </row>
    <row r="698" spans="1:14">
      <c r="A698" s="124">
        <v>9</v>
      </c>
      <c r="B698" s="590"/>
      <c r="C698" s="251" t="s">
        <v>2756</v>
      </c>
      <c r="D698" s="593"/>
      <c r="E698" s="593"/>
      <c r="F698" s="593"/>
      <c r="G698" s="595"/>
      <c r="H698" s="593"/>
      <c r="I698" s="595"/>
      <c r="J698" s="593"/>
      <c r="K698" s="713"/>
      <c r="L698" s="593"/>
      <c r="M698" s="599"/>
      <c r="N698" s="593"/>
    </row>
    <row r="699" spans="1:14">
      <c r="A699" s="124">
        <v>9</v>
      </c>
      <c r="B699" s="590"/>
      <c r="C699" s="251" t="s">
        <v>2753</v>
      </c>
      <c r="D699" s="592" t="s">
        <v>307</v>
      </c>
      <c r="E699" s="592" t="s">
        <v>323</v>
      </c>
      <c r="F699" s="592" t="s">
        <v>308</v>
      </c>
      <c r="G699" s="594" t="s">
        <v>2757</v>
      </c>
      <c r="H699" s="592" t="s">
        <v>663</v>
      </c>
      <c r="I699" s="594" t="s">
        <v>669</v>
      </c>
      <c r="J699" s="592" t="s">
        <v>350</v>
      </c>
      <c r="K699" s="714" t="s">
        <v>2740</v>
      </c>
      <c r="L699" s="592"/>
      <c r="M699" s="598">
        <v>1000000</v>
      </c>
      <c r="N699" s="592" t="s">
        <v>426</v>
      </c>
    </row>
    <row r="700" spans="1:14">
      <c r="A700" s="124">
        <v>9</v>
      </c>
      <c r="B700" s="590"/>
      <c r="C700" s="251" t="s">
        <v>2758</v>
      </c>
      <c r="D700" s="593"/>
      <c r="E700" s="593"/>
      <c r="F700" s="593"/>
      <c r="G700" s="595"/>
      <c r="H700" s="593"/>
      <c r="I700" s="595"/>
      <c r="J700" s="593"/>
      <c r="K700" s="715"/>
      <c r="L700" s="593"/>
      <c r="M700" s="599"/>
      <c r="N700" s="593"/>
    </row>
    <row r="701" spans="1:14">
      <c r="A701" s="124">
        <v>9</v>
      </c>
      <c r="B701" s="591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7">
        <v>500000</v>
      </c>
      <c r="N701" s="249" t="s">
        <v>666</v>
      </c>
    </row>
    <row r="702" spans="1:14">
      <c r="A702" s="124">
        <v>10</v>
      </c>
      <c r="B702" s="589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90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91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89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90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91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89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90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90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91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89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91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89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91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89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90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0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0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91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89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0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0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91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89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90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90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0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90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90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0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716" t="s">
        <v>2836</v>
      </c>
    </row>
    <row r="734" spans="1:14" ht="27">
      <c r="A734" s="124">
        <v>15</v>
      </c>
      <c r="B734" s="590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17"/>
    </row>
    <row r="735" spans="1:14">
      <c r="A735" s="124">
        <v>15</v>
      </c>
      <c r="B735" s="590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90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90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90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90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0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90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90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90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0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91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89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90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0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90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91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89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90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90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90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91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89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90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90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91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89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0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90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90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90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90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90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90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0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91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89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90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91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89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90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91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89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90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90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91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89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90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90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91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89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91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89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90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90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91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89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91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0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21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22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89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90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90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90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91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89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90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90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91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89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90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91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89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90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90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91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89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90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90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90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90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91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89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90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90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90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90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90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90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90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91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89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90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90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90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90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91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89" t="s">
        <v>3137</v>
      </c>
      <c r="C835" s="149" t="s">
        <v>3119</v>
      </c>
      <c r="D835" s="609" t="s">
        <v>307</v>
      </c>
      <c r="E835" s="609" t="s">
        <v>323</v>
      </c>
      <c r="F835" s="609" t="s">
        <v>308</v>
      </c>
      <c r="G835" s="614" t="s">
        <v>3087</v>
      </c>
      <c r="H835" s="609" t="s">
        <v>1999</v>
      </c>
      <c r="I835" s="614" t="s">
        <v>3088</v>
      </c>
      <c r="J835" s="609" t="s">
        <v>665</v>
      </c>
      <c r="K835" s="149" t="s">
        <v>3121</v>
      </c>
      <c r="L835" s="609"/>
      <c r="M835" s="719" t="s">
        <v>3122</v>
      </c>
      <c r="N835" s="149" t="s">
        <v>3123</v>
      </c>
    </row>
    <row r="836" spans="1:14">
      <c r="A836" s="124">
        <v>29</v>
      </c>
      <c r="B836" s="590"/>
      <c r="C836" s="149" t="s">
        <v>3120</v>
      </c>
      <c r="D836" s="676"/>
      <c r="E836" s="676"/>
      <c r="F836" s="676"/>
      <c r="G836" s="718"/>
      <c r="H836" s="676"/>
      <c r="I836" s="718"/>
      <c r="J836" s="676"/>
      <c r="K836" s="149" t="s">
        <v>708</v>
      </c>
      <c r="L836" s="676"/>
      <c r="M836" s="720"/>
      <c r="N836" s="149"/>
    </row>
    <row r="837" spans="1:14">
      <c r="A837" s="124">
        <v>29</v>
      </c>
      <c r="B837" s="590"/>
      <c r="C837" s="149"/>
      <c r="D837" s="610"/>
      <c r="E837" s="610"/>
      <c r="F837" s="610"/>
      <c r="G837" s="615"/>
      <c r="H837" s="610"/>
      <c r="I837" s="615"/>
      <c r="J837" s="610"/>
      <c r="K837" s="149"/>
      <c r="L837" s="610"/>
      <c r="M837" s="721"/>
      <c r="N837" s="149" t="s">
        <v>3124</v>
      </c>
    </row>
    <row r="838" spans="1:14">
      <c r="A838" s="124">
        <v>29</v>
      </c>
      <c r="B838" s="590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69" t="s">
        <v>1816</v>
      </c>
      <c r="N838" s="149" t="s">
        <v>3125</v>
      </c>
    </row>
    <row r="839" spans="1:14">
      <c r="A839" s="124">
        <v>29</v>
      </c>
      <c r="B839" s="591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69" t="s">
        <v>1816</v>
      </c>
      <c r="N839" s="149" t="s">
        <v>3126</v>
      </c>
    </row>
    <row r="840" spans="1:14">
      <c r="A840" s="124">
        <v>29</v>
      </c>
      <c r="B840" s="589" t="s">
        <v>21</v>
      </c>
      <c r="C840" s="112" t="s">
        <v>3127</v>
      </c>
      <c r="D840" s="609" t="s">
        <v>312</v>
      </c>
      <c r="E840" s="609" t="s">
        <v>321</v>
      </c>
      <c r="F840" s="614" t="s">
        <v>2609</v>
      </c>
      <c r="G840" s="614" t="s">
        <v>3095</v>
      </c>
      <c r="H840" s="614" t="s">
        <v>3096</v>
      </c>
      <c r="I840" s="614" t="s">
        <v>3097</v>
      </c>
      <c r="J840" s="614" t="s">
        <v>703</v>
      </c>
      <c r="K840" s="614" t="s">
        <v>3098</v>
      </c>
      <c r="L840" s="609" t="s">
        <v>310</v>
      </c>
      <c r="M840" s="719" t="s">
        <v>1822</v>
      </c>
      <c r="N840" s="609" t="s">
        <v>3128</v>
      </c>
    </row>
    <row r="841" spans="1:14">
      <c r="A841" s="124">
        <v>29</v>
      </c>
      <c r="B841" s="590"/>
      <c r="C841" s="112" t="s">
        <v>3101</v>
      </c>
      <c r="D841" s="610"/>
      <c r="E841" s="610"/>
      <c r="F841" s="615"/>
      <c r="G841" s="615"/>
      <c r="H841" s="615"/>
      <c r="I841" s="615"/>
      <c r="J841" s="615"/>
      <c r="K841" s="615"/>
      <c r="L841" s="610"/>
      <c r="M841" s="721"/>
      <c r="N841" s="610"/>
    </row>
    <row r="842" spans="1:14">
      <c r="A842" s="124">
        <v>29</v>
      </c>
      <c r="B842" s="590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69" t="s">
        <v>1834</v>
      </c>
      <c r="N842" s="149" t="s">
        <v>3128</v>
      </c>
    </row>
    <row r="843" spans="1:14">
      <c r="A843" s="124">
        <v>29</v>
      </c>
      <c r="B843" s="590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69" t="s">
        <v>1537</v>
      </c>
      <c r="N843" s="149" t="s">
        <v>3128</v>
      </c>
    </row>
    <row r="844" spans="1:14">
      <c r="A844" s="124">
        <v>29</v>
      </c>
      <c r="B844" s="590"/>
      <c r="C844" s="112" t="s">
        <v>3119</v>
      </c>
      <c r="D844" s="609" t="s">
        <v>312</v>
      </c>
      <c r="E844" s="609" t="s">
        <v>321</v>
      </c>
      <c r="F844" s="614" t="s">
        <v>3104</v>
      </c>
      <c r="G844" s="614" t="s">
        <v>1925</v>
      </c>
      <c r="H844" s="614" t="s">
        <v>3105</v>
      </c>
      <c r="I844" s="150" t="s">
        <v>3130</v>
      </c>
      <c r="J844" s="614"/>
      <c r="K844" s="614" t="s">
        <v>3106</v>
      </c>
      <c r="L844" s="609" t="s">
        <v>310</v>
      </c>
      <c r="M844" s="722" t="s">
        <v>3132</v>
      </c>
      <c r="N844" s="609" t="s">
        <v>1207</v>
      </c>
    </row>
    <row r="845" spans="1:14">
      <c r="A845" s="124">
        <v>29</v>
      </c>
      <c r="B845" s="590"/>
      <c r="C845" s="112" t="s">
        <v>3129</v>
      </c>
      <c r="D845" s="610"/>
      <c r="E845" s="610"/>
      <c r="F845" s="615"/>
      <c r="G845" s="615"/>
      <c r="H845" s="615"/>
      <c r="I845" s="150" t="s">
        <v>3131</v>
      </c>
      <c r="J845" s="615"/>
      <c r="K845" s="615"/>
      <c r="L845" s="610"/>
      <c r="M845" s="723"/>
      <c r="N845" s="610"/>
    </row>
    <row r="846" spans="1:14">
      <c r="A846" s="124">
        <v>29</v>
      </c>
      <c r="B846" s="590"/>
      <c r="C846" s="112" t="s">
        <v>3119</v>
      </c>
      <c r="D846" s="609" t="s">
        <v>312</v>
      </c>
      <c r="E846" s="609" t="s">
        <v>321</v>
      </c>
      <c r="F846" s="614" t="s">
        <v>2609</v>
      </c>
      <c r="G846" s="614" t="s">
        <v>3095</v>
      </c>
      <c r="H846" s="614" t="s">
        <v>3096</v>
      </c>
      <c r="I846" s="614" t="s">
        <v>3107</v>
      </c>
      <c r="J846" s="614" t="s">
        <v>703</v>
      </c>
      <c r="K846" s="614" t="s">
        <v>1055</v>
      </c>
      <c r="L846" s="609" t="s">
        <v>310</v>
      </c>
      <c r="M846" s="719" t="s">
        <v>3134</v>
      </c>
      <c r="N846" s="609" t="s">
        <v>3135</v>
      </c>
    </row>
    <row r="847" spans="1:14">
      <c r="A847" s="124">
        <v>29</v>
      </c>
      <c r="B847" s="590"/>
      <c r="C847" s="112"/>
      <c r="D847" s="676"/>
      <c r="E847" s="676"/>
      <c r="F847" s="718"/>
      <c r="G847" s="718"/>
      <c r="H847" s="718"/>
      <c r="I847" s="718"/>
      <c r="J847" s="718"/>
      <c r="K847" s="718"/>
      <c r="L847" s="676"/>
      <c r="M847" s="720"/>
      <c r="N847" s="676"/>
    </row>
    <row r="848" spans="1:14">
      <c r="A848" s="124">
        <v>29</v>
      </c>
      <c r="B848" s="590"/>
      <c r="C848" s="112" t="s">
        <v>3133</v>
      </c>
      <c r="D848" s="610"/>
      <c r="E848" s="610"/>
      <c r="F848" s="615"/>
      <c r="G848" s="615"/>
      <c r="H848" s="615"/>
      <c r="I848" s="615"/>
      <c r="J848" s="615"/>
      <c r="K848" s="615"/>
      <c r="L848" s="610"/>
      <c r="M848" s="721"/>
      <c r="N848" s="610"/>
    </row>
    <row r="849" spans="1:14">
      <c r="A849" s="124">
        <v>29</v>
      </c>
      <c r="B849" s="590"/>
      <c r="C849" s="112" t="s">
        <v>3136</v>
      </c>
      <c r="D849" s="609" t="s">
        <v>312</v>
      </c>
      <c r="E849" s="609" t="s">
        <v>321</v>
      </c>
      <c r="F849" s="614" t="s">
        <v>338</v>
      </c>
      <c r="G849" s="614" t="s">
        <v>3108</v>
      </c>
      <c r="H849" s="614" t="s">
        <v>355</v>
      </c>
      <c r="I849" s="614" t="s">
        <v>311</v>
      </c>
      <c r="J849" s="614" t="s">
        <v>639</v>
      </c>
      <c r="K849" s="614" t="s">
        <v>3109</v>
      </c>
      <c r="L849" s="609" t="s">
        <v>310</v>
      </c>
      <c r="M849" s="719" t="s">
        <v>1822</v>
      </c>
      <c r="N849" s="609" t="s">
        <v>3135</v>
      </c>
    </row>
    <row r="850" spans="1:14">
      <c r="A850" s="124">
        <v>29</v>
      </c>
      <c r="B850" s="591"/>
      <c r="C850" s="112" t="s">
        <v>3129</v>
      </c>
      <c r="D850" s="610"/>
      <c r="E850" s="610"/>
      <c r="F850" s="615"/>
      <c r="G850" s="615"/>
      <c r="H850" s="615"/>
      <c r="I850" s="615"/>
      <c r="J850" s="615"/>
      <c r="K850" s="615"/>
      <c r="L850" s="610"/>
      <c r="M850" s="721"/>
      <c r="N850" s="610"/>
    </row>
    <row r="851" spans="1:14">
      <c r="A851" s="124">
        <v>30</v>
      </c>
      <c r="B851" s="726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4" t="s">
        <v>1537</v>
      </c>
      <c r="N851" s="149" t="s">
        <v>666</v>
      </c>
    </row>
    <row r="852" spans="1:14">
      <c r="A852" s="124">
        <v>30</v>
      </c>
      <c r="B852" s="727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4" t="s">
        <v>1816</v>
      </c>
      <c r="N852" s="149" t="s">
        <v>426</v>
      </c>
    </row>
    <row r="853" spans="1:14">
      <c r="A853" s="124">
        <v>30</v>
      </c>
      <c r="B853" s="727"/>
      <c r="C853" s="149" t="s">
        <v>3146</v>
      </c>
      <c r="D853" s="609" t="s">
        <v>307</v>
      </c>
      <c r="E853" s="609" t="s">
        <v>323</v>
      </c>
      <c r="F853" s="609" t="s">
        <v>308</v>
      </c>
      <c r="G853" s="614" t="s">
        <v>3087</v>
      </c>
      <c r="H853" s="609" t="s">
        <v>1999</v>
      </c>
      <c r="I853" s="614" t="s">
        <v>3148</v>
      </c>
      <c r="J853" s="609" t="s">
        <v>665</v>
      </c>
      <c r="K853" s="149" t="s">
        <v>3149</v>
      </c>
      <c r="L853" s="609"/>
      <c r="M853" s="618" t="s">
        <v>3150</v>
      </c>
      <c r="N853" s="609" t="s">
        <v>666</v>
      </c>
    </row>
    <row r="854" spans="1:14">
      <c r="A854" s="124">
        <v>30</v>
      </c>
      <c r="B854" s="727"/>
      <c r="C854" s="149" t="s">
        <v>3147</v>
      </c>
      <c r="D854" s="610"/>
      <c r="E854" s="610"/>
      <c r="F854" s="610"/>
      <c r="G854" s="615"/>
      <c r="H854" s="610"/>
      <c r="I854" s="615"/>
      <c r="J854" s="610"/>
      <c r="K854" s="149" t="s">
        <v>656</v>
      </c>
      <c r="L854" s="610"/>
      <c r="M854" s="619"/>
      <c r="N854" s="610"/>
    </row>
    <row r="855" spans="1:14">
      <c r="A855" s="124">
        <v>30</v>
      </c>
      <c r="B855" s="728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4" t="s">
        <v>1816</v>
      </c>
      <c r="N855" s="149" t="s">
        <v>666</v>
      </c>
    </row>
    <row r="856" spans="1:14">
      <c r="A856" s="124">
        <v>30</v>
      </c>
      <c r="B856" s="589" t="s">
        <v>3156</v>
      </c>
      <c r="C856" s="724" t="s">
        <v>3157</v>
      </c>
      <c r="D856" s="609" t="s">
        <v>312</v>
      </c>
      <c r="E856" s="609" t="s">
        <v>321</v>
      </c>
      <c r="F856" s="614" t="s">
        <v>2609</v>
      </c>
      <c r="G856" s="614" t="s">
        <v>2757</v>
      </c>
      <c r="H856" s="614" t="s">
        <v>348</v>
      </c>
      <c r="I856" s="614" t="s">
        <v>3158</v>
      </c>
      <c r="J856" s="614" t="s">
        <v>639</v>
      </c>
      <c r="K856" s="614" t="s">
        <v>699</v>
      </c>
      <c r="L856" s="609" t="s">
        <v>310</v>
      </c>
      <c r="M856" s="618" t="s">
        <v>1816</v>
      </c>
      <c r="N856" s="149" t="s">
        <v>3159</v>
      </c>
    </row>
    <row r="857" spans="1:14">
      <c r="A857" s="124">
        <v>30</v>
      </c>
      <c r="B857" s="590"/>
      <c r="C857" s="725"/>
      <c r="D857" s="610"/>
      <c r="E857" s="610"/>
      <c r="F857" s="615"/>
      <c r="G857" s="615"/>
      <c r="H857" s="615"/>
      <c r="I857" s="615"/>
      <c r="J857" s="615"/>
      <c r="K857" s="615"/>
      <c r="L857" s="610"/>
      <c r="M857" s="619"/>
      <c r="N857" s="149" t="s">
        <v>3160</v>
      </c>
    </row>
    <row r="858" spans="1:14" ht="16.5" customHeight="1">
      <c r="A858" s="124">
        <v>30</v>
      </c>
      <c r="B858" s="590"/>
      <c r="C858" s="724" t="s">
        <v>3157</v>
      </c>
      <c r="D858" s="609" t="s">
        <v>312</v>
      </c>
      <c r="E858" s="609" t="s">
        <v>321</v>
      </c>
      <c r="F858" s="614" t="s">
        <v>710</v>
      </c>
      <c r="G858" s="150" t="s">
        <v>3161</v>
      </c>
      <c r="H858" s="614" t="s">
        <v>641</v>
      </c>
      <c r="I858" s="614" t="s">
        <v>3162</v>
      </c>
      <c r="J858" s="614"/>
      <c r="K858" s="614" t="s">
        <v>693</v>
      </c>
      <c r="L858" s="609" t="s">
        <v>310</v>
      </c>
      <c r="M858" s="618" t="s">
        <v>1537</v>
      </c>
      <c r="N858" s="609" t="s">
        <v>1778</v>
      </c>
    </row>
    <row r="859" spans="1:14">
      <c r="A859" s="124">
        <v>30</v>
      </c>
      <c r="B859" s="590"/>
      <c r="C859" s="725"/>
      <c r="D859" s="610"/>
      <c r="E859" s="610"/>
      <c r="F859" s="615"/>
      <c r="G859" s="150">
        <v>2651</v>
      </c>
      <c r="H859" s="615"/>
      <c r="I859" s="615"/>
      <c r="J859" s="615"/>
      <c r="K859" s="615"/>
      <c r="L859" s="610"/>
      <c r="M859" s="619"/>
      <c r="N859" s="610"/>
    </row>
    <row r="860" spans="1:14">
      <c r="A860" s="124">
        <v>30</v>
      </c>
      <c r="B860" s="590"/>
      <c r="C860" s="724" t="s">
        <v>3163</v>
      </c>
      <c r="D860" s="609" t="s">
        <v>312</v>
      </c>
      <c r="E860" s="609" t="s">
        <v>321</v>
      </c>
      <c r="F860" s="614" t="s">
        <v>721</v>
      </c>
      <c r="G860" s="614" t="s">
        <v>1762</v>
      </c>
      <c r="H860" s="614" t="s">
        <v>348</v>
      </c>
      <c r="I860" s="150" t="s">
        <v>3164</v>
      </c>
      <c r="J860" s="614"/>
      <c r="K860" s="614" t="s">
        <v>3166</v>
      </c>
      <c r="L860" s="609" t="s">
        <v>310</v>
      </c>
      <c r="M860" s="618" t="s">
        <v>1939</v>
      </c>
      <c r="N860" s="609" t="s">
        <v>1207</v>
      </c>
    </row>
    <row r="861" spans="1:14">
      <c r="A861" s="124">
        <v>30</v>
      </c>
      <c r="B861" s="590"/>
      <c r="C861" s="725"/>
      <c r="D861" s="610"/>
      <c r="E861" s="610"/>
      <c r="F861" s="615"/>
      <c r="G861" s="615"/>
      <c r="H861" s="615"/>
      <c r="I861" s="150" t="s">
        <v>3165</v>
      </c>
      <c r="J861" s="615"/>
      <c r="K861" s="615"/>
      <c r="L861" s="610"/>
      <c r="M861" s="619"/>
      <c r="N861" s="610"/>
    </row>
    <row r="862" spans="1:14">
      <c r="A862" s="124">
        <v>30</v>
      </c>
      <c r="B862" s="590"/>
      <c r="C862" s="112" t="s">
        <v>3167</v>
      </c>
      <c r="D862" s="609" t="s">
        <v>312</v>
      </c>
      <c r="E862" s="609" t="s">
        <v>321</v>
      </c>
      <c r="F862" s="614" t="s">
        <v>691</v>
      </c>
      <c r="G862" s="614" t="s">
        <v>3102</v>
      </c>
      <c r="H862" s="614" t="s">
        <v>355</v>
      </c>
      <c r="I862" s="614" t="s">
        <v>3169</v>
      </c>
      <c r="J862" s="614" t="s">
        <v>639</v>
      </c>
      <c r="K862" s="614" t="s">
        <v>656</v>
      </c>
      <c r="L862" s="609" t="s">
        <v>310</v>
      </c>
      <c r="M862" s="618" t="s">
        <v>1537</v>
      </c>
      <c r="N862" s="609" t="s">
        <v>1207</v>
      </c>
    </row>
    <row r="863" spans="1:14">
      <c r="A863" s="124">
        <v>30</v>
      </c>
      <c r="B863" s="590"/>
      <c r="C863" s="112" t="s">
        <v>3168</v>
      </c>
      <c r="D863" s="610"/>
      <c r="E863" s="610"/>
      <c r="F863" s="615"/>
      <c r="G863" s="615"/>
      <c r="H863" s="615"/>
      <c r="I863" s="615"/>
      <c r="J863" s="615"/>
      <c r="K863" s="615"/>
      <c r="L863" s="610"/>
      <c r="M863" s="619"/>
      <c r="N863" s="610"/>
    </row>
    <row r="864" spans="1:14">
      <c r="A864" s="124">
        <v>30</v>
      </c>
      <c r="B864" s="590"/>
      <c r="C864" s="112" t="s">
        <v>3170</v>
      </c>
      <c r="D864" s="609" t="s">
        <v>312</v>
      </c>
      <c r="E864" s="609" t="s">
        <v>321</v>
      </c>
      <c r="F864" s="614" t="s">
        <v>338</v>
      </c>
      <c r="G864" s="614" t="s">
        <v>3108</v>
      </c>
      <c r="H864" s="614" t="s">
        <v>355</v>
      </c>
      <c r="I864" s="614" t="s">
        <v>3171</v>
      </c>
      <c r="J864" s="614" t="s">
        <v>639</v>
      </c>
      <c r="K864" s="614" t="s">
        <v>714</v>
      </c>
      <c r="L864" s="609" t="s">
        <v>310</v>
      </c>
      <c r="M864" s="618" t="s">
        <v>1816</v>
      </c>
      <c r="N864" s="609" t="s">
        <v>1207</v>
      </c>
    </row>
    <row r="865" spans="1:14">
      <c r="A865" s="124">
        <v>30</v>
      </c>
      <c r="B865" s="590"/>
      <c r="C865" s="112" t="s">
        <v>3147</v>
      </c>
      <c r="D865" s="610"/>
      <c r="E865" s="610"/>
      <c r="F865" s="615"/>
      <c r="G865" s="615"/>
      <c r="H865" s="615"/>
      <c r="I865" s="615"/>
      <c r="J865" s="615"/>
      <c r="K865" s="615"/>
      <c r="L865" s="610"/>
      <c r="M865" s="619"/>
      <c r="N865" s="610"/>
    </row>
    <row r="866" spans="1:14" ht="25.5">
      <c r="A866" s="124">
        <v>30</v>
      </c>
      <c r="B866" s="590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4" t="s">
        <v>1834</v>
      </c>
      <c r="N866" s="149" t="s">
        <v>1207</v>
      </c>
    </row>
    <row r="867" spans="1:14">
      <c r="A867" s="124">
        <v>30</v>
      </c>
      <c r="B867" s="590"/>
      <c r="C867" s="724" t="s">
        <v>3151</v>
      </c>
      <c r="D867" s="609" t="s">
        <v>312</v>
      </c>
      <c r="E867" s="609" t="s">
        <v>676</v>
      </c>
      <c r="F867" s="614" t="s">
        <v>661</v>
      </c>
      <c r="G867" s="614" t="s">
        <v>662</v>
      </c>
      <c r="H867" s="614" t="s">
        <v>663</v>
      </c>
      <c r="I867" s="150" t="s">
        <v>3174</v>
      </c>
      <c r="J867" s="614" t="s">
        <v>639</v>
      </c>
      <c r="K867" s="614" t="s">
        <v>732</v>
      </c>
      <c r="L867" s="609" t="s">
        <v>310</v>
      </c>
      <c r="M867" s="618" t="s">
        <v>1834</v>
      </c>
      <c r="N867" s="609" t="s">
        <v>3176</v>
      </c>
    </row>
    <row r="868" spans="1:14">
      <c r="A868" s="124">
        <v>30</v>
      </c>
      <c r="B868" s="591"/>
      <c r="C868" s="725"/>
      <c r="D868" s="610"/>
      <c r="E868" s="610"/>
      <c r="F868" s="615"/>
      <c r="G868" s="615"/>
      <c r="H868" s="615"/>
      <c r="I868" s="150" t="s">
        <v>3175</v>
      </c>
      <c r="J868" s="615"/>
      <c r="K868" s="615"/>
      <c r="L868" s="610"/>
      <c r="M868" s="619"/>
      <c r="N868" s="610"/>
    </row>
    <row r="869" spans="1:14">
      <c r="A869" s="124">
        <v>31</v>
      </c>
      <c r="B869" s="589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4" t="s">
        <v>3179</v>
      </c>
      <c r="N869" s="149" t="s">
        <v>666</v>
      </c>
    </row>
    <row r="870" spans="1:14" ht="16.5" customHeight="1">
      <c r="A870" s="124">
        <v>31</v>
      </c>
      <c r="B870" s="590"/>
      <c r="C870" s="149" t="s">
        <v>3180</v>
      </c>
      <c r="D870" s="609" t="s">
        <v>307</v>
      </c>
      <c r="E870" s="609" t="s">
        <v>323</v>
      </c>
      <c r="F870" s="609" t="s">
        <v>308</v>
      </c>
      <c r="G870" s="614">
        <v>1566</v>
      </c>
      <c r="H870" s="609" t="s">
        <v>1917</v>
      </c>
      <c r="I870" s="614" t="s">
        <v>3182</v>
      </c>
      <c r="J870" s="609" t="s">
        <v>665</v>
      </c>
      <c r="K870" s="609" t="s">
        <v>3183</v>
      </c>
      <c r="L870" s="609"/>
      <c r="M870" s="618" t="s">
        <v>3184</v>
      </c>
      <c r="N870" s="609" t="s">
        <v>666</v>
      </c>
    </row>
    <row r="871" spans="1:14">
      <c r="A871" s="124">
        <v>31</v>
      </c>
      <c r="B871" s="590"/>
      <c r="C871" s="149" t="s">
        <v>3181</v>
      </c>
      <c r="D871" s="610"/>
      <c r="E871" s="610"/>
      <c r="F871" s="610"/>
      <c r="G871" s="615"/>
      <c r="H871" s="610"/>
      <c r="I871" s="615"/>
      <c r="J871" s="610"/>
      <c r="K871" s="610"/>
      <c r="L871" s="610"/>
      <c r="M871" s="619"/>
      <c r="N871" s="610"/>
    </row>
    <row r="872" spans="1:14">
      <c r="A872" s="124">
        <v>31</v>
      </c>
      <c r="B872" s="590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4" t="s">
        <v>3179</v>
      </c>
      <c r="N872" s="149" t="s">
        <v>666</v>
      </c>
    </row>
    <row r="873" spans="1:14" ht="16.5" customHeight="1">
      <c r="A873" s="124">
        <v>31</v>
      </c>
      <c r="B873" s="590"/>
      <c r="C873" s="404" t="s">
        <v>3180</v>
      </c>
      <c r="D873" s="609" t="s">
        <v>307</v>
      </c>
      <c r="E873" s="609" t="s">
        <v>323</v>
      </c>
      <c r="F873" s="609" t="s">
        <v>308</v>
      </c>
      <c r="G873" s="614" t="s">
        <v>3187</v>
      </c>
      <c r="H873" s="609" t="s">
        <v>3188</v>
      </c>
      <c r="I873" s="614" t="s">
        <v>333</v>
      </c>
      <c r="J873" s="609" t="s">
        <v>1536</v>
      </c>
      <c r="K873" s="609" t="s">
        <v>1158</v>
      </c>
      <c r="L873" s="609"/>
      <c r="M873" s="618" t="s">
        <v>3189</v>
      </c>
      <c r="N873" s="609" t="s">
        <v>426</v>
      </c>
    </row>
    <row r="874" spans="1:14">
      <c r="A874" s="124">
        <v>31</v>
      </c>
      <c r="B874" s="591"/>
      <c r="C874" s="404" t="s">
        <v>3186</v>
      </c>
      <c r="D874" s="610"/>
      <c r="E874" s="610"/>
      <c r="F874" s="610"/>
      <c r="G874" s="615"/>
      <c r="H874" s="610"/>
      <c r="I874" s="615"/>
      <c r="J874" s="610"/>
      <c r="K874" s="610"/>
      <c r="L874" s="610"/>
      <c r="M874" s="619"/>
      <c r="N874" s="610"/>
    </row>
    <row r="875" spans="1:14">
      <c r="A875" s="124">
        <v>31</v>
      </c>
      <c r="B875" s="589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4" t="s">
        <v>3179</v>
      </c>
      <c r="N875" s="149" t="s">
        <v>3191</v>
      </c>
    </row>
    <row r="876" spans="1:14" ht="16.5" customHeight="1">
      <c r="A876" s="124">
        <v>31</v>
      </c>
      <c r="B876" s="590"/>
      <c r="C876" s="609" t="s">
        <v>3168</v>
      </c>
      <c r="D876" s="609" t="s">
        <v>312</v>
      </c>
      <c r="E876" s="609" t="s">
        <v>676</v>
      </c>
      <c r="F876" s="614" t="s">
        <v>661</v>
      </c>
      <c r="G876" s="614" t="s">
        <v>662</v>
      </c>
      <c r="H876" s="614" t="s">
        <v>663</v>
      </c>
      <c r="I876" s="150" t="s">
        <v>3174</v>
      </c>
      <c r="J876" s="614"/>
      <c r="K876" s="614" t="s">
        <v>699</v>
      </c>
      <c r="L876" s="609" t="s">
        <v>310</v>
      </c>
      <c r="M876" s="618" t="s">
        <v>3179</v>
      </c>
      <c r="N876" s="609" t="s">
        <v>3192</v>
      </c>
    </row>
    <row r="877" spans="1:14">
      <c r="A877" s="124">
        <v>31</v>
      </c>
      <c r="B877" s="590"/>
      <c r="C877" s="610"/>
      <c r="D877" s="610"/>
      <c r="E877" s="610"/>
      <c r="F877" s="615"/>
      <c r="G877" s="615"/>
      <c r="H877" s="615"/>
      <c r="I877" s="150" t="s">
        <v>3175</v>
      </c>
      <c r="J877" s="615"/>
      <c r="K877" s="615"/>
      <c r="L877" s="610"/>
      <c r="M877" s="619"/>
      <c r="N877" s="610"/>
    </row>
    <row r="878" spans="1:14" ht="16.5" customHeight="1">
      <c r="A878" s="124">
        <v>31</v>
      </c>
      <c r="B878" s="590"/>
      <c r="C878" s="149" t="s">
        <v>3193</v>
      </c>
      <c r="D878" s="609" t="s">
        <v>312</v>
      </c>
      <c r="E878" s="609" t="s">
        <v>321</v>
      </c>
      <c r="F878" s="614" t="s">
        <v>3104</v>
      </c>
      <c r="G878" s="614" t="s">
        <v>1925</v>
      </c>
      <c r="H878" s="614" t="s">
        <v>3105</v>
      </c>
      <c r="I878" s="614" t="s">
        <v>3194</v>
      </c>
      <c r="J878" s="614"/>
      <c r="K878" s="614" t="s">
        <v>3195</v>
      </c>
      <c r="L878" s="609" t="s">
        <v>310</v>
      </c>
      <c r="M878" s="618" t="s">
        <v>3196</v>
      </c>
      <c r="N878" s="609" t="s">
        <v>3191</v>
      </c>
    </row>
    <row r="879" spans="1:14">
      <c r="A879" s="124">
        <v>31</v>
      </c>
      <c r="B879" s="590"/>
      <c r="C879" s="149" t="s">
        <v>3151</v>
      </c>
      <c r="D879" s="610"/>
      <c r="E879" s="610"/>
      <c r="F879" s="615"/>
      <c r="G879" s="615"/>
      <c r="H879" s="615"/>
      <c r="I879" s="615"/>
      <c r="J879" s="615"/>
      <c r="K879" s="615"/>
      <c r="L879" s="610"/>
      <c r="M879" s="619"/>
      <c r="N879" s="610"/>
    </row>
    <row r="880" spans="1:14">
      <c r="A880" s="124">
        <v>31</v>
      </c>
      <c r="B880" s="590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4" t="s">
        <v>3198</v>
      </c>
      <c r="N880" s="149" t="s">
        <v>3192</v>
      </c>
    </row>
    <row r="881" spans="1:14">
      <c r="A881" s="124">
        <v>31</v>
      </c>
      <c r="B881" s="590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4" t="s">
        <v>3204</v>
      </c>
      <c r="N881" s="149" t="s">
        <v>1207</v>
      </c>
    </row>
    <row r="882" spans="1:14">
      <c r="A882" s="124">
        <v>31</v>
      </c>
      <c r="B882" s="590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4" t="s">
        <v>3179</v>
      </c>
      <c r="N882" s="149" t="s">
        <v>1207</v>
      </c>
    </row>
    <row r="883" spans="1:14" ht="16.5" customHeight="1">
      <c r="A883" s="124">
        <v>31</v>
      </c>
      <c r="B883" s="590"/>
      <c r="C883" s="112" t="s">
        <v>3206</v>
      </c>
      <c r="D883" s="609" t="s">
        <v>312</v>
      </c>
      <c r="E883" s="609" t="s">
        <v>321</v>
      </c>
      <c r="F883" s="614" t="s">
        <v>338</v>
      </c>
      <c r="G883" s="614" t="s">
        <v>3208</v>
      </c>
      <c r="H883" s="614" t="s">
        <v>3209</v>
      </c>
      <c r="I883" s="614" t="s">
        <v>3210</v>
      </c>
      <c r="J883" s="614" t="s">
        <v>3211</v>
      </c>
      <c r="K883" s="614" t="s">
        <v>3212</v>
      </c>
      <c r="L883" s="609" t="s">
        <v>310</v>
      </c>
      <c r="M883" s="618" t="s">
        <v>3213</v>
      </c>
      <c r="N883" s="609" t="s">
        <v>3176</v>
      </c>
    </row>
    <row r="884" spans="1:14">
      <c r="A884" s="124">
        <v>31</v>
      </c>
      <c r="B884" s="591"/>
      <c r="C884" s="112" t="s">
        <v>3207</v>
      </c>
      <c r="D884" s="610"/>
      <c r="E884" s="610"/>
      <c r="F884" s="615"/>
      <c r="G884" s="615"/>
      <c r="H884" s="615"/>
      <c r="I884" s="615"/>
      <c r="J884" s="615"/>
      <c r="K884" s="615"/>
      <c r="L884" s="610"/>
      <c r="M884" s="619"/>
      <c r="N884" s="610"/>
    </row>
    <row r="885" spans="1:14" ht="27">
      <c r="A885" s="124">
        <v>32</v>
      </c>
      <c r="B885" s="729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730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730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731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729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730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730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731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729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730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731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729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730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731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600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601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601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602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600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601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601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601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601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601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601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602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600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601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601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601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601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602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600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601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601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601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601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601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601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601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601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602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588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588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588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588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588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88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588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588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588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588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588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588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588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588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588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588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88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588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588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588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588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588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588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588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588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588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588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588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88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588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588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588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588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588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588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588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588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588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588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588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588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588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588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588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588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588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588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588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588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588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588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588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588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588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588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588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588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588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588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588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588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588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588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588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588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588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588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588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588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588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588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588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588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588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588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588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588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588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588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588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588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588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588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588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588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588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588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588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588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588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588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588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88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588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88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588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588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588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588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588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588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588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588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588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588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588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588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588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588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588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588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588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588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588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588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88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588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588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588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588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588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588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588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588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588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588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88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588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588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588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588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588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588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588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588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588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588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588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588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588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588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588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588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588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588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588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588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588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588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588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588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588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588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588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588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588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88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588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588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588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588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588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588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588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588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588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588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588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588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588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588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588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88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588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588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588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588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588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588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588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588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588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588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588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588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588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588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588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588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588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588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588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588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588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588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588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588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588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588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588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588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588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588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588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588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588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588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588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588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588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588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588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588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588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588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88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588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588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588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588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588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588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588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588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588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588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88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588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588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588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88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588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588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588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588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588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588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588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88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588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588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588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588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588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588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588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588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588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588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588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588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588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588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588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588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588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588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588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588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588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588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588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553">
        <v>2</v>
      </c>
      <c r="B1189" s="579" t="s">
        <v>5052</v>
      </c>
      <c r="C1189" s="543" t="s">
        <v>5033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4">
        <v>750000</v>
      </c>
      <c r="N1189" s="542" t="s">
        <v>5034</v>
      </c>
    </row>
    <row r="1190" spans="1:14">
      <c r="A1190" s="553">
        <v>2</v>
      </c>
      <c r="B1190" s="579"/>
      <c r="C1190" s="543" t="s">
        <v>5035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4">
        <v>250000</v>
      </c>
      <c r="N1190" s="542" t="s">
        <v>5034</v>
      </c>
    </row>
    <row r="1191" spans="1:14">
      <c r="A1191" s="553">
        <v>2</v>
      </c>
      <c r="B1191" s="579"/>
      <c r="C1191" s="543" t="s">
        <v>5036</v>
      </c>
      <c r="D1191" s="542" t="s">
        <v>307</v>
      </c>
      <c r="E1191" s="542" t="s">
        <v>323</v>
      </c>
      <c r="F1191" s="542" t="s">
        <v>308</v>
      </c>
      <c r="G1191" s="543" t="s">
        <v>5010</v>
      </c>
      <c r="H1191" s="542" t="s">
        <v>3153</v>
      </c>
      <c r="I1191" s="543" t="s">
        <v>5037</v>
      </c>
      <c r="J1191" s="542" t="s">
        <v>665</v>
      </c>
      <c r="K1191" s="542" t="s">
        <v>5038</v>
      </c>
      <c r="L1191" s="542"/>
      <c r="M1191" s="564">
        <v>1000000</v>
      </c>
      <c r="N1191" s="542"/>
    </row>
    <row r="1192" spans="1:14">
      <c r="A1192" s="553">
        <v>2</v>
      </c>
      <c r="B1192" s="579"/>
      <c r="C1192" s="543" t="s">
        <v>5039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4983</v>
      </c>
      <c r="J1192" s="542" t="s">
        <v>665</v>
      </c>
      <c r="K1192" s="542" t="s">
        <v>3141</v>
      </c>
      <c r="L1192" s="542"/>
      <c r="M1192" s="564">
        <v>500000</v>
      </c>
      <c r="N1192" s="542"/>
    </row>
    <row r="1193" spans="1:14">
      <c r="A1193" s="553">
        <v>2</v>
      </c>
      <c r="B1193" s="579"/>
      <c r="C1193" s="543" t="s">
        <v>5040</v>
      </c>
      <c r="D1193" s="542" t="s">
        <v>307</v>
      </c>
      <c r="E1193" s="542" t="s">
        <v>323</v>
      </c>
      <c r="F1193" s="542" t="s">
        <v>308</v>
      </c>
      <c r="G1193" s="543" t="s">
        <v>5041</v>
      </c>
      <c r="H1193" s="542" t="s">
        <v>348</v>
      </c>
      <c r="I1193" s="543" t="s">
        <v>5042</v>
      </c>
      <c r="J1193" s="542" t="s">
        <v>665</v>
      </c>
      <c r="K1193" s="542" t="s">
        <v>5016</v>
      </c>
      <c r="L1193" s="542"/>
      <c r="M1193" s="564">
        <v>750000</v>
      </c>
      <c r="N1193" s="542"/>
    </row>
    <row r="1194" spans="1:14">
      <c r="A1194" s="553">
        <v>2</v>
      </c>
      <c r="B1194" s="579"/>
      <c r="C1194" s="543" t="s">
        <v>5036</v>
      </c>
      <c r="D1194" s="542" t="s">
        <v>307</v>
      </c>
      <c r="E1194" s="542" t="s">
        <v>323</v>
      </c>
      <c r="F1194" s="542" t="s">
        <v>308</v>
      </c>
      <c r="G1194" s="543" t="s">
        <v>5043</v>
      </c>
      <c r="H1194" s="542" t="s">
        <v>5044</v>
      </c>
      <c r="I1194" s="543" t="s">
        <v>5045</v>
      </c>
      <c r="J1194" s="542" t="s">
        <v>665</v>
      </c>
      <c r="K1194" s="542" t="s">
        <v>5046</v>
      </c>
      <c r="L1194" s="542"/>
      <c r="M1194" s="564">
        <v>750000</v>
      </c>
      <c r="N1194" s="542"/>
    </row>
    <row r="1195" spans="1:14">
      <c r="A1195" s="553">
        <v>2</v>
      </c>
      <c r="B1195" s="579"/>
      <c r="C1195" s="543" t="s">
        <v>5039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5047</v>
      </c>
      <c r="J1195" s="542" t="s">
        <v>665</v>
      </c>
      <c r="K1195" s="542" t="s">
        <v>5048</v>
      </c>
      <c r="L1195" s="542"/>
      <c r="M1195" s="564">
        <v>500000</v>
      </c>
      <c r="N1195" s="542"/>
    </row>
    <row r="1196" spans="1:14">
      <c r="A1196" s="553">
        <v>2</v>
      </c>
      <c r="B1196" s="579"/>
      <c r="C1196" s="543" t="s">
        <v>5049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5050</v>
      </c>
      <c r="J1196" s="542" t="s">
        <v>665</v>
      </c>
      <c r="K1196" s="542" t="s">
        <v>5051</v>
      </c>
      <c r="L1196" s="542"/>
      <c r="M1196" s="564">
        <v>1000000</v>
      </c>
      <c r="N1196" s="542"/>
    </row>
    <row r="1197" spans="1:14">
      <c r="A1197" s="553">
        <v>2</v>
      </c>
      <c r="B1197" s="579" t="s">
        <v>21</v>
      </c>
      <c r="C1197" s="543" t="s">
        <v>5053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5054</v>
      </c>
      <c r="J1197" s="543"/>
      <c r="K1197" s="543" t="s">
        <v>5055</v>
      </c>
      <c r="L1197" s="542" t="s">
        <v>310</v>
      </c>
      <c r="M1197" s="570">
        <v>900000</v>
      </c>
      <c r="N1197" s="542" t="s">
        <v>5056</v>
      </c>
    </row>
    <row r="1198" spans="1:14">
      <c r="A1198" s="553">
        <v>2</v>
      </c>
      <c r="B1198" s="579"/>
      <c r="C1198" s="543" t="s">
        <v>5053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5057</v>
      </c>
      <c r="J1198" s="543"/>
      <c r="K1198" s="543" t="s">
        <v>693</v>
      </c>
      <c r="L1198" s="542" t="s">
        <v>310</v>
      </c>
      <c r="M1198" s="570">
        <v>500000</v>
      </c>
      <c r="N1198" s="542" t="s">
        <v>5056</v>
      </c>
    </row>
    <row r="1199" spans="1:14">
      <c r="A1199" s="553">
        <v>2</v>
      </c>
      <c r="B1199" s="579"/>
      <c r="C1199" s="543" t="s">
        <v>5058</v>
      </c>
      <c r="D1199" s="542" t="s">
        <v>312</v>
      </c>
      <c r="E1199" s="542" t="s">
        <v>321</v>
      </c>
      <c r="F1199" s="543" t="s">
        <v>5059</v>
      </c>
      <c r="G1199" s="543">
        <v>7064</v>
      </c>
      <c r="H1199" s="543" t="s">
        <v>1239</v>
      </c>
      <c r="I1199" s="543" t="s">
        <v>5060</v>
      </c>
      <c r="J1199" s="543"/>
      <c r="K1199" s="543" t="s">
        <v>1103</v>
      </c>
      <c r="L1199" s="542" t="s">
        <v>310</v>
      </c>
      <c r="M1199" s="570">
        <v>250000</v>
      </c>
      <c r="N1199" s="542" t="s">
        <v>5056</v>
      </c>
    </row>
    <row r="1200" spans="1:14">
      <c r="A1200" s="553">
        <v>2</v>
      </c>
      <c r="B1200" s="579"/>
      <c r="C1200" s="543" t="s">
        <v>5058</v>
      </c>
      <c r="D1200" s="542" t="s">
        <v>312</v>
      </c>
      <c r="E1200" s="542" t="s">
        <v>321</v>
      </c>
      <c r="F1200" s="543" t="s">
        <v>5059</v>
      </c>
      <c r="G1200" s="543">
        <v>7064</v>
      </c>
      <c r="H1200" s="543" t="s">
        <v>1239</v>
      </c>
      <c r="I1200" s="543" t="s">
        <v>5061</v>
      </c>
      <c r="J1200" s="543"/>
      <c r="K1200" s="543" t="s">
        <v>732</v>
      </c>
      <c r="L1200" s="542" t="s">
        <v>310</v>
      </c>
      <c r="M1200" s="570">
        <v>300000</v>
      </c>
      <c r="N1200" s="542" t="s">
        <v>5056</v>
      </c>
    </row>
    <row r="1201" spans="1:14">
      <c r="A1201" s="553">
        <v>2</v>
      </c>
      <c r="B1201" s="579"/>
      <c r="C1201" s="543" t="s">
        <v>5062</v>
      </c>
      <c r="D1201" s="542" t="s">
        <v>312</v>
      </c>
      <c r="E1201" s="542" t="s">
        <v>321</v>
      </c>
      <c r="F1201" s="543" t="s">
        <v>5063</v>
      </c>
      <c r="G1201" s="543">
        <v>1017</v>
      </c>
      <c r="H1201" s="543" t="s">
        <v>348</v>
      </c>
      <c r="I1201" s="543" t="s">
        <v>5064</v>
      </c>
      <c r="J1201" s="543"/>
      <c r="K1201" s="543" t="s">
        <v>5008</v>
      </c>
      <c r="L1201" s="542" t="s">
        <v>310</v>
      </c>
      <c r="M1201" s="570">
        <v>600000</v>
      </c>
      <c r="N1201" s="542" t="s">
        <v>5056</v>
      </c>
    </row>
    <row r="1202" spans="1:14">
      <c r="A1202" s="553">
        <v>2</v>
      </c>
      <c r="B1202" s="579"/>
      <c r="C1202" s="543" t="s">
        <v>5065</v>
      </c>
      <c r="D1202" s="542" t="s">
        <v>312</v>
      </c>
      <c r="E1202" s="542" t="s">
        <v>676</v>
      </c>
      <c r="F1202" s="543" t="s">
        <v>2609</v>
      </c>
      <c r="G1202" s="543" t="s">
        <v>5066</v>
      </c>
      <c r="H1202" s="543" t="s">
        <v>3096</v>
      </c>
      <c r="I1202" s="543" t="s">
        <v>5067</v>
      </c>
      <c r="J1202" s="543" t="s">
        <v>703</v>
      </c>
      <c r="K1202" s="543" t="s">
        <v>693</v>
      </c>
      <c r="L1202" s="542" t="s">
        <v>310</v>
      </c>
      <c r="M1202" s="570">
        <v>500000</v>
      </c>
      <c r="N1202" s="542" t="s">
        <v>5067</v>
      </c>
    </row>
    <row r="1203" spans="1:14" ht="22.5">
      <c r="A1203" s="553">
        <v>2</v>
      </c>
      <c r="B1203" s="579"/>
      <c r="C1203" s="543" t="s">
        <v>5068</v>
      </c>
      <c r="D1203" s="542" t="s">
        <v>312</v>
      </c>
      <c r="E1203" s="542" t="s">
        <v>676</v>
      </c>
      <c r="F1203" s="554" t="s">
        <v>5069</v>
      </c>
      <c r="G1203" s="543" t="s">
        <v>5070</v>
      </c>
      <c r="H1203" s="543" t="s">
        <v>5071</v>
      </c>
      <c r="I1203" s="543" t="s">
        <v>5072</v>
      </c>
      <c r="J1203" s="543"/>
      <c r="K1203" s="543" t="s">
        <v>5073</v>
      </c>
      <c r="L1203" s="542" t="s">
        <v>310</v>
      </c>
      <c r="M1203" s="570">
        <v>1000000</v>
      </c>
      <c r="N1203" s="160" t="s">
        <v>5074</v>
      </c>
    </row>
    <row r="1204" spans="1:14">
      <c r="A1204" s="553">
        <v>2</v>
      </c>
      <c r="B1204" s="579"/>
      <c r="C1204" s="543" t="s">
        <v>5075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5076</v>
      </c>
      <c r="J1204" s="543"/>
      <c r="K1204" s="543" t="s">
        <v>5077</v>
      </c>
      <c r="L1204" s="542" t="s">
        <v>310</v>
      </c>
      <c r="M1204" s="570">
        <v>500000</v>
      </c>
      <c r="N1204" s="542" t="s">
        <v>1207</v>
      </c>
    </row>
    <row r="1205" spans="1:14">
      <c r="A1205" s="553">
        <v>2</v>
      </c>
      <c r="B1205" s="579"/>
      <c r="C1205" s="543" t="s">
        <v>5078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5079</v>
      </c>
      <c r="J1205" s="543" t="s">
        <v>639</v>
      </c>
      <c r="K1205" s="543" t="s">
        <v>3232</v>
      </c>
      <c r="L1205" s="542" t="s">
        <v>310</v>
      </c>
      <c r="M1205" s="570">
        <v>300000</v>
      </c>
      <c r="N1205" s="542" t="s">
        <v>1207</v>
      </c>
    </row>
    <row r="1206" spans="1:14">
      <c r="A1206" s="553">
        <v>2</v>
      </c>
      <c r="B1206" s="579"/>
      <c r="C1206" s="543" t="s">
        <v>5080</v>
      </c>
      <c r="D1206" s="542" t="s">
        <v>312</v>
      </c>
      <c r="E1206" s="542" t="s">
        <v>321</v>
      </c>
      <c r="F1206" s="543" t="s">
        <v>691</v>
      </c>
      <c r="G1206" s="543" t="s">
        <v>5081</v>
      </c>
      <c r="H1206" s="543" t="s">
        <v>3209</v>
      </c>
      <c r="I1206" s="543" t="s">
        <v>5082</v>
      </c>
      <c r="J1206" s="543"/>
      <c r="K1206" s="543" t="s">
        <v>3232</v>
      </c>
      <c r="L1206" s="542" t="s">
        <v>310</v>
      </c>
      <c r="M1206" s="570">
        <v>300000</v>
      </c>
      <c r="N1206" s="542" t="s">
        <v>1207</v>
      </c>
    </row>
    <row r="1207" spans="1:14">
      <c r="A1207" s="553">
        <v>2</v>
      </c>
      <c r="B1207" s="579"/>
      <c r="C1207" s="543" t="s">
        <v>5080</v>
      </c>
      <c r="D1207" s="542" t="s">
        <v>312</v>
      </c>
      <c r="E1207" s="542" t="s">
        <v>321</v>
      </c>
      <c r="F1207" s="543" t="s">
        <v>691</v>
      </c>
      <c r="G1207" s="543" t="s">
        <v>5081</v>
      </c>
      <c r="H1207" s="543" t="s">
        <v>1199</v>
      </c>
      <c r="I1207" s="543" t="s">
        <v>5083</v>
      </c>
      <c r="J1207" s="543"/>
      <c r="K1207" s="543" t="s">
        <v>706</v>
      </c>
      <c r="L1207" s="542" t="s">
        <v>310</v>
      </c>
      <c r="M1207" s="570">
        <v>500000</v>
      </c>
      <c r="N1207" s="542" t="s">
        <v>1207</v>
      </c>
    </row>
    <row r="1208" spans="1:14">
      <c r="A1208" s="553">
        <v>2</v>
      </c>
      <c r="B1208" s="579"/>
      <c r="C1208" s="584" t="s">
        <v>5084</v>
      </c>
      <c r="D1208" s="580" t="s">
        <v>312</v>
      </c>
      <c r="E1208" s="580" t="s">
        <v>676</v>
      </c>
      <c r="F1208" s="584" t="s">
        <v>338</v>
      </c>
      <c r="G1208" s="584" t="s">
        <v>354</v>
      </c>
      <c r="H1208" s="584" t="s">
        <v>5085</v>
      </c>
      <c r="I1208" s="555" t="s">
        <v>5086</v>
      </c>
      <c r="J1208" s="584" t="s">
        <v>639</v>
      </c>
      <c r="K1208" s="584" t="s">
        <v>714</v>
      </c>
      <c r="L1208" s="580" t="s">
        <v>310</v>
      </c>
      <c r="M1208" s="585">
        <v>250000</v>
      </c>
      <c r="N1208" s="580" t="s">
        <v>5067</v>
      </c>
    </row>
    <row r="1209" spans="1:14">
      <c r="A1209" s="553">
        <v>2</v>
      </c>
      <c r="B1209" s="579"/>
      <c r="C1209" s="584"/>
      <c r="D1209" s="580"/>
      <c r="E1209" s="580"/>
      <c r="F1209" s="584"/>
      <c r="G1209" s="584"/>
      <c r="H1209" s="584"/>
      <c r="I1209" s="555" t="s">
        <v>5087</v>
      </c>
      <c r="J1209" s="584"/>
      <c r="K1209" s="584"/>
      <c r="L1209" s="580"/>
      <c r="M1209" s="585"/>
      <c r="N1209" s="580"/>
    </row>
    <row r="1210" spans="1:14">
      <c r="A1210" s="553">
        <v>2</v>
      </c>
      <c r="B1210" s="579"/>
      <c r="C1210" s="543" t="s">
        <v>5084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5088</v>
      </c>
      <c r="J1210" s="543"/>
      <c r="K1210" s="543" t="s">
        <v>5089</v>
      </c>
      <c r="L1210" s="542" t="s">
        <v>310</v>
      </c>
      <c r="M1210" s="564">
        <v>250000</v>
      </c>
      <c r="N1210" s="542" t="s">
        <v>5067</v>
      </c>
    </row>
    <row r="1211" spans="1:14">
      <c r="A1211" s="553">
        <v>3</v>
      </c>
      <c r="B1211" s="579" t="s">
        <v>20</v>
      </c>
      <c r="C1211" s="543" t="s">
        <v>5078</v>
      </c>
      <c r="D1211" s="542" t="s">
        <v>307</v>
      </c>
      <c r="E1211" s="542" t="s">
        <v>323</v>
      </c>
      <c r="F1211" s="542" t="s">
        <v>308</v>
      </c>
      <c r="G1211" s="543" t="s">
        <v>5090</v>
      </c>
      <c r="H1211" s="543" t="s">
        <v>3209</v>
      </c>
      <c r="I1211" s="543" t="s">
        <v>5091</v>
      </c>
      <c r="J1211" s="542" t="s">
        <v>703</v>
      </c>
      <c r="K1211" s="542" t="s">
        <v>714</v>
      </c>
      <c r="L1211" s="542"/>
      <c r="M1211" s="564">
        <v>250000</v>
      </c>
      <c r="N1211" s="542" t="s">
        <v>5092</v>
      </c>
    </row>
    <row r="1212" spans="1:14">
      <c r="A1212" s="553">
        <v>3</v>
      </c>
      <c r="B1212" s="579"/>
      <c r="C1212" s="543" t="s">
        <v>5084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5093</v>
      </c>
      <c r="J1212" s="542" t="s">
        <v>665</v>
      </c>
      <c r="K1212" s="542" t="s">
        <v>706</v>
      </c>
      <c r="L1212" s="542"/>
      <c r="M1212" s="564">
        <v>500000</v>
      </c>
      <c r="N1212" s="542" t="s">
        <v>5092</v>
      </c>
    </row>
    <row r="1213" spans="1:14">
      <c r="A1213" s="553">
        <v>3</v>
      </c>
      <c r="B1213" s="579"/>
      <c r="C1213" s="543" t="s">
        <v>5094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5095</v>
      </c>
      <c r="J1213" s="542" t="s">
        <v>665</v>
      </c>
      <c r="K1213" s="542" t="s">
        <v>3222</v>
      </c>
      <c r="L1213" s="542"/>
      <c r="M1213" s="564">
        <v>1250000</v>
      </c>
      <c r="N1213" s="542"/>
    </row>
    <row r="1214" spans="1:14">
      <c r="A1214" s="553">
        <v>3</v>
      </c>
      <c r="B1214" s="579"/>
      <c r="C1214" s="543" t="s">
        <v>5096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4983</v>
      </c>
      <c r="J1214" s="542" t="s">
        <v>665</v>
      </c>
      <c r="K1214" s="542" t="s">
        <v>3141</v>
      </c>
      <c r="L1214" s="542"/>
      <c r="M1214" s="564">
        <v>500000</v>
      </c>
      <c r="N1214" s="542"/>
    </row>
    <row r="1215" spans="1:14">
      <c r="A1215" s="553">
        <v>3</v>
      </c>
      <c r="B1215" s="579"/>
      <c r="C1215" s="543" t="s">
        <v>5097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4983</v>
      </c>
      <c r="J1215" s="542" t="s">
        <v>665</v>
      </c>
      <c r="K1215" s="542" t="s">
        <v>5016</v>
      </c>
      <c r="L1215" s="542"/>
      <c r="M1215" s="564">
        <v>750000</v>
      </c>
      <c r="N1215" s="542"/>
    </row>
    <row r="1216" spans="1:14">
      <c r="A1216" s="553">
        <v>3</v>
      </c>
      <c r="B1216" s="579"/>
      <c r="C1216" s="543" t="s">
        <v>5098</v>
      </c>
      <c r="D1216" s="542" t="s">
        <v>307</v>
      </c>
      <c r="E1216" s="542" t="s">
        <v>323</v>
      </c>
      <c r="F1216" s="542" t="s">
        <v>308</v>
      </c>
      <c r="G1216" s="543" t="s">
        <v>5041</v>
      </c>
      <c r="H1216" s="542" t="s">
        <v>348</v>
      </c>
      <c r="I1216" s="543" t="s">
        <v>5095</v>
      </c>
      <c r="J1216" s="542" t="s">
        <v>665</v>
      </c>
      <c r="K1216" s="542" t="s">
        <v>5046</v>
      </c>
      <c r="L1216" s="542"/>
      <c r="M1216" s="564">
        <v>750000</v>
      </c>
      <c r="N1216" s="542"/>
    </row>
    <row r="1217" spans="1:14">
      <c r="A1217" s="553">
        <v>3</v>
      </c>
      <c r="B1217" s="579"/>
      <c r="C1217" s="543" t="s">
        <v>5099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5100</v>
      </c>
      <c r="J1217" s="542" t="s">
        <v>665</v>
      </c>
      <c r="K1217" s="542" t="s">
        <v>5048</v>
      </c>
      <c r="L1217" s="542"/>
      <c r="M1217" s="564">
        <v>500000</v>
      </c>
      <c r="N1217" s="542"/>
    </row>
    <row r="1218" spans="1:14">
      <c r="A1218" s="553">
        <v>3</v>
      </c>
      <c r="B1218" s="579" t="s">
        <v>5124</v>
      </c>
      <c r="C1218" s="543" t="s">
        <v>5078</v>
      </c>
      <c r="D1218" s="542" t="s">
        <v>312</v>
      </c>
      <c r="E1218" s="542" t="s">
        <v>321</v>
      </c>
      <c r="F1218" s="555" t="s">
        <v>2609</v>
      </c>
      <c r="G1218" s="543" t="s">
        <v>3095</v>
      </c>
      <c r="H1218" s="543" t="s">
        <v>3096</v>
      </c>
      <c r="I1218" s="543" t="s">
        <v>5101</v>
      </c>
      <c r="J1218" s="543" t="s">
        <v>703</v>
      </c>
      <c r="K1218" s="543" t="s">
        <v>714</v>
      </c>
      <c r="L1218" s="542" t="s">
        <v>310</v>
      </c>
      <c r="M1218" s="570">
        <v>250000</v>
      </c>
      <c r="N1218" s="542" t="s">
        <v>5102</v>
      </c>
    </row>
    <row r="1219" spans="1:14">
      <c r="A1219" s="553">
        <v>3</v>
      </c>
      <c r="B1219" s="579"/>
      <c r="C1219" s="543" t="s">
        <v>5039</v>
      </c>
      <c r="D1219" s="542" t="s">
        <v>312</v>
      </c>
      <c r="E1219" s="542" t="s">
        <v>321</v>
      </c>
      <c r="F1219" s="542" t="s">
        <v>5063</v>
      </c>
      <c r="G1219" s="542">
        <v>1017</v>
      </c>
      <c r="H1219" s="542" t="s">
        <v>348</v>
      </c>
      <c r="I1219" s="543" t="s">
        <v>5103</v>
      </c>
      <c r="J1219" s="543"/>
      <c r="K1219" s="543" t="s">
        <v>1055</v>
      </c>
      <c r="L1219" s="542" t="s">
        <v>310</v>
      </c>
      <c r="M1219" s="570">
        <v>1000000</v>
      </c>
      <c r="N1219" s="542" t="s">
        <v>5102</v>
      </c>
    </row>
    <row r="1220" spans="1:14">
      <c r="A1220" s="553">
        <v>3</v>
      </c>
      <c r="B1220" s="579"/>
      <c r="C1220" s="543" t="s">
        <v>5104</v>
      </c>
      <c r="D1220" s="542" t="s">
        <v>312</v>
      </c>
      <c r="E1220" s="542" t="s">
        <v>676</v>
      </c>
      <c r="F1220" s="543" t="s">
        <v>5105</v>
      </c>
      <c r="G1220" s="543" t="s">
        <v>404</v>
      </c>
      <c r="H1220" s="543" t="s">
        <v>5106</v>
      </c>
      <c r="I1220" s="543" t="s">
        <v>5107</v>
      </c>
      <c r="J1220" s="543"/>
      <c r="K1220" s="543" t="s">
        <v>5008</v>
      </c>
      <c r="L1220" s="542" t="s">
        <v>310</v>
      </c>
      <c r="M1220" s="570">
        <v>600000</v>
      </c>
      <c r="N1220" s="542" t="s">
        <v>1931</v>
      </c>
    </row>
    <row r="1221" spans="1:14">
      <c r="A1221" s="553">
        <v>3</v>
      </c>
      <c r="B1221" s="579"/>
      <c r="C1221" s="543" t="s">
        <v>5104</v>
      </c>
      <c r="D1221" s="542" t="s">
        <v>312</v>
      </c>
      <c r="E1221" s="542" t="s">
        <v>321</v>
      </c>
      <c r="F1221" s="555" t="s">
        <v>2609</v>
      </c>
      <c r="G1221" s="543" t="s">
        <v>5066</v>
      </c>
      <c r="H1221" s="543" t="s">
        <v>3096</v>
      </c>
      <c r="I1221" s="543" t="s">
        <v>5108</v>
      </c>
      <c r="J1221" s="543"/>
      <c r="K1221" s="543" t="s">
        <v>693</v>
      </c>
      <c r="L1221" s="542" t="s">
        <v>310</v>
      </c>
      <c r="M1221" s="570">
        <v>500000</v>
      </c>
      <c r="N1221" s="542" t="s">
        <v>5109</v>
      </c>
    </row>
    <row r="1222" spans="1:14">
      <c r="A1222" s="553">
        <v>3</v>
      </c>
      <c r="B1222" s="579"/>
      <c r="C1222" s="584" t="s">
        <v>5110</v>
      </c>
      <c r="D1222" s="580" t="s">
        <v>312</v>
      </c>
      <c r="E1222" s="580" t="s">
        <v>676</v>
      </c>
      <c r="F1222" s="543" t="s">
        <v>5111</v>
      </c>
      <c r="G1222" s="543" t="s">
        <v>5113</v>
      </c>
      <c r="H1222" s="584" t="s">
        <v>348</v>
      </c>
      <c r="I1222" s="543" t="s">
        <v>5115</v>
      </c>
      <c r="J1222" s="584"/>
      <c r="K1222" s="584" t="s">
        <v>706</v>
      </c>
      <c r="L1222" s="580" t="s">
        <v>310</v>
      </c>
      <c r="M1222" s="585">
        <v>500000</v>
      </c>
      <c r="N1222" s="580" t="s">
        <v>5109</v>
      </c>
    </row>
    <row r="1223" spans="1:14">
      <c r="A1223" s="553">
        <v>3</v>
      </c>
      <c r="B1223" s="579"/>
      <c r="C1223" s="584"/>
      <c r="D1223" s="580"/>
      <c r="E1223" s="580"/>
      <c r="F1223" s="543" t="s">
        <v>5112</v>
      </c>
      <c r="G1223" s="543" t="s">
        <v>5114</v>
      </c>
      <c r="H1223" s="584"/>
      <c r="I1223" s="543" t="s">
        <v>5116</v>
      </c>
      <c r="J1223" s="584"/>
      <c r="K1223" s="584"/>
      <c r="L1223" s="580"/>
      <c r="M1223" s="585"/>
      <c r="N1223" s="580"/>
    </row>
    <row r="1224" spans="1:14">
      <c r="A1224" s="553">
        <v>3</v>
      </c>
      <c r="B1224" s="579"/>
      <c r="C1224" s="543" t="s">
        <v>5110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5088</v>
      </c>
      <c r="J1224" s="543"/>
      <c r="K1224" s="543" t="s">
        <v>5089</v>
      </c>
      <c r="L1224" s="542" t="s">
        <v>310</v>
      </c>
      <c r="M1224" s="570">
        <v>300000</v>
      </c>
      <c r="N1224" s="542" t="s">
        <v>5109</v>
      </c>
    </row>
    <row r="1225" spans="1:14">
      <c r="A1225" s="553">
        <v>3</v>
      </c>
      <c r="B1225" s="579"/>
      <c r="C1225" s="543" t="s">
        <v>5110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5" t="s">
        <v>5117</v>
      </c>
      <c r="J1225" s="543" t="s">
        <v>639</v>
      </c>
      <c r="K1225" s="542" t="s">
        <v>714</v>
      </c>
      <c r="L1225" s="542" t="s">
        <v>310</v>
      </c>
      <c r="M1225" s="570">
        <v>250000</v>
      </c>
      <c r="N1225" s="542" t="s">
        <v>1931</v>
      </c>
    </row>
    <row r="1226" spans="1:14">
      <c r="A1226" s="553">
        <v>3</v>
      </c>
      <c r="B1226" s="579"/>
      <c r="C1226" s="543" t="s">
        <v>5118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5119</v>
      </c>
      <c r="I1226" s="555" t="s">
        <v>5120</v>
      </c>
      <c r="J1226" s="543" t="s">
        <v>639</v>
      </c>
      <c r="K1226" s="543" t="s">
        <v>693</v>
      </c>
      <c r="L1226" s="542" t="s">
        <v>310</v>
      </c>
      <c r="M1226" s="570">
        <v>500000</v>
      </c>
      <c r="N1226" s="542" t="s">
        <v>1931</v>
      </c>
    </row>
    <row r="1227" spans="1:14">
      <c r="A1227" s="553">
        <v>3</v>
      </c>
      <c r="B1227" s="579"/>
      <c r="C1227" s="543" t="s">
        <v>5118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5" t="s">
        <v>5121</v>
      </c>
      <c r="J1227" s="543" t="s">
        <v>639</v>
      </c>
      <c r="K1227" s="543" t="s">
        <v>732</v>
      </c>
      <c r="L1227" s="542" t="s">
        <v>310</v>
      </c>
      <c r="M1227" s="570">
        <v>300000</v>
      </c>
      <c r="N1227" s="542" t="s">
        <v>1931</v>
      </c>
    </row>
    <row r="1228" spans="1:14">
      <c r="A1228" s="553">
        <v>3</v>
      </c>
      <c r="B1228" s="579"/>
      <c r="C1228" s="543" t="s">
        <v>5122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5123</v>
      </c>
      <c r="J1228" s="542" t="s">
        <v>639</v>
      </c>
      <c r="K1228" s="543" t="s">
        <v>693</v>
      </c>
      <c r="L1228" s="542" t="s">
        <v>310</v>
      </c>
      <c r="M1228" s="570">
        <v>500000</v>
      </c>
      <c r="N1228" s="542" t="s">
        <v>5109</v>
      </c>
    </row>
    <row r="1229" spans="1:14">
      <c r="A1229" s="553">
        <v>4</v>
      </c>
      <c r="B1229" s="579" t="s">
        <v>20</v>
      </c>
      <c r="C1229" s="543" t="s">
        <v>5139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5093</v>
      </c>
      <c r="J1229" s="542" t="s">
        <v>665</v>
      </c>
      <c r="K1229" s="542" t="s">
        <v>5125</v>
      </c>
      <c r="L1229" s="542"/>
      <c r="M1229" s="564">
        <v>1250000</v>
      </c>
      <c r="N1229" s="542" t="s">
        <v>5126</v>
      </c>
    </row>
    <row r="1230" spans="1:14">
      <c r="A1230" s="553">
        <v>4</v>
      </c>
      <c r="B1230" s="579"/>
      <c r="C1230" s="543" t="s">
        <v>5127</v>
      </c>
      <c r="D1230" s="542" t="s">
        <v>307</v>
      </c>
      <c r="E1230" s="542" t="s">
        <v>323</v>
      </c>
      <c r="F1230" s="542" t="s">
        <v>308</v>
      </c>
      <c r="G1230" s="543" t="s">
        <v>5128</v>
      </c>
      <c r="H1230" s="543" t="s">
        <v>5044</v>
      </c>
      <c r="I1230" s="543" t="s">
        <v>5129</v>
      </c>
      <c r="J1230" s="542" t="s">
        <v>665</v>
      </c>
      <c r="K1230" s="542" t="s">
        <v>3222</v>
      </c>
      <c r="L1230" s="542"/>
      <c r="M1230" s="564">
        <v>1250000</v>
      </c>
      <c r="N1230" s="542"/>
    </row>
    <row r="1231" spans="1:14">
      <c r="A1231" s="553">
        <v>4</v>
      </c>
      <c r="B1231" s="579"/>
      <c r="C1231" s="543" t="s">
        <v>5130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5131</v>
      </c>
      <c r="J1231" s="542" t="s">
        <v>665</v>
      </c>
      <c r="K1231" s="542" t="s">
        <v>3145</v>
      </c>
      <c r="L1231" s="542"/>
      <c r="M1231" s="564">
        <v>250000</v>
      </c>
      <c r="N1231" s="542"/>
    </row>
    <row r="1232" spans="1:14">
      <c r="A1232" s="553">
        <v>4</v>
      </c>
      <c r="B1232" s="579"/>
      <c r="C1232" s="543" t="s">
        <v>5132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5133</v>
      </c>
      <c r="J1232" s="542" t="s">
        <v>665</v>
      </c>
      <c r="K1232" s="542" t="s">
        <v>5016</v>
      </c>
      <c r="L1232" s="542"/>
      <c r="M1232" s="564">
        <v>750000</v>
      </c>
      <c r="N1232" s="542"/>
    </row>
    <row r="1233" spans="1:14">
      <c r="A1233" s="553">
        <v>4</v>
      </c>
      <c r="B1233" s="579"/>
      <c r="C1233" s="543" t="s">
        <v>5134</v>
      </c>
      <c r="D1233" s="542" t="s">
        <v>307</v>
      </c>
      <c r="E1233" s="542" t="s">
        <v>323</v>
      </c>
      <c r="F1233" s="542" t="s">
        <v>308</v>
      </c>
      <c r="G1233" s="543" t="s">
        <v>5135</v>
      </c>
      <c r="H1233" s="542" t="s">
        <v>1048</v>
      </c>
      <c r="I1233" s="543" t="s">
        <v>5136</v>
      </c>
      <c r="J1233" s="542" t="s">
        <v>665</v>
      </c>
      <c r="K1233" s="542" t="s">
        <v>5048</v>
      </c>
      <c r="L1233" s="542"/>
      <c r="M1233" s="564">
        <v>750000</v>
      </c>
      <c r="N1233" s="542"/>
    </row>
    <row r="1234" spans="1:14">
      <c r="A1234" s="553">
        <v>4</v>
      </c>
      <c r="B1234" s="579"/>
      <c r="C1234" s="543" t="s">
        <v>5132</v>
      </c>
      <c r="D1234" s="542" t="s">
        <v>307</v>
      </c>
      <c r="E1234" s="542" t="s">
        <v>323</v>
      </c>
      <c r="F1234" s="542" t="s">
        <v>308</v>
      </c>
      <c r="G1234" s="543" t="s">
        <v>5137</v>
      </c>
      <c r="H1234" s="542" t="s">
        <v>355</v>
      </c>
      <c r="I1234" s="543" t="s">
        <v>5138</v>
      </c>
      <c r="J1234" s="542" t="s">
        <v>665</v>
      </c>
      <c r="K1234" s="542" t="s">
        <v>5046</v>
      </c>
      <c r="L1234" s="542"/>
      <c r="M1234" s="564">
        <v>500000</v>
      </c>
      <c r="N1234" s="542"/>
    </row>
    <row r="1235" spans="1:14">
      <c r="A1235" s="553">
        <v>4</v>
      </c>
      <c r="B1235" s="579" t="s">
        <v>5124</v>
      </c>
      <c r="C1235" s="543" t="s">
        <v>5140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5141</v>
      </c>
      <c r="J1235" s="543"/>
      <c r="K1235" s="543" t="s">
        <v>693</v>
      </c>
      <c r="L1235" s="542" t="s">
        <v>310</v>
      </c>
      <c r="M1235" s="570">
        <v>500000</v>
      </c>
      <c r="N1235" s="542" t="s">
        <v>5142</v>
      </c>
    </row>
    <row r="1236" spans="1:14">
      <c r="A1236" s="553">
        <v>4</v>
      </c>
      <c r="B1236" s="579"/>
      <c r="C1236" s="543" t="s">
        <v>5140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5143</v>
      </c>
      <c r="J1236" s="543"/>
      <c r="K1236" s="543" t="s">
        <v>732</v>
      </c>
      <c r="L1236" s="542" t="s">
        <v>310</v>
      </c>
      <c r="M1236" s="570">
        <v>300000</v>
      </c>
      <c r="N1236" s="542" t="s">
        <v>5142</v>
      </c>
    </row>
    <row r="1237" spans="1:14">
      <c r="A1237" s="553">
        <v>4</v>
      </c>
      <c r="B1237" s="579"/>
      <c r="C1237" s="543" t="s">
        <v>5122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5144</v>
      </c>
      <c r="J1237" s="543"/>
      <c r="K1237" s="543" t="s">
        <v>3212</v>
      </c>
      <c r="L1237" s="542" t="s">
        <v>310</v>
      </c>
      <c r="M1237" s="570">
        <v>750000</v>
      </c>
      <c r="N1237" s="542" t="s">
        <v>5145</v>
      </c>
    </row>
    <row r="1238" spans="1:14">
      <c r="A1238" s="553">
        <v>4</v>
      </c>
      <c r="B1238" s="579"/>
      <c r="C1238" s="543" t="s">
        <v>5146</v>
      </c>
      <c r="D1238" s="542" t="s">
        <v>312</v>
      </c>
      <c r="E1238" s="542" t="s">
        <v>676</v>
      </c>
      <c r="F1238" s="543" t="s">
        <v>5147</v>
      </c>
      <c r="G1238" s="543">
        <v>3006</v>
      </c>
      <c r="H1238" s="543" t="s">
        <v>348</v>
      </c>
      <c r="I1238" s="555" t="s">
        <v>5148</v>
      </c>
      <c r="J1238" s="543"/>
      <c r="K1238" s="543" t="s">
        <v>5073</v>
      </c>
      <c r="L1238" s="542" t="s">
        <v>310</v>
      </c>
      <c r="M1238" s="570">
        <v>1000000</v>
      </c>
      <c r="N1238" s="542" t="s">
        <v>1778</v>
      </c>
    </row>
    <row r="1239" spans="1:14" ht="25.5">
      <c r="A1239" s="553">
        <v>4</v>
      </c>
      <c r="B1239" s="579"/>
      <c r="C1239" s="543" t="s">
        <v>5130</v>
      </c>
      <c r="D1239" s="542" t="s">
        <v>312</v>
      </c>
      <c r="E1239" s="542" t="s">
        <v>676</v>
      </c>
      <c r="F1239" s="543" t="s">
        <v>5149</v>
      </c>
      <c r="G1239" s="543">
        <v>222003</v>
      </c>
      <c r="H1239" s="543" t="s">
        <v>3105</v>
      </c>
      <c r="I1239" s="555" t="s">
        <v>5150</v>
      </c>
      <c r="J1239" s="543" t="s">
        <v>5151</v>
      </c>
      <c r="K1239" s="543" t="s">
        <v>693</v>
      </c>
      <c r="L1239" s="542" t="s">
        <v>310</v>
      </c>
      <c r="M1239" s="570">
        <v>500000</v>
      </c>
      <c r="N1239" s="542" t="s">
        <v>1778</v>
      </c>
    </row>
    <row r="1240" spans="1:14">
      <c r="A1240" s="553">
        <v>4</v>
      </c>
      <c r="B1240" s="579"/>
      <c r="C1240" s="543" t="s">
        <v>5152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5153</v>
      </c>
      <c r="J1240" s="543" t="s">
        <v>5154</v>
      </c>
      <c r="K1240" s="543" t="s">
        <v>714</v>
      </c>
      <c r="L1240" s="542" t="s">
        <v>310</v>
      </c>
      <c r="M1240" s="570">
        <v>250000</v>
      </c>
      <c r="N1240" s="542" t="s">
        <v>3252</v>
      </c>
    </row>
    <row r="1241" spans="1:14">
      <c r="A1241" s="553">
        <v>4</v>
      </c>
      <c r="B1241" s="579"/>
      <c r="C1241" s="543" t="s">
        <v>5155</v>
      </c>
      <c r="D1241" s="542" t="s">
        <v>312</v>
      </c>
      <c r="E1241" s="542" t="s">
        <v>321</v>
      </c>
      <c r="F1241" s="543" t="s">
        <v>2609</v>
      </c>
      <c r="G1241" s="543" t="s">
        <v>4993</v>
      </c>
      <c r="H1241" s="543"/>
      <c r="I1241" s="543" t="s">
        <v>5156</v>
      </c>
      <c r="J1241" s="543"/>
      <c r="K1241" s="543" t="s">
        <v>5157</v>
      </c>
      <c r="L1241" s="542" t="s">
        <v>5158</v>
      </c>
      <c r="M1241" s="570">
        <v>1500000</v>
      </c>
      <c r="N1241" s="542" t="s">
        <v>3252</v>
      </c>
    </row>
    <row r="1242" spans="1:14" ht="22.5">
      <c r="A1242" s="553">
        <v>4</v>
      </c>
      <c r="B1242" s="579"/>
      <c r="C1242" s="543" t="s">
        <v>5159</v>
      </c>
      <c r="D1242" s="542" t="s">
        <v>312</v>
      </c>
      <c r="E1242" s="542" t="s">
        <v>321</v>
      </c>
      <c r="F1242" s="543" t="s">
        <v>691</v>
      </c>
      <c r="G1242" s="543" t="s">
        <v>5081</v>
      </c>
      <c r="H1242" s="543" t="s">
        <v>5160</v>
      </c>
      <c r="I1242" s="554" t="s">
        <v>5161</v>
      </c>
      <c r="J1242" s="543" t="s">
        <v>639</v>
      </c>
      <c r="K1242" s="543" t="s">
        <v>3232</v>
      </c>
      <c r="L1242" s="542" t="s">
        <v>310</v>
      </c>
      <c r="M1242" s="570">
        <v>300000</v>
      </c>
      <c r="N1242" s="542" t="s">
        <v>3252</v>
      </c>
    </row>
    <row r="1243" spans="1:14">
      <c r="A1243" s="553">
        <v>5</v>
      </c>
      <c r="B1243" s="579" t="s">
        <v>5184</v>
      </c>
      <c r="C1243" s="543" t="s">
        <v>5162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5163</v>
      </c>
      <c r="J1243" s="542" t="s">
        <v>665</v>
      </c>
      <c r="K1243" s="542" t="s">
        <v>5073</v>
      </c>
      <c r="L1243" s="542"/>
      <c r="M1243" s="564">
        <v>1000000</v>
      </c>
      <c r="N1243" s="542" t="s">
        <v>5164</v>
      </c>
    </row>
    <row r="1244" spans="1:14">
      <c r="A1244" s="553">
        <v>5</v>
      </c>
      <c r="B1244" s="579"/>
      <c r="C1244" s="543" t="s">
        <v>5165</v>
      </c>
      <c r="D1244" s="542" t="s">
        <v>307</v>
      </c>
      <c r="E1244" s="542" t="s">
        <v>323</v>
      </c>
      <c r="F1244" s="542" t="s">
        <v>308</v>
      </c>
      <c r="G1244" s="543" t="s">
        <v>5166</v>
      </c>
      <c r="H1244" s="543" t="s">
        <v>1048</v>
      </c>
      <c r="I1244" s="543" t="s">
        <v>5167</v>
      </c>
      <c r="J1244" s="542" t="s">
        <v>665</v>
      </c>
      <c r="K1244" s="542" t="s">
        <v>3222</v>
      </c>
      <c r="L1244" s="542"/>
      <c r="M1244" s="564">
        <v>1250000</v>
      </c>
      <c r="N1244" s="542"/>
    </row>
    <row r="1245" spans="1:14">
      <c r="A1245" s="553">
        <v>5</v>
      </c>
      <c r="B1245" s="579"/>
      <c r="C1245" s="543" t="s">
        <v>5168</v>
      </c>
      <c r="D1245" s="542" t="s">
        <v>307</v>
      </c>
      <c r="E1245" s="542" t="s">
        <v>323</v>
      </c>
      <c r="F1245" s="542" t="s">
        <v>308</v>
      </c>
      <c r="G1245" s="543" t="s">
        <v>5169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4">
        <v>500000</v>
      </c>
      <c r="N1245" s="542"/>
    </row>
    <row r="1246" spans="1:14">
      <c r="A1246" s="553">
        <v>5</v>
      </c>
      <c r="B1246" s="579"/>
      <c r="C1246" s="543" t="s">
        <v>5170</v>
      </c>
      <c r="D1246" s="542" t="s">
        <v>307</v>
      </c>
      <c r="E1246" s="542" t="s">
        <v>323</v>
      </c>
      <c r="F1246" s="542" t="s">
        <v>308</v>
      </c>
      <c r="G1246" s="543" t="s">
        <v>5171</v>
      </c>
      <c r="H1246" s="543" t="s">
        <v>5172</v>
      </c>
      <c r="I1246" s="543" t="s">
        <v>5173</v>
      </c>
      <c r="J1246" s="542" t="s">
        <v>665</v>
      </c>
      <c r="K1246" s="542" t="s">
        <v>5016</v>
      </c>
      <c r="L1246" s="542"/>
      <c r="M1246" s="564">
        <v>750000</v>
      </c>
      <c r="N1246" s="542"/>
    </row>
    <row r="1247" spans="1:14">
      <c r="A1247" s="553">
        <v>5</v>
      </c>
      <c r="B1247" s="579"/>
      <c r="C1247" s="543" t="s">
        <v>5168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5048</v>
      </c>
      <c r="L1247" s="542"/>
      <c r="M1247" s="564">
        <v>500000</v>
      </c>
      <c r="N1247" s="542"/>
    </row>
    <row r="1248" spans="1:14">
      <c r="A1248" s="553">
        <v>5</v>
      </c>
      <c r="B1248" s="579"/>
      <c r="C1248" s="543" t="s">
        <v>5170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5046</v>
      </c>
      <c r="L1248" s="542"/>
      <c r="M1248" s="564">
        <v>750000</v>
      </c>
      <c r="N1248" s="542"/>
    </row>
    <row r="1249" spans="1:14">
      <c r="A1249" s="553">
        <v>5</v>
      </c>
      <c r="B1249" s="579" t="s">
        <v>5124</v>
      </c>
      <c r="C1249" s="543" t="s">
        <v>5174</v>
      </c>
      <c r="D1249" s="542" t="s">
        <v>312</v>
      </c>
      <c r="E1249" s="542" t="s">
        <v>676</v>
      </c>
      <c r="F1249" s="542" t="s">
        <v>5063</v>
      </c>
      <c r="G1249" s="542">
        <v>1017</v>
      </c>
      <c r="H1249" s="542" t="s">
        <v>348</v>
      </c>
      <c r="I1249" s="543" t="s">
        <v>5136</v>
      </c>
      <c r="J1249" s="543"/>
      <c r="K1249" s="543" t="s">
        <v>693</v>
      </c>
      <c r="L1249" s="542" t="s">
        <v>310</v>
      </c>
      <c r="M1249" s="570">
        <v>500000</v>
      </c>
      <c r="N1249" s="542" t="s">
        <v>1207</v>
      </c>
    </row>
    <row r="1250" spans="1:14">
      <c r="A1250" s="553">
        <v>5</v>
      </c>
      <c r="B1250" s="579"/>
      <c r="C1250" s="584" t="s">
        <v>5175</v>
      </c>
      <c r="D1250" s="580" t="s">
        <v>312</v>
      </c>
      <c r="E1250" s="580" t="s">
        <v>676</v>
      </c>
      <c r="F1250" s="580" t="s">
        <v>5063</v>
      </c>
      <c r="G1250" s="580">
        <v>1017</v>
      </c>
      <c r="H1250" s="580" t="s">
        <v>348</v>
      </c>
      <c r="I1250" s="543" t="s">
        <v>5176</v>
      </c>
      <c r="J1250" s="584"/>
      <c r="K1250" s="584" t="s">
        <v>693</v>
      </c>
      <c r="L1250" s="580" t="s">
        <v>310</v>
      </c>
      <c r="M1250" s="585">
        <v>500000</v>
      </c>
      <c r="N1250" s="580" t="s">
        <v>5109</v>
      </c>
    </row>
    <row r="1251" spans="1:14">
      <c r="A1251" s="553">
        <v>5</v>
      </c>
      <c r="B1251" s="579"/>
      <c r="C1251" s="584"/>
      <c r="D1251" s="580"/>
      <c r="E1251" s="580"/>
      <c r="F1251" s="580"/>
      <c r="G1251" s="580"/>
      <c r="H1251" s="580"/>
      <c r="I1251" s="543" t="s">
        <v>5177</v>
      </c>
      <c r="J1251" s="584"/>
      <c r="K1251" s="584"/>
      <c r="L1251" s="580"/>
      <c r="M1251" s="585"/>
      <c r="N1251" s="580"/>
    </row>
    <row r="1252" spans="1:14">
      <c r="A1252" s="553">
        <v>5</v>
      </c>
      <c r="B1252" s="579"/>
      <c r="C1252" s="543" t="s">
        <v>5178</v>
      </c>
      <c r="D1252" s="542" t="s">
        <v>312</v>
      </c>
      <c r="E1252" s="542" t="s">
        <v>321</v>
      </c>
      <c r="F1252" s="543" t="s">
        <v>5179</v>
      </c>
      <c r="G1252" s="543" t="s">
        <v>5081</v>
      </c>
      <c r="H1252" s="543" t="s">
        <v>5160</v>
      </c>
      <c r="I1252" s="555" t="s">
        <v>1428</v>
      </c>
      <c r="J1252" s="543" t="s">
        <v>639</v>
      </c>
      <c r="K1252" s="543" t="s">
        <v>714</v>
      </c>
      <c r="L1252" s="542" t="s">
        <v>310</v>
      </c>
      <c r="M1252" s="570">
        <v>250000</v>
      </c>
      <c r="N1252" s="542" t="s">
        <v>1207</v>
      </c>
    </row>
    <row r="1253" spans="1:14">
      <c r="A1253" s="553">
        <v>5</v>
      </c>
      <c r="B1253" s="579"/>
      <c r="C1253" s="543" t="s">
        <v>5178</v>
      </c>
      <c r="D1253" s="542" t="s">
        <v>312</v>
      </c>
      <c r="E1253" s="542" t="s">
        <v>321</v>
      </c>
      <c r="F1253" s="543" t="s">
        <v>5179</v>
      </c>
      <c r="G1253" s="543" t="s">
        <v>5081</v>
      </c>
      <c r="H1253" s="543" t="s">
        <v>5160</v>
      </c>
      <c r="I1253" s="555" t="s">
        <v>1428</v>
      </c>
      <c r="J1253" s="543" t="s">
        <v>639</v>
      </c>
      <c r="K1253" s="543" t="s">
        <v>3232</v>
      </c>
      <c r="L1253" s="542" t="s">
        <v>310</v>
      </c>
      <c r="M1253" s="570">
        <v>300000</v>
      </c>
      <c r="N1253" s="542" t="s">
        <v>1207</v>
      </c>
    </row>
    <row r="1254" spans="1:14">
      <c r="A1254" s="553">
        <v>5</v>
      </c>
      <c r="B1254" s="579"/>
      <c r="C1254" s="584" t="s">
        <v>5180</v>
      </c>
      <c r="D1254" s="580" t="s">
        <v>312</v>
      </c>
      <c r="E1254" s="580" t="s">
        <v>676</v>
      </c>
      <c r="F1254" s="584" t="s">
        <v>5147</v>
      </c>
      <c r="G1254" s="584">
        <v>3006</v>
      </c>
      <c r="H1254" s="584" t="s">
        <v>348</v>
      </c>
      <c r="I1254" s="555" t="s">
        <v>5181</v>
      </c>
      <c r="J1254" s="584"/>
      <c r="K1254" s="584" t="s">
        <v>706</v>
      </c>
      <c r="L1254" s="580" t="s">
        <v>310</v>
      </c>
      <c r="M1254" s="585">
        <v>500000</v>
      </c>
      <c r="N1254" s="580" t="s">
        <v>5109</v>
      </c>
    </row>
    <row r="1255" spans="1:14">
      <c r="A1255" s="553">
        <v>5</v>
      </c>
      <c r="B1255" s="579"/>
      <c r="C1255" s="584"/>
      <c r="D1255" s="580"/>
      <c r="E1255" s="580"/>
      <c r="F1255" s="584"/>
      <c r="G1255" s="584"/>
      <c r="H1255" s="584"/>
      <c r="I1255" s="555" t="s">
        <v>5182</v>
      </c>
      <c r="J1255" s="584"/>
      <c r="K1255" s="584"/>
      <c r="L1255" s="580"/>
      <c r="M1255" s="585"/>
      <c r="N1255" s="580"/>
    </row>
    <row r="1256" spans="1:14">
      <c r="A1256" s="553">
        <v>5</v>
      </c>
      <c r="B1256" s="579"/>
      <c r="C1256" s="584" t="s">
        <v>5180</v>
      </c>
      <c r="D1256" s="580" t="s">
        <v>312</v>
      </c>
      <c r="E1256" s="580" t="s">
        <v>676</v>
      </c>
      <c r="F1256" s="584" t="s">
        <v>5147</v>
      </c>
      <c r="G1256" s="584">
        <v>3006</v>
      </c>
      <c r="H1256" s="584" t="s">
        <v>348</v>
      </c>
      <c r="I1256" s="555" t="s">
        <v>5181</v>
      </c>
      <c r="J1256" s="584"/>
      <c r="K1256" s="584" t="s">
        <v>5008</v>
      </c>
      <c r="L1256" s="580" t="s">
        <v>310</v>
      </c>
      <c r="M1256" s="585">
        <v>600000</v>
      </c>
      <c r="N1256" s="580" t="s">
        <v>5109</v>
      </c>
    </row>
    <row r="1257" spans="1:14">
      <c r="A1257" s="553">
        <v>5</v>
      </c>
      <c r="B1257" s="579"/>
      <c r="C1257" s="584"/>
      <c r="D1257" s="580"/>
      <c r="E1257" s="580"/>
      <c r="F1257" s="584"/>
      <c r="G1257" s="584"/>
      <c r="H1257" s="584"/>
      <c r="I1257" s="555" t="s">
        <v>5182</v>
      </c>
      <c r="J1257" s="584"/>
      <c r="K1257" s="584"/>
      <c r="L1257" s="580"/>
      <c r="M1257" s="585"/>
      <c r="N1257" s="580"/>
    </row>
    <row r="1258" spans="1:14">
      <c r="A1258" s="553">
        <v>5</v>
      </c>
      <c r="B1258" s="579"/>
      <c r="C1258" s="543" t="s">
        <v>5180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5183</v>
      </c>
      <c r="J1258" s="543" t="s">
        <v>639</v>
      </c>
      <c r="K1258" s="543" t="s">
        <v>693</v>
      </c>
      <c r="L1258" s="542" t="s">
        <v>310</v>
      </c>
      <c r="M1258" s="570">
        <v>500000</v>
      </c>
      <c r="N1258" s="542" t="s">
        <v>5109</v>
      </c>
    </row>
    <row r="1259" spans="1:14">
      <c r="A1259" s="553">
        <v>6</v>
      </c>
      <c r="B1259" s="579" t="s">
        <v>5052</v>
      </c>
      <c r="C1259" s="543" t="s">
        <v>5185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5095</v>
      </c>
      <c r="J1259" s="542" t="s">
        <v>665</v>
      </c>
      <c r="K1259" s="542" t="s">
        <v>3141</v>
      </c>
      <c r="L1259" s="542"/>
      <c r="M1259" s="564">
        <v>500000</v>
      </c>
      <c r="N1259" s="542"/>
    </row>
    <row r="1260" spans="1:14">
      <c r="A1260" s="553">
        <v>6</v>
      </c>
      <c r="B1260" s="579"/>
      <c r="C1260" s="543" t="s">
        <v>5186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5016</v>
      </c>
      <c r="L1260" s="542"/>
      <c r="M1260" s="564">
        <v>750000</v>
      </c>
      <c r="N1260" s="542"/>
    </row>
    <row r="1261" spans="1:14">
      <c r="A1261" s="553">
        <v>6</v>
      </c>
      <c r="B1261" s="579"/>
      <c r="C1261" s="543" t="s">
        <v>5185</v>
      </c>
      <c r="D1261" s="542" t="s">
        <v>307</v>
      </c>
      <c r="E1261" s="542" t="s">
        <v>323</v>
      </c>
      <c r="F1261" s="542" t="s">
        <v>308</v>
      </c>
      <c r="G1261" s="543" t="s">
        <v>5137</v>
      </c>
      <c r="H1261" s="543" t="s">
        <v>355</v>
      </c>
      <c r="I1261" s="543" t="s">
        <v>4983</v>
      </c>
      <c r="J1261" s="542" t="s">
        <v>665</v>
      </c>
      <c r="K1261" s="542" t="s">
        <v>3141</v>
      </c>
      <c r="L1261" s="542"/>
      <c r="M1261" s="564">
        <v>500000</v>
      </c>
      <c r="N1261" s="542"/>
    </row>
    <row r="1262" spans="1:14">
      <c r="A1262" s="553">
        <v>6</v>
      </c>
      <c r="B1262" s="579"/>
      <c r="C1262" s="543" t="s">
        <v>5186</v>
      </c>
      <c r="D1262" s="542" t="s">
        <v>307</v>
      </c>
      <c r="E1262" s="542" t="s">
        <v>323</v>
      </c>
      <c r="F1262" s="542" t="s">
        <v>308</v>
      </c>
      <c r="G1262" s="543" t="s">
        <v>5166</v>
      </c>
      <c r="H1262" s="543" t="s">
        <v>1048</v>
      </c>
      <c r="I1262" s="543" t="s">
        <v>4983</v>
      </c>
      <c r="J1262" s="542" t="s">
        <v>665</v>
      </c>
      <c r="K1262" s="542" t="s">
        <v>5016</v>
      </c>
      <c r="L1262" s="542"/>
      <c r="M1262" s="564">
        <v>750000</v>
      </c>
      <c r="N1262" s="542"/>
    </row>
    <row r="1263" spans="1:14">
      <c r="A1263" s="553">
        <v>6</v>
      </c>
      <c r="B1263" s="579"/>
      <c r="C1263" s="543" t="s">
        <v>5187</v>
      </c>
      <c r="D1263" s="542" t="s">
        <v>307</v>
      </c>
      <c r="E1263" s="542" t="s">
        <v>323</v>
      </c>
      <c r="F1263" s="542" t="s">
        <v>308</v>
      </c>
      <c r="G1263" s="543" t="s">
        <v>5043</v>
      </c>
      <c r="H1263" s="543" t="s">
        <v>5044</v>
      </c>
      <c r="I1263" s="543" t="s">
        <v>5138</v>
      </c>
      <c r="J1263" s="542" t="s">
        <v>665</v>
      </c>
      <c r="K1263" s="542" t="s">
        <v>5188</v>
      </c>
      <c r="L1263" s="542"/>
      <c r="M1263" s="564">
        <v>1250000</v>
      </c>
      <c r="N1263" s="542"/>
    </row>
    <row r="1264" spans="1:14">
      <c r="A1264" s="553">
        <v>6</v>
      </c>
      <c r="B1264" s="579" t="s">
        <v>21</v>
      </c>
      <c r="C1264" s="543" t="s">
        <v>5178</v>
      </c>
      <c r="D1264" s="542" t="s">
        <v>312</v>
      </c>
      <c r="E1264" s="542" t="s">
        <v>676</v>
      </c>
      <c r="F1264" s="543" t="s">
        <v>5149</v>
      </c>
      <c r="G1264" s="543">
        <v>222003</v>
      </c>
      <c r="H1264" s="543" t="s">
        <v>348</v>
      </c>
      <c r="I1264" s="555" t="s">
        <v>5189</v>
      </c>
      <c r="J1264" s="543"/>
      <c r="K1264" s="543" t="s">
        <v>714</v>
      </c>
      <c r="L1264" s="542" t="s">
        <v>310</v>
      </c>
      <c r="M1264" s="570">
        <v>250000</v>
      </c>
      <c r="N1264" s="542" t="s">
        <v>5190</v>
      </c>
    </row>
    <row r="1265" spans="1:14">
      <c r="A1265" s="553">
        <v>6</v>
      </c>
      <c r="B1265" s="579"/>
      <c r="C1265" s="543" t="s">
        <v>5191</v>
      </c>
      <c r="D1265" s="542" t="s">
        <v>312</v>
      </c>
      <c r="E1265" s="542" t="s">
        <v>321</v>
      </c>
      <c r="F1265" s="543" t="s">
        <v>5179</v>
      </c>
      <c r="G1265" s="543" t="s">
        <v>5081</v>
      </c>
      <c r="H1265" s="543" t="s">
        <v>1199</v>
      </c>
      <c r="I1265" s="543" t="s">
        <v>5192</v>
      </c>
      <c r="J1265" s="543"/>
      <c r="K1265" s="543" t="s">
        <v>706</v>
      </c>
      <c r="L1265" s="542" t="s">
        <v>310</v>
      </c>
      <c r="M1265" s="570">
        <v>500000</v>
      </c>
      <c r="N1265" s="542" t="s">
        <v>5190</v>
      </c>
    </row>
    <row r="1266" spans="1:14">
      <c r="A1266" s="553">
        <v>6</v>
      </c>
      <c r="B1266" s="579"/>
      <c r="C1266" s="543" t="s">
        <v>5193</v>
      </c>
      <c r="D1266" s="542" t="s">
        <v>312</v>
      </c>
      <c r="E1266" s="542" t="s">
        <v>321</v>
      </c>
      <c r="F1266" s="543" t="s">
        <v>5179</v>
      </c>
      <c r="G1266" s="543" t="s">
        <v>5081</v>
      </c>
      <c r="H1266" s="543" t="s">
        <v>1199</v>
      </c>
      <c r="I1266" s="555" t="s">
        <v>1428</v>
      </c>
      <c r="J1266" s="543"/>
      <c r="K1266" s="543" t="s">
        <v>714</v>
      </c>
      <c r="L1266" s="542" t="s">
        <v>310</v>
      </c>
      <c r="M1266" s="570">
        <v>250000</v>
      </c>
      <c r="N1266" s="542" t="s">
        <v>5194</v>
      </c>
    </row>
    <row r="1267" spans="1:14">
      <c r="A1267" s="553">
        <v>6</v>
      </c>
      <c r="B1267" s="579"/>
      <c r="C1267" s="543" t="s">
        <v>5195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5196</v>
      </c>
      <c r="I1267" s="555" t="s">
        <v>5197</v>
      </c>
      <c r="J1267" s="543" t="s">
        <v>639</v>
      </c>
      <c r="K1267" s="543" t="s">
        <v>5198</v>
      </c>
      <c r="L1267" s="542" t="s">
        <v>310</v>
      </c>
      <c r="M1267" s="570">
        <v>300000</v>
      </c>
      <c r="N1267" s="542" t="s">
        <v>1931</v>
      </c>
    </row>
    <row r="1268" spans="1:14">
      <c r="A1268" s="553">
        <v>6</v>
      </c>
      <c r="B1268" s="579"/>
      <c r="C1268" s="584" t="s">
        <v>5199</v>
      </c>
      <c r="D1268" s="580" t="s">
        <v>312</v>
      </c>
      <c r="E1268" s="580" t="s">
        <v>676</v>
      </c>
      <c r="F1268" s="543" t="s">
        <v>5200</v>
      </c>
      <c r="G1268" s="554" t="s">
        <v>5202</v>
      </c>
      <c r="H1268" s="405" t="s">
        <v>348</v>
      </c>
      <c r="I1268" s="584" t="s">
        <v>5205</v>
      </c>
      <c r="J1268" s="584" t="s">
        <v>639</v>
      </c>
      <c r="K1268" s="584" t="s">
        <v>693</v>
      </c>
      <c r="L1268" s="580" t="s">
        <v>310</v>
      </c>
      <c r="M1268" s="585">
        <v>500000</v>
      </c>
      <c r="N1268" s="580" t="s">
        <v>1778</v>
      </c>
    </row>
    <row r="1269" spans="1:14">
      <c r="A1269" s="553">
        <v>6</v>
      </c>
      <c r="B1269" s="579"/>
      <c r="C1269" s="584"/>
      <c r="D1269" s="580"/>
      <c r="E1269" s="580"/>
      <c r="F1269" s="543" t="s">
        <v>5201</v>
      </c>
      <c r="G1269" s="554" t="s">
        <v>5203</v>
      </c>
      <c r="H1269" s="405" t="s">
        <v>5204</v>
      </c>
      <c r="I1269" s="584"/>
      <c r="J1269" s="584"/>
      <c r="K1269" s="584"/>
      <c r="L1269" s="580"/>
      <c r="M1269" s="585"/>
      <c r="N1269" s="580"/>
    </row>
    <row r="1270" spans="1:14" ht="24">
      <c r="A1270" s="553">
        <v>6</v>
      </c>
      <c r="B1270" s="579"/>
      <c r="C1270" s="543" t="s">
        <v>5199</v>
      </c>
      <c r="D1270" s="542" t="s">
        <v>312</v>
      </c>
      <c r="E1270" s="542" t="s">
        <v>321</v>
      </c>
      <c r="F1270" s="555" t="s">
        <v>721</v>
      </c>
      <c r="G1270" s="543" t="s">
        <v>5206</v>
      </c>
      <c r="H1270" s="543" t="s">
        <v>3096</v>
      </c>
      <c r="I1270" s="555" t="s">
        <v>5207</v>
      </c>
      <c r="J1270" s="543" t="s">
        <v>703</v>
      </c>
      <c r="K1270" s="543" t="s">
        <v>5208</v>
      </c>
      <c r="L1270" s="542" t="s">
        <v>310</v>
      </c>
      <c r="M1270" s="570">
        <v>550000</v>
      </c>
      <c r="N1270" s="542" t="s">
        <v>1931</v>
      </c>
    </row>
    <row r="1271" spans="1:14">
      <c r="A1271" s="553">
        <v>6</v>
      </c>
      <c r="B1271" s="579"/>
      <c r="C1271" s="543" t="s">
        <v>5199</v>
      </c>
      <c r="D1271" s="542" t="s">
        <v>312</v>
      </c>
      <c r="E1271" s="542" t="s">
        <v>321</v>
      </c>
      <c r="F1271" s="554" t="s">
        <v>338</v>
      </c>
      <c r="G1271" s="543" t="s">
        <v>3444</v>
      </c>
      <c r="H1271" s="543" t="s">
        <v>348</v>
      </c>
      <c r="I1271" s="543" t="s">
        <v>5209</v>
      </c>
      <c r="J1271" s="543"/>
      <c r="K1271" s="543" t="s">
        <v>706</v>
      </c>
      <c r="L1271" s="542" t="s">
        <v>310</v>
      </c>
      <c r="M1271" s="570">
        <v>500000</v>
      </c>
      <c r="N1271" s="542" t="s">
        <v>1207</v>
      </c>
    </row>
    <row r="1272" spans="1:14">
      <c r="A1272" s="553">
        <v>7</v>
      </c>
      <c r="B1272" s="579" t="s">
        <v>5184</v>
      </c>
      <c r="C1272" s="543" t="s">
        <v>5210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5211</v>
      </c>
      <c r="J1272" s="542" t="s">
        <v>665</v>
      </c>
      <c r="K1272" s="542" t="s">
        <v>706</v>
      </c>
      <c r="L1272" s="542"/>
      <c r="M1272" s="564">
        <v>500000</v>
      </c>
      <c r="N1272" s="542" t="s">
        <v>5212</v>
      </c>
    </row>
    <row r="1273" spans="1:14">
      <c r="A1273" s="553">
        <v>7</v>
      </c>
      <c r="B1273" s="579"/>
      <c r="C1273" s="543" t="s">
        <v>5213</v>
      </c>
      <c r="D1273" s="542" t="s">
        <v>307</v>
      </c>
      <c r="E1273" s="542" t="s">
        <v>323</v>
      </c>
      <c r="F1273" s="542" t="s">
        <v>308</v>
      </c>
      <c r="G1273" s="543" t="s">
        <v>5214</v>
      </c>
      <c r="H1273" s="543" t="s">
        <v>348</v>
      </c>
      <c r="I1273" s="543" t="s">
        <v>4983</v>
      </c>
      <c r="J1273" s="542" t="s">
        <v>665</v>
      </c>
      <c r="K1273" s="542" t="s">
        <v>3141</v>
      </c>
      <c r="L1273" s="542"/>
      <c r="M1273" s="564">
        <v>500000</v>
      </c>
      <c r="N1273" s="542"/>
    </row>
    <row r="1274" spans="1:14">
      <c r="A1274" s="553">
        <v>7</v>
      </c>
      <c r="B1274" s="579"/>
      <c r="C1274" s="543" t="s">
        <v>5213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4">
        <v>500000</v>
      </c>
      <c r="N1274" s="542"/>
    </row>
    <row r="1275" spans="1:14">
      <c r="A1275" s="553">
        <v>7</v>
      </c>
      <c r="B1275" s="579"/>
      <c r="C1275" s="543" t="s">
        <v>5213</v>
      </c>
      <c r="D1275" s="542" t="s">
        <v>307</v>
      </c>
      <c r="E1275" s="542" t="s">
        <v>323</v>
      </c>
      <c r="F1275" s="542" t="s">
        <v>308</v>
      </c>
      <c r="G1275" s="543" t="s">
        <v>5128</v>
      </c>
      <c r="H1275" s="543" t="s">
        <v>5044</v>
      </c>
      <c r="I1275" s="543" t="s">
        <v>5136</v>
      </c>
      <c r="J1275" s="542" t="s">
        <v>665</v>
      </c>
      <c r="K1275" s="542" t="s">
        <v>5048</v>
      </c>
      <c r="L1275" s="542"/>
      <c r="M1275" s="564">
        <v>500000</v>
      </c>
      <c r="N1275" s="542"/>
    </row>
    <row r="1276" spans="1:14">
      <c r="A1276" s="553">
        <v>7</v>
      </c>
      <c r="B1276" s="579"/>
      <c r="C1276" s="543" t="s">
        <v>5215</v>
      </c>
      <c r="D1276" s="542" t="s">
        <v>307</v>
      </c>
      <c r="E1276" s="542" t="s">
        <v>323</v>
      </c>
      <c r="F1276" s="542" t="s">
        <v>308</v>
      </c>
      <c r="G1276" s="543" t="s">
        <v>5166</v>
      </c>
      <c r="H1276" s="543" t="s">
        <v>1048</v>
      </c>
      <c r="I1276" s="543" t="s">
        <v>5216</v>
      </c>
      <c r="J1276" s="542" t="s">
        <v>665</v>
      </c>
      <c r="K1276" s="542" t="s">
        <v>5051</v>
      </c>
      <c r="L1276" s="542"/>
      <c r="M1276" s="564">
        <v>1000000</v>
      </c>
      <c r="N1276" s="542"/>
    </row>
    <row r="1277" spans="1:14">
      <c r="A1277" s="553">
        <v>7</v>
      </c>
      <c r="B1277" s="579" t="s">
        <v>5227</v>
      </c>
      <c r="C1277" s="543" t="s">
        <v>5217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5123</v>
      </c>
      <c r="J1277" s="542" t="s">
        <v>639</v>
      </c>
      <c r="K1277" s="543" t="s">
        <v>693</v>
      </c>
      <c r="L1277" s="542" t="s">
        <v>310</v>
      </c>
      <c r="M1277" s="570">
        <v>500000</v>
      </c>
      <c r="N1277" s="542" t="s">
        <v>1778</v>
      </c>
    </row>
    <row r="1278" spans="1:14" ht="25.5">
      <c r="A1278" s="553">
        <v>7</v>
      </c>
      <c r="B1278" s="579"/>
      <c r="C1278" s="543" t="s">
        <v>5217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5218</v>
      </c>
      <c r="J1278" s="542" t="s">
        <v>639</v>
      </c>
      <c r="K1278" s="543" t="s">
        <v>3232</v>
      </c>
      <c r="L1278" s="542" t="s">
        <v>310</v>
      </c>
      <c r="M1278" s="570">
        <v>300000</v>
      </c>
      <c r="N1278" s="542" t="s">
        <v>1778</v>
      </c>
    </row>
    <row r="1279" spans="1:14">
      <c r="A1279" s="553">
        <v>7</v>
      </c>
      <c r="B1279" s="579"/>
      <c r="C1279" s="543" t="s">
        <v>5219</v>
      </c>
      <c r="D1279" s="542" t="s">
        <v>312</v>
      </c>
      <c r="E1279" s="542" t="s">
        <v>321</v>
      </c>
      <c r="F1279" s="543" t="s">
        <v>691</v>
      </c>
      <c r="G1279" s="543" t="s">
        <v>5081</v>
      </c>
      <c r="H1279" s="543" t="s">
        <v>1199</v>
      </c>
      <c r="I1279" s="543" t="s">
        <v>5220</v>
      </c>
      <c r="J1279" s="543"/>
      <c r="K1279" s="543" t="s">
        <v>5221</v>
      </c>
      <c r="L1279" s="542" t="s">
        <v>310</v>
      </c>
      <c r="M1279" s="570">
        <v>500000</v>
      </c>
      <c r="N1279" s="542" t="s">
        <v>1778</v>
      </c>
    </row>
    <row r="1280" spans="1:14">
      <c r="A1280" s="553">
        <v>7</v>
      </c>
      <c r="B1280" s="579"/>
      <c r="C1280" s="543" t="s">
        <v>5219</v>
      </c>
      <c r="D1280" s="542" t="s">
        <v>312</v>
      </c>
      <c r="E1280" s="542" t="s">
        <v>321</v>
      </c>
      <c r="F1280" s="543" t="s">
        <v>5149</v>
      </c>
      <c r="G1280" s="543">
        <v>222003</v>
      </c>
      <c r="H1280" s="543" t="s">
        <v>3105</v>
      </c>
      <c r="I1280" s="543" t="s">
        <v>5222</v>
      </c>
      <c r="J1280" s="543"/>
      <c r="K1280" s="543" t="s">
        <v>5198</v>
      </c>
      <c r="L1280" s="542" t="s">
        <v>310</v>
      </c>
      <c r="M1280" s="570">
        <v>300000</v>
      </c>
      <c r="N1280" s="542" t="s">
        <v>1778</v>
      </c>
    </row>
    <row r="1281" spans="1:14">
      <c r="A1281" s="553">
        <v>8</v>
      </c>
      <c r="B1281" s="579" t="s">
        <v>20</v>
      </c>
      <c r="C1281" s="543" t="s">
        <v>5223</v>
      </c>
      <c r="D1281" s="542" t="s">
        <v>307</v>
      </c>
      <c r="E1281" s="542" t="s">
        <v>323</v>
      </c>
      <c r="F1281" s="542" t="s">
        <v>308</v>
      </c>
      <c r="G1281" s="543" t="s">
        <v>5137</v>
      </c>
      <c r="H1281" s="543" t="s">
        <v>355</v>
      </c>
      <c r="I1281" s="543" t="s">
        <v>4983</v>
      </c>
      <c r="J1281" s="542" t="s">
        <v>665</v>
      </c>
      <c r="K1281" s="542" t="s">
        <v>3222</v>
      </c>
      <c r="L1281" s="542"/>
      <c r="M1281" s="564">
        <v>1250000</v>
      </c>
      <c r="N1281" s="542"/>
    </row>
    <row r="1282" spans="1:14">
      <c r="A1282" s="553">
        <v>8</v>
      </c>
      <c r="B1282" s="579"/>
      <c r="C1282" s="543" t="s">
        <v>5223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5224</v>
      </c>
      <c r="J1282" s="542" t="s">
        <v>665</v>
      </c>
      <c r="K1282" s="542" t="s">
        <v>5188</v>
      </c>
      <c r="L1282" s="542"/>
      <c r="M1282" s="564">
        <v>1250000</v>
      </c>
      <c r="N1282" s="542"/>
    </row>
    <row r="1283" spans="1:14">
      <c r="A1283" s="553">
        <v>8</v>
      </c>
      <c r="B1283" s="579"/>
      <c r="C1283" s="543" t="s">
        <v>5225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5016</v>
      </c>
      <c r="L1283" s="542"/>
      <c r="M1283" s="564">
        <v>750000</v>
      </c>
      <c r="N1283" s="542"/>
    </row>
    <row r="1284" spans="1:14">
      <c r="A1284" s="553">
        <v>8</v>
      </c>
      <c r="B1284" s="579"/>
      <c r="C1284" s="543" t="s">
        <v>5226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4">
        <v>500000</v>
      </c>
      <c r="N1284" s="542"/>
    </row>
    <row r="1285" spans="1:14">
      <c r="A1285" s="553">
        <v>8</v>
      </c>
      <c r="B1285" s="579" t="s">
        <v>5242</v>
      </c>
      <c r="C1285" s="543" t="s">
        <v>5219</v>
      </c>
      <c r="D1285" s="542" t="s">
        <v>312</v>
      </c>
      <c r="E1285" s="542" t="s">
        <v>321</v>
      </c>
      <c r="F1285" s="543" t="s">
        <v>5149</v>
      </c>
      <c r="G1285" s="543">
        <v>222003</v>
      </c>
      <c r="H1285" s="543" t="s">
        <v>3105</v>
      </c>
      <c r="I1285" s="543" t="s">
        <v>5228</v>
      </c>
      <c r="J1285" s="543"/>
      <c r="K1285" s="543" t="s">
        <v>714</v>
      </c>
      <c r="L1285" s="542" t="s">
        <v>310</v>
      </c>
      <c r="M1285" s="570">
        <v>250000</v>
      </c>
      <c r="N1285" s="542" t="s">
        <v>5229</v>
      </c>
    </row>
    <row r="1286" spans="1:14">
      <c r="A1286" s="553">
        <v>8</v>
      </c>
      <c r="B1286" s="579"/>
      <c r="C1286" s="543" t="s">
        <v>5219</v>
      </c>
      <c r="D1286" s="542" t="s">
        <v>312</v>
      </c>
      <c r="E1286" s="542" t="s">
        <v>321</v>
      </c>
      <c r="F1286" s="543" t="s">
        <v>691</v>
      </c>
      <c r="G1286" s="543" t="s">
        <v>5230</v>
      </c>
      <c r="H1286" s="543" t="s">
        <v>5231</v>
      </c>
      <c r="I1286" s="543" t="s">
        <v>5232</v>
      </c>
      <c r="J1286" s="543"/>
      <c r="K1286" s="543" t="s">
        <v>699</v>
      </c>
      <c r="L1286" s="542" t="s">
        <v>310</v>
      </c>
      <c r="M1286" s="570">
        <v>250000</v>
      </c>
      <c r="N1286" s="542" t="s">
        <v>5229</v>
      </c>
    </row>
    <row r="1287" spans="1:14">
      <c r="A1287" s="553">
        <v>8</v>
      </c>
      <c r="B1287" s="579"/>
      <c r="C1287" s="543" t="s">
        <v>5233</v>
      </c>
      <c r="D1287" s="542" t="s">
        <v>312</v>
      </c>
      <c r="E1287" s="542" t="s">
        <v>321</v>
      </c>
      <c r="F1287" s="543" t="s">
        <v>691</v>
      </c>
      <c r="G1287" s="543" t="s">
        <v>5081</v>
      </c>
      <c r="H1287" s="543" t="s">
        <v>1199</v>
      </c>
      <c r="I1287" s="543" t="s">
        <v>5234</v>
      </c>
      <c r="J1287" s="543"/>
      <c r="K1287" s="543" t="s">
        <v>3232</v>
      </c>
      <c r="L1287" s="542" t="s">
        <v>310</v>
      </c>
      <c r="M1287" s="570">
        <v>300000</v>
      </c>
      <c r="N1287" s="542" t="s">
        <v>1207</v>
      </c>
    </row>
    <row r="1288" spans="1:14">
      <c r="A1288" s="553">
        <v>8</v>
      </c>
      <c r="B1288" s="579"/>
      <c r="C1288" s="543" t="s">
        <v>5235</v>
      </c>
      <c r="D1288" s="542" t="s">
        <v>312</v>
      </c>
      <c r="E1288" s="542" t="s">
        <v>321</v>
      </c>
      <c r="F1288" s="543" t="s">
        <v>691</v>
      </c>
      <c r="G1288" s="543" t="s">
        <v>5081</v>
      </c>
      <c r="H1288" s="543" t="s">
        <v>1199</v>
      </c>
      <c r="I1288" s="543" t="s">
        <v>5079</v>
      </c>
      <c r="J1288" s="543"/>
      <c r="K1288" s="543" t="s">
        <v>3232</v>
      </c>
      <c r="L1288" s="542" t="s">
        <v>310</v>
      </c>
      <c r="M1288" s="570">
        <v>300000</v>
      </c>
      <c r="N1288" s="542" t="s">
        <v>1207</v>
      </c>
    </row>
    <row r="1289" spans="1:14">
      <c r="A1289" s="553">
        <v>8</v>
      </c>
      <c r="B1289" s="579"/>
      <c r="C1289" s="584" t="s">
        <v>5235</v>
      </c>
      <c r="D1289" s="580" t="s">
        <v>312</v>
      </c>
      <c r="E1289" s="580" t="s">
        <v>676</v>
      </c>
      <c r="F1289" s="543" t="s">
        <v>5200</v>
      </c>
      <c r="G1289" s="554" t="s">
        <v>5202</v>
      </c>
      <c r="H1289" s="554" t="s">
        <v>348</v>
      </c>
      <c r="I1289" s="584" t="s">
        <v>5205</v>
      </c>
      <c r="J1289" s="584"/>
      <c r="K1289" s="584" t="s">
        <v>693</v>
      </c>
      <c r="L1289" s="580" t="s">
        <v>310</v>
      </c>
      <c r="M1289" s="585">
        <v>500000</v>
      </c>
      <c r="N1289" s="580" t="s">
        <v>5109</v>
      </c>
    </row>
    <row r="1290" spans="1:14" ht="19.5">
      <c r="A1290" s="553">
        <v>8</v>
      </c>
      <c r="B1290" s="579"/>
      <c r="C1290" s="584"/>
      <c r="D1290" s="580"/>
      <c r="E1290" s="580"/>
      <c r="F1290" s="543" t="s">
        <v>5201</v>
      </c>
      <c r="G1290" s="554" t="s">
        <v>5203</v>
      </c>
      <c r="H1290" s="556" t="s">
        <v>5204</v>
      </c>
      <c r="I1290" s="584"/>
      <c r="J1290" s="584"/>
      <c r="K1290" s="584"/>
      <c r="L1290" s="580"/>
      <c r="M1290" s="585"/>
      <c r="N1290" s="580"/>
    </row>
    <row r="1291" spans="1:14">
      <c r="A1291" s="553">
        <v>8</v>
      </c>
      <c r="B1291" s="579"/>
      <c r="C1291" s="584" t="s">
        <v>5236</v>
      </c>
      <c r="D1291" s="580" t="s">
        <v>312</v>
      </c>
      <c r="E1291" s="580" t="s">
        <v>321</v>
      </c>
      <c r="F1291" s="587" t="s">
        <v>710</v>
      </c>
      <c r="G1291" s="584" t="s">
        <v>3138</v>
      </c>
      <c r="H1291" s="584" t="s">
        <v>3139</v>
      </c>
      <c r="I1291" s="543" t="s">
        <v>5237</v>
      </c>
      <c r="J1291" s="584" t="s">
        <v>639</v>
      </c>
      <c r="K1291" s="584" t="s">
        <v>714</v>
      </c>
      <c r="L1291" s="580" t="s">
        <v>310</v>
      </c>
      <c r="M1291" s="585">
        <v>250000</v>
      </c>
      <c r="N1291" s="580" t="s">
        <v>5109</v>
      </c>
    </row>
    <row r="1292" spans="1:14">
      <c r="A1292" s="553">
        <v>8</v>
      </c>
      <c r="B1292" s="579"/>
      <c r="C1292" s="584"/>
      <c r="D1292" s="580"/>
      <c r="E1292" s="580"/>
      <c r="F1292" s="587"/>
      <c r="G1292" s="584"/>
      <c r="H1292" s="584"/>
      <c r="I1292" s="543" t="s">
        <v>5238</v>
      </c>
      <c r="J1292" s="584"/>
      <c r="K1292" s="584"/>
      <c r="L1292" s="580"/>
      <c r="M1292" s="585"/>
      <c r="N1292" s="580"/>
    </row>
    <row r="1293" spans="1:14">
      <c r="A1293" s="553">
        <v>8</v>
      </c>
      <c r="B1293" s="579"/>
      <c r="C1293" s="584" t="s">
        <v>5239</v>
      </c>
      <c r="D1293" s="580" t="s">
        <v>312</v>
      </c>
      <c r="E1293" s="580" t="s">
        <v>321</v>
      </c>
      <c r="F1293" s="584" t="s">
        <v>338</v>
      </c>
      <c r="G1293" s="584" t="s">
        <v>3208</v>
      </c>
      <c r="H1293" s="584" t="s">
        <v>3093</v>
      </c>
      <c r="I1293" s="543" t="s">
        <v>5240</v>
      </c>
      <c r="J1293" s="584" t="s">
        <v>639</v>
      </c>
      <c r="K1293" s="584" t="s">
        <v>693</v>
      </c>
      <c r="L1293" s="580" t="s">
        <v>310</v>
      </c>
      <c r="M1293" s="585">
        <v>500000</v>
      </c>
      <c r="N1293" s="580" t="s">
        <v>1207</v>
      </c>
    </row>
    <row r="1294" spans="1:14">
      <c r="A1294" s="553">
        <v>8</v>
      </c>
      <c r="B1294" s="579"/>
      <c r="C1294" s="584"/>
      <c r="D1294" s="580"/>
      <c r="E1294" s="580"/>
      <c r="F1294" s="584"/>
      <c r="G1294" s="584"/>
      <c r="H1294" s="584"/>
      <c r="I1294" s="543" t="s">
        <v>5241</v>
      </c>
      <c r="J1294" s="584"/>
      <c r="K1294" s="584"/>
      <c r="L1294" s="580"/>
      <c r="M1294" s="585"/>
      <c r="N1294" s="580"/>
    </row>
    <row r="1295" spans="1:14">
      <c r="A1295" s="553">
        <v>9</v>
      </c>
      <c r="B1295" s="579" t="s">
        <v>5249</v>
      </c>
      <c r="C1295" s="543" t="s">
        <v>5243</v>
      </c>
      <c r="D1295" s="542" t="s">
        <v>307</v>
      </c>
      <c r="E1295" s="542" t="s">
        <v>323</v>
      </c>
      <c r="F1295" s="542" t="s">
        <v>308</v>
      </c>
      <c r="G1295" s="543" t="s">
        <v>5171</v>
      </c>
      <c r="H1295" s="543" t="s">
        <v>5172</v>
      </c>
      <c r="I1295" s="543" t="s">
        <v>5136</v>
      </c>
      <c r="J1295" s="542" t="s">
        <v>665</v>
      </c>
      <c r="K1295" s="542" t="s">
        <v>1101</v>
      </c>
      <c r="L1295" s="542"/>
      <c r="M1295" s="564">
        <v>600000</v>
      </c>
      <c r="N1295" s="542" t="s">
        <v>5212</v>
      </c>
    </row>
    <row r="1296" spans="1:14">
      <c r="A1296" s="553">
        <v>9</v>
      </c>
      <c r="B1296" s="579"/>
      <c r="C1296" s="543" t="s">
        <v>5236</v>
      </c>
      <c r="D1296" s="542" t="s">
        <v>307</v>
      </c>
      <c r="E1296" s="542" t="s">
        <v>323</v>
      </c>
      <c r="F1296" s="542" t="s">
        <v>308</v>
      </c>
      <c r="G1296" s="543" t="s">
        <v>5128</v>
      </c>
      <c r="H1296" s="543" t="s">
        <v>5044</v>
      </c>
      <c r="I1296" s="543" t="s">
        <v>5136</v>
      </c>
      <c r="J1296" s="542" t="s">
        <v>665</v>
      </c>
      <c r="K1296" s="542" t="s">
        <v>5198</v>
      </c>
      <c r="L1296" s="542"/>
      <c r="M1296" s="564">
        <v>300000</v>
      </c>
      <c r="N1296" s="542" t="s">
        <v>5244</v>
      </c>
    </row>
    <row r="1297" spans="1:14">
      <c r="A1297" s="553">
        <v>9</v>
      </c>
      <c r="B1297" s="579"/>
      <c r="C1297" s="543" t="s">
        <v>5245</v>
      </c>
      <c r="D1297" s="542" t="s">
        <v>307</v>
      </c>
      <c r="E1297" s="542" t="s">
        <v>323</v>
      </c>
      <c r="F1297" s="542" t="s">
        <v>308</v>
      </c>
      <c r="G1297" s="543" t="s">
        <v>5246</v>
      </c>
      <c r="H1297" s="543" t="s">
        <v>663</v>
      </c>
      <c r="I1297" s="543" t="s">
        <v>1097</v>
      </c>
      <c r="J1297" s="542" t="s">
        <v>665</v>
      </c>
      <c r="K1297" s="542" t="s">
        <v>5048</v>
      </c>
      <c r="L1297" s="542"/>
      <c r="M1297" s="564">
        <v>500000</v>
      </c>
      <c r="N1297" s="542"/>
    </row>
    <row r="1298" spans="1:14">
      <c r="A1298" s="553">
        <v>9</v>
      </c>
      <c r="B1298" s="579"/>
      <c r="C1298" s="543" t="s">
        <v>5247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5095</v>
      </c>
      <c r="J1298" s="542" t="s">
        <v>665</v>
      </c>
      <c r="K1298" s="542" t="s">
        <v>5048</v>
      </c>
      <c r="L1298" s="542"/>
      <c r="M1298" s="564">
        <v>500000</v>
      </c>
      <c r="N1298" s="542"/>
    </row>
    <row r="1299" spans="1:14">
      <c r="A1299" s="553">
        <v>9</v>
      </c>
      <c r="B1299" s="579"/>
      <c r="C1299" s="543" t="s">
        <v>5248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5038</v>
      </c>
      <c r="L1299" s="542"/>
      <c r="M1299" s="564">
        <v>1000000</v>
      </c>
      <c r="N1299" s="542"/>
    </row>
    <row r="1300" spans="1:14">
      <c r="A1300" s="553">
        <v>9</v>
      </c>
      <c r="B1300" s="579"/>
      <c r="C1300" s="543" t="s">
        <v>5245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4983</v>
      </c>
      <c r="J1300" s="542" t="s">
        <v>665</v>
      </c>
      <c r="K1300" s="542" t="s">
        <v>3141</v>
      </c>
      <c r="L1300" s="542"/>
      <c r="M1300" s="564">
        <v>500000</v>
      </c>
      <c r="N1300" s="542"/>
    </row>
    <row r="1301" spans="1:14">
      <c r="A1301" s="553">
        <v>9</v>
      </c>
      <c r="B1301" s="579"/>
      <c r="C1301" s="543" t="s">
        <v>5247</v>
      </c>
      <c r="D1301" s="542" t="s">
        <v>307</v>
      </c>
      <c r="E1301" s="542" t="s">
        <v>323</v>
      </c>
      <c r="F1301" s="542" t="s">
        <v>308</v>
      </c>
      <c r="G1301" s="543" t="s">
        <v>5010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4">
        <v>500000</v>
      </c>
      <c r="N1301" s="542"/>
    </row>
    <row r="1302" spans="1:14">
      <c r="A1302" s="553">
        <v>9</v>
      </c>
      <c r="B1302" s="579" t="s">
        <v>5279</v>
      </c>
      <c r="C1302" s="543" t="s">
        <v>5250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5251</v>
      </c>
      <c r="J1302" s="543"/>
      <c r="K1302" s="543" t="s">
        <v>693</v>
      </c>
      <c r="L1302" s="542" t="s">
        <v>310</v>
      </c>
      <c r="M1302" s="570">
        <v>600000</v>
      </c>
      <c r="N1302" s="542" t="s">
        <v>5252</v>
      </c>
    </row>
    <row r="1303" spans="1:14">
      <c r="A1303" s="553">
        <v>9</v>
      </c>
      <c r="B1303" s="579"/>
      <c r="C1303" s="543" t="s">
        <v>5239</v>
      </c>
      <c r="D1303" s="542" t="s">
        <v>312</v>
      </c>
      <c r="E1303" s="542" t="s">
        <v>676</v>
      </c>
      <c r="F1303" s="543" t="s">
        <v>5253</v>
      </c>
      <c r="G1303" s="543" t="s">
        <v>404</v>
      </c>
      <c r="H1303" s="543" t="s">
        <v>5106</v>
      </c>
      <c r="I1303" s="543" t="s">
        <v>5254</v>
      </c>
      <c r="J1303" s="543"/>
      <c r="K1303" s="543" t="s">
        <v>5008</v>
      </c>
      <c r="L1303" s="542" t="s">
        <v>310</v>
      </c>
      <c r="M1303" s="570">
        <v>600000</v>
      </c>
      <c r="N1303" s="542" t="s">
        <v>5252</v>
      </c>
    </row>
    <row r="1304" spans="1:14">
      <c r="A1304" s="553">
        <v>9</v>
      </c>
      <c r="B1304" s="579"/>
      <c r="C1304" s="584" t="s">
        <v>5255</v>
      </c>
      <c r="D1304" s="580" t="s">
        <v>312</v>
      </c>
      <c r="E1304" s="580" t="s">
        <v>321</v>
      </c>
      <c r="F1304" s="584" t="s">
        <v>338</v>
      </c>
      <c r="G1304" s="584" t="s">
        <v>3208</v>
      </c>
      <c r="H1304" s="584" t="s">
        <v>3093</v>
      </c>
      <c r="I1304" s="555" t="s">
        <v>5256</v>
      </c>
      <c r="J1304" s="584" t="s">
        <v>639</v>
      </c>
      <c r="K1304" s="584" t="s">
        <v>714</v>
      </c>
      <c r="L1304" s="580" t="s">
        <v>310</v>
      </c>
      <c r="M1304" s="585">
        <v>250000</v>
      </c>
      <c r="N1304" s="580" t="s">
        <v>5109</v>
      </c>
    </row>
    <row r="1305" spans="1:14">
      <c r="A1305" s="553">
        <v>9</v>
      </c>
      <c r="B1305" s="579"/>
      <c r="C1305" s="584"/>
      <c r="D1305" s="580"/>
      <c r="E1305" s="580"/>
      <c r="F1305" s="584"/>
      <c r="G1305" s="584"/>
      <c r="H1305" s="584"/>
      <c r="I1305" s="555" t="s">
        <v>5257</v>
      </c>
      <c r="J1305" s="584"/>
      <c r="K1305" s="584"/>
      <c r="L1305" s="580"/>
      <c r="M1305" s="585"/>
      <c r="N1305" s="580"/>
    </row>
    <row r="1306" spans="1:14">
      <c r="A1306" s="553">
        <v>9</v>
      </c>
      <c r="B1306" s="579"/>
      <c r="C1306" s="584" t="s">
        <v>5255</v>
      </c>
      <c r="D1306" s="580" t="s">
        <v>312</v>
      </c>
      <c r="E1306" s="580" t="s">
        <v>321</v>
      </c>
      <c r="F1306" s="584" t="s">
        <v>5258</v>
      </c>
      <c r="G1306" s="543" t="s">
        <v>690</v>
      </c>
      <c r="H1306" s="584" t="s">
        <v>5260</v>
      </c>
      <c r="I1306" s="543" t="s">
        <v>5261</v>
      </c>
      <c r="J1306" s="584"/>
      <c r="K1306" s="584" t="s">
        <v>714</v>
      </c>
      <c r="L1306" s="580" t="s">
        <v>310</v>
      </c>
      <c r="M1306" s="585">
        <v>250000</v>
      </c>
      <c r="N1306" s="580" t="s">
        <v>5109</v>
      </c>
    </row>
    <row r="1307" spans="1:14">
      <c r="A1307" s="553">
        <v>9</v>
      </c>
      <c r="B1307" s="579"/>
      <c r="C1307" s="584"/>
      <c r="D1307" s="580"/>
      <c r="E1307" s="580"/>
      <c r="F1307" s="584"/>
      <c r="G1307" s="543" t="s">
        <v>5259</v>
      </c>
      <c r="H1307" s="584"/>
      <c r="I1307" s="543" t="s">
        <v>5262</v>
      </c>
      <c r="J1307" s="584"/>
      <c r="K1307" s="584"/>
      <c r="L1307" s="580"/>
      <c r="M1307" s="585"/>
      <c r="N1307" s="580"/>
    </row>
    <row r="1308" spans="1:14">
      <c r="A1308" s="553">
        <v>9</v>
      </c>
      <c r="B1308" s="579"/>
      <c r="C1308" s="543" t="s">
        <v>5255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5" t="s">
        <v>5263</v>
      </c>
      <c r="J1308" s="543"/>
      <c r="K1308" s="543" t="s">
        <v>3232</v>
      </c>
      <c r="L1308" s="542" t="s">
        <v>310</v>
      </c>
      <c r="M1308" s="570">
        <v>300000</v>
      </c>
      <c r="N1308" s="542" t="s">
        <v>1931</v>
      </c>
    </row>
    <row r="1309" spans="1:14">
      <c r="A1309" s="553">
        <v>9</v>
      </c>
      <c r="B1309" s="579"/>
      <c r="C1309" s="584" t="s">
        <v>5264</v>
      </c>
      <c r="D1309" s="580" t="s">
        <v>312</v>
      </c>
      <c r="E1309" s="580" t="s">
        <v>321</v>
      </c>
      <c r="F1309" s="584" t="s">
        <v>338</v>
      </c>
      <c r="G1309" s="543" t="s">
        <v>3444</v>
      </c>
      <c r="H1309" s="584" t="s">
        <v>5106</v>
      </c>
      <c r="I1309" s="584" t="s">
        <v>5266</v>
      </c>
      <c r="J1309" s="584"/>
      <c r="K1309" s="584" t="s">
        <v>693</v>
      </c>
      <c r="L1309" s="580" t="s">
        <v>310</v>
      </c>
      <c r="M1309" s="585">
        <v>500000</v>
      </c>
      <c r="N1309" s="580" t="s">
        <v>5109</v>
      </c>
    </row>
    <row r="1310" spans="1:14">
      <c r="A1310" s="553">
        <v>9</v>
      </c>
      <c r="B1310" s="579"/>
      <c r="C1310" s="584"/>
      <c r="D1310" s="580"/>
      <c r="E1310" s="580"/>
      <c r="F1310" s="584"/>
      <c r="G1310" s="543" t="s">
        <v>5265</v>
      </c>
      <c r="H1310" s="584"/>
      <c r="I1310" s="584"/>
      <c r="J1310" s="584"/>
      <c r="K1310" s="584"/>
      <c r="L1310" s="580"/>
      <c r="M1310" s="585"/>
      <c r="N1310" s="580"/>
    </row>
    <row r="1311" spans="1:14" ht="24">
      <c r="A1311" s="553">
        <v>9</v>
      </c>
      <c r="B1311" s="579"/>
      <c r="C1311" s="543" t="s">
        <v>5267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5" t="s">
        <v>5268</v>
      </c>
      <c r="J1311" s="543"/>
      <c r="K1311" s="543" t="s">
        <v>732</v>
      </c>
      <c r="L1311" s="542" t="s">
        <v>310</v>
      </c>
      <c r="M1311" s="570">
        <v>300000</v>
      </c>
      <c r="N1311" s="542" t="s">
        <v>5109</v>
      </c>
    </row>
    <row r="1312" spans="1:14">
      <c r="A1312" s="553">
        <v>9</v>
      </c>
      <c r="B1312" s="579"/>
      <c r="C1312" s="584" t="s">
        <v>5269</v>
      </c>
      <c r="D1312" s="580" t="s">
        <v>312</v>
      </c>
      <c r="E1312" s="580" t="s">
        <v>676</v>
      </c>
      <c r="F1312" s="584" t="s">
        <v>5270</v>
      </c>
      <c r="G1312" s="554" t="s">
        <v>1925</v>
      </c>
      <c r="H1312" s="584" t="s">
        <v>348</v>
      </c>
      <c r="I1312" s="584" t="s">
        <v>5272</v>
      </c>
      <c r="J1312" s="584"/>
      <c r="K1312" s="584" t="s">
        <v>693</v>
      </c>
      <c r="L1312" s="580" t="s">
        <v>310</v>
      </c>
      <c r="M1312" s="586">
        <v>500000</v>
      </c>
      <c r="N1312" s="580" t="s">
        <v>1931</v>
      </c>
    </row>
    <row r="1313" spans="1:14">
      <c r="A1313" s="553">
        <v>9</v>
      </c>
      <c r="B1313" s="579"/>
      <c r="C1313" s="584"/>
      <c r="D1313" s="580"/>
      <c r="E1313" s="580"/>
      <c r="F1313" s="584"/>
      <c r="G1313" s="554" t="s">
        <v>5271</v>
      </c>
      <c r="H1313" s="584"/>
      <c r="I1313" s="584"/>
      <c r="J1313" s="584"/>
      <c r="K1313" s="584"/>
      <c r="L1313" s="580"/>
      <c r="M1313" s="586"/>
      <c r="N1313" s="580"/>
    </row>
    <row r="1314" spans="1:14">
      <c r="A1314" s="553">
        <v>10</v>
      </c>
      <c r="B1314" s="579" t="s">
        <v>5249</v>
      </c>
      <c r="C1314" s="543" t="s">
        <v>5273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5046</v>
      </c>
      <c r="L1314" s="542"/>
      <c r="M1314" s="564">
        <v>750000</v>
      </c>
      <c r="N1314" s="542"/>
    </row>
    <row r="1315" spans="1:14">
      <c r="A1315" s="553">
        <v>10</v>
      </c>
      <c r="B1315" s="579"/>
      <c r="C1315" s="543" t="s">
        <v>5274</v>
      </c>
      <c r="D1315" s="542" t="s">
        <v>307</v>
      </c>
      <c r="E1315" s="542" t="s">
        <v>323</v>
      </c>
      <c r="F1315" s="542" t="s">
        <v>308</v>
      </c>
      <c r="G1315" s="543" t="s">
        <v>5275</v>
      </c>
      <c r="H1315" s="543" t="s">
        <v>5276</v>
      </c>
      <c r="I1315" s="543" t="s">
        <v>5277</v>
      </c>
      <c r="J1315" s="542" t="s">
        <v>665</v>
      </c>
      <c r="K1315" s="542" t="s">
        <v>5048</v>
      </c>
      <c r="L1315" s="542"/>
      <c r="M1315" s="564">
        <v>500000</v>
      </c>
      <c r="N1315" s="542"/>
    </row>
    <row r="1316" spans="1:14">
      <c r="A1316" s="553">
        <v>10</v>
      </c>
      <c r="B1316" s="579"/>
      <c r="C1316" s="543" t="s">
        <v>5278</v>
      </c>
      <c r="D1316" s="542" t="s">
        <v>307</v>
      </c>
      <c r="E1316" s="542" t="s">
        <v>323</v>
      </c>
      <c r="F1316" s="542" t="s">
        <v>308</v>
      </c>
      <c r="G1316" s="543" t="s">
        <v>5041</v>
      </c>
      <c r="H1316" s="543" t="s">
        <v>348</v>
      </c>
      <c r="I1316" s="543" t="s">
        <v>4983</v>
      </c>
      <c r="J1316" s="542" t="s">
        <v>665</v>
      </c>
      <c r="K1316" s="542" t="s">
        <v>3222</v>
      </c>
      <c r="L1316" s="542"/>
      <c r="M1316" s="564">
        <v>1250000</v>
      </c>
      <c r="N1316" s="542"/>
    </row>
    <row r="1317" spans="1:14">
      <c r="A1317" s="553">
        <v>10</v>
      </c>
      <c r="B1317" s="579"/>
      <c r="C1317" s="543" t="s">
        <v>5278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4">
        <v>1250000</v>
      </c>
      <c r="N1317" s="542"/>
    </row>
    <row r="1318" spans="1:14">
      <c r="A1318" s="553">
        <v>10</v>
      </c>
      <c r="B1318" s="579" t="s">
        <v>5124</v>
      </c>
      <c r="C1318" s="543" t="s">
        <v>5264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5" t="s">
        <v>5280</v>
      </c>
      <c r="J1318" s="543"/>
      <c r="K1318" s="543" t="s">
        <v>732</v>
      </c>
      <c r="L1318" s="542" t="s">
        <v>310</v>
      </c>
      <c r="M1318" s="570">
        <v>300000</v>
      </c>
      <c r="N1318" s="542" t="s">
        <v>5281</v>
      </c>
    </row>
    <row r="1319" spans="1:14">
      <c r="A1319" s="553">
        <v>10</v>
      </c>
      <c r="B1319" s="579"/>
      <c r="C1319" s="543" t="s">
        <v>5267</v>
      </c>
      <c r="D1319" s="542" t="s">
        <v>312</v>
      </c>
      <c r="E1319" s="542" t="s">
        <v>321</v>
      </c>
      <c r="F1319" s="554" t="s">
        <v>338</v>
      </c>
      <c r="G1319" s="543" t="s">
        <v>3090</v>
      </c>
      <c r="H1319" s="543" t="s">
        <v>3093</v>
      </c>
      <c r="I1319" s="543" t="s">
        <v>5282</v>
      </c>
      <c r="J1319" s="543" t="s">
        <v>639</v>
      </c>
      <c r="K1319" s="543" t="s">
        <v>693</v>
      </c>
      <c r="L1319" s="542" t="s">
        <v>310</v>
      </c>
      <c r="M1319" s="570">
        <v>500000</v>
      </c>
      <c r="N1319" s="542" t="s">
        <v>5281</v>
      </c>
    </row>
    <row r="1320" spans="1:14" ht="25.5">
      <c r="A1320" s="553">
        <v>10</v>
      </c>
      <c r="B1320" s="579"/>
      <c r="C1320" s="543" t="s">
        <v>5269</v>
      </c>
      <c r="D1320" s="542" t="s">
        <v>312</v>
      </c>
      <c r="E1320" s="542" t="s">
        <v>676</v>
      </c>
      <c r="F1320" s="543" t="s">
        <v>5283</v>
      </c>
      <c r="G1320" s="543">
        <v>7064</v>
      </c>
      <c r="H1320" s="543" t="s">
        <v>1239</v>
      </c>
      <c r="I1320" s="543" t="s">
        <v>5284</v>
      </c>
      <c r="J1320" s="543" t="s">
        <v>703</v>
      </c>
      <c r="K1320" s="543" t="s">
        <v>732</v>
      </c>
      <c r="L1320" s="542" t="s">
        <v>310</v>
      </c>
      <c r="M1320" s="570">
        <v>300000</v>
      </c>
      <c r="N1320" s="542" t="s">
        <v>5281</v>
      </c>
    </row>
    <row r="1321" spans="1:14">
      <c r="A1321" s="553">
        <v>10</v>
      </c>
      <c r="B1321" s="579"/>
      <c r="C1321" s="584" t="s">
        <v>5285</v>
      </c>
      <c r="D1321" s="580" t="s">
        <v>312</v>
      </c>
      <c r="E1321" s="580" t="s">
        <v>321</v>
      </c>
      <c r="F1321" s="584" t="s">
        <v>338</v>
      </c>
      <c r="G1321" s="584" t="s">
        <v>3208</v>
      </c>
      <c r="H1321" s="584" t="s">
        <v>3093</v>
      </c>
      <c r="I1321" s="555" t="s">
        <v>5256</v>
      </c>
      <c r="J1321" s="584" t="s">
        <v>639</v>
      </c>
      <c r="K1321" s="584" t="s">
        <v>706</v>
      </c>
      <c r="L1321" s="580" t="s">
        <v>310</v>
      </c>
      <c r="M1321" s="585">
        <v>500000</v>
      </c>
      <c r="N1321" s="580" t="s">
        <v>1207</v>
      </c>
    </row>
    <row r="1322" spans="1:14">
      <c r="A1322" s="553">
        <v>10</v>
      </c>
      <c r="B1322" s="579"/>
      <c r="C1322" s="584"/>
      <c r="D1322" s="580"/>
      <c r="E1322" s="580"/>
      <c r="F1322" s="584"/>
      <c r="G1322" s="584"/>
      <c r="H1322" s="584"/>
      <c r="I1322" s="555" t="s">
        <v>5257</v>
      </c>
      <c r="J1322" s="584"/>
      <c r="K1322" s="584"/>
      <c r="L1322" s="580"/>
      <c r="M1322" s="585"/>
      <c r="N1322" s="580"/>
    </row>
    <row r="1323" spans="1:14">
      <c r="A1323" s="553">
        <v>10</v>
      </c>
      <c r="B1323" s="579"/>
      <c r="C1323" s="543" t="s">
        <v>5286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5287</v>
      </c>
      <c r="J1323" s="543" t="s">
        <v>639</v>
      </c>
      <c r="K1323" s="543" t="s">
        <v>5288</v>
      </c>
      <c r="L1323" s="542" t="s">
        <v>310</v>
      </c>
      <c r="M1323" s="570">
        <v>250000</v>
      </c>
      <c r="N1323" s="542" t="s">
        <v>5109</v>
      </c>
    </row>
    <row r="1324" spans="1:14">
      <c r="A1324" s="553">
        <v>10</v>
      </c>
      <c r="B1324" s="579"/>
      <c r="C1324" s="543" t="s">
        <v>5286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5289</v>
      </c>
      <c r="J1324" s="543" t="s">
        <v>639</v>
      </c>
      <c r="K1324" s="543" t="s">
        <v>714</v>
      </c>
      <c r="L1324" s="542" t="s">
        <v>310</v>
      </c>
      <c r="M1324" s="570">
        <v>250000</v>
      </c>
      <c r="N1324" s="542" t="s">
        <v>5109</v>
      </c>
    </row>
    <row r="1325" spans="1:14">
      <c r="A1325" s="553">
        <v>10</v>
      </c>
      <c r="B1325" s="579"/>
      <c r="C1325" s="543" t="s">
        <v>5286</v>
      </c>
      <c r="D1325" s="542" t="s">
        <v>312</v>
      </c>
      <c r="E1325" s="542" t="s">
        <v>676</v>
      </c>
      <c r="F1325" s="543" t="s">
        <v>721</v>
      </c>
      <c r="G1325" s="543" t="s">
        <v>5290</v>
      </c>
      <c r="H1325" s="543" t="s">
        <v>731</v>
      </c>
      <c r="I1325" s="543" t="s">
        <v>5291</v>
      </c>
      <c r="J1325" s="543" t="s">
        <v>639</v>
      </c>
      <c r="K1325" s="543" t="s">
        <v>714</v>
      </c>
      <c r="L1325" s="542" t="s">
        <v>310</v>
      </c>
      <c r="M1325" s="570">
        <v>250000</v>
      </c>
      <c r="N1325" s="542" t="s">
        <v>5109</v>
      </c>
    </row>
    <row r="1326" spans="1:14">
      <c r="A1326" s="553">
        <v>10</v>
      </c>
      <c r="B1326" s="579"/>
      <c r="C1326" s="584" t="s">
        <v>5286</v>
      </c>
      <c r="D1326" s="580" t="s">
        <v>312</v>
      </c>
      <c r="E1326" s="580" t="s">
        <v>321</v>
      </c>
      <c r="F1326" s="584" t="s">
        <v>338</v>
      </c>
      <c r="G1326" s="584" t="s">
        <v>3208</v>
      </c>
      <c r="H1326" s="584" t="s">
        <v>3093</v>
      </c>
      <c r="I1326" s="555" t="s">
        <v>5256</v>
      </c>
      <c r="J1326" s="584"/>
      <c r="K1326" s="584" t="s">
        <v>706</v>
      </c>
      <c r="L1326" s="580" t="s">
        <v>310</v>
      </c>
      <c r="M1326" s="585">
        <v>500000</v>
      </c>
      <c r="N1326" s="580" t="s">
        <v>1207</v>
      </c>
    </row>
    <row r="1327" spans="1:14">
      <c r="A1327" s="553">
        <v>10</v>
      </c>
      <c r="B1327" s="579"/>
      <c r="C1327" s="584"/>
      <c r="D1327" s="580"/>
      <c r="E1327" s="580"/>
      <c r="F1327" s="584"/>
      <c r="G1327" s="584"/>
      <c r="H1327" s="584"/>
      <c r="I1327" s="555" t="s">
        <v>5257</v>
      </c>
      <c r="J1327" s="584"/>
      <c r="K1327" s="584"/>
      <c r="L1327" s="580"/>
      <c r="M1327" s="585"/>
      <c r="N1327" s="580"/>
    </row>
    <row r="1328" spans="1:14" ht="25.5">
      <c r="A1328" s="553">
        <v>10</v>
      </c>
      <c r="B1328" s="579"/>
      <c r="C1328" s="543" t="s">
        <v>5286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5292</v>
      </c>
      <c r="J1328" s="543"/>
      <c r="K1328" s="543" t="s">
        <v>5293</v>
      </c>
      <c r="L1328" s="542" t="s">
        <v>310</v>
      </c>
      <c r="M1328" s="570">
        <v>600000</v>
      </c>
      <c r="N1328" s="542" t="s">
        <v>5109</v>
      </c>
    </row>
    <row r="1329" spans="1:14">
      <c r="A1329" s="553">
        <v>10</v>
      </c>
      <c r="B1329" s="579"/>
      <c r="C1329" s="584" t="s">
        <v>5294</v>
      </c>
      <c r="D1329" s="580" t="s">
        <v>312</v>
      </c>
      <c r="E1329" s="580" t="s">
        <v>676</v>
      </c>
      <c r="F1329" s="543" t="s">
        <v>5295</v>
      </c>
      <c r="G1329" s="584" t="s">
        <v>5297</v>
      </c>
      <c r="H1329" s="584" t="s">
        <v>663</v>
      </c>
      <c r="I1329" s="584" t="s">
        <v>5298</v>
      </c>
      <c r="J1329" s="584" t="s">
        <v>639</v>
      </c>
      <c r="K1329" s="584" t="s">
        <v>714</v>
      </c>
      <c r="L1329" s="580" t="s">
        <v>310</v>
      </c>
      <c r="M1329" s="585">
        <v>250000</v>
      </c>
      <c r="N1329" s="580" t="s">
        <v>5109</v>
      </c>
    </row>
    <row r="1330" spans="1:14">
      <c r="A1330" s="553">
        <v>10</v>
      </c>
      <c r="B1330" s="579"/>
      <c r="C1330" s="584"/>
      <c r="D1330" s="580"/>
      <c r="E1330" s="580"/>
      <c r="F1330" s="543" t="s">
        <v>5296</v>
      </c>
      <c r="G1330" s="584"/>
      <c r="H1330" s="584"/>
      <c r="I1330" s="584"/>
      <c r="J1330" s="584"/>
      <c r="K1330" s="584"/>
      <c r="L1330" s="580"/>
      <c r="M1330" s="585"/>
      <c r="N1330" s="580"/>
    </row>
    <row r="1331" spans="1:14">
      <c r="A1331" s="553">
        <v>10</v>
      </c>
      <c r="B1331" s="579"/>
      <c r="C1331" s="584" t="s">
        <v>5299</v>
      </c>
      <c r="D1331" s="580" t="s">
        <v>312</v>
      </c>
      <c r="E1331" s="580" t="s">
        <v>676</v>
      </c>
      <c r="F1331" s="584" t="s">
        <v>5300</v>
      </c>
      <c r="G1331" s="554" t="s">
        <v>5203</v>
      </c>
      <c r="H1331" s="581" t="s">
        <v>348</v>
      </c>
      <c r="I1331" s="543" t="s">
        <v>5302</v>
      </c>
      <c r="J1331" s="584"/>
      <c r="K1331" s="584" t="s">
        <v>693</v>
      </c>
      <c r="L1331" s="580" t="s">
        <v>310</v>
      </c>
      <c r="M1331" s="585">
        <v>500000</v>
      </c>
      <c r="N1331" s="580" t="s">
        <v>5109</v>
      </c>
    </row>
    <row r="1332" spans="1:14">
      <c r="A1332" s="553">
        <v>10</v>
      </c>
      <c r="B1332" s="579"/>
      <c r="C1332" s="584"/>
      <c r="D1332" s="580"/>
      <c r="E1332" s="580"/>
      <c r="F1332" s="584"/>
      <c r="G1332" s="554" t="s">
        <v>5301</v>
      </c>
      <c r="H1332" s="581"/>
      <c r="I1332" s="543" t="s">
        <v>5303</v>
      </c>
      <c r="J1332" s="584"/>
      <c r="K1332" s="584"/>
      <c r="L1332" s="580"/>
      <c r="M1332" s="585"/>
      <c r="N1332" s="580"/>
    </row>
    <row r="1333" spans="1:14">
      <c r="A1333" s="553">
        <v>11</v>
      </c>
      <c r="B1333" s="579" t="s">
        <v>5323</v>
      </c>
      <c r="C1333" s="555" t="s">
        <v>5304</v>
      </c>
      <c r="D1333" s="557" t="s">
        <v>307</v>
      </c>
      <c r="E1333" s="557" t="s">
        <v>323</v>
      </c>
      <c r="F1333" s="557" t="s">
        <v>308</v>
      </c>
      <c r="G1333" s="555">
        <v>7062</v>
      </c>
      <c r="H1333" s="555" t="s">
        <v>1820</v>
      </c>
      <c r="I1333" s="555" t="s">
        <v>5305</v>
      </c>
      <c r="J1333" s="557" t="s">
        <v>665</v>
      </c>
      <c r="K1333" s="557" t="s">
        <v>5198</v>
      </c>
      <c r="L1333" s="557"/>
      <c r="M1333" s="560">
        <v>300000</v>
      </c>
      <c r="N1333" s="557" t="s">
        <v>5306</v>
      </c>
    </row>
    <row r="1334" spans="1:14">
      <c r="A1334" s="553">
        <v>11</v>
      </c>
      <c r="B1334" s="579"/>
      <c r="C1334" s="555" t="s">
        <v>5307</v>
      </c>
      <c r="D1334" s="557" t="s">
        <v>307</v>
      </c>
      <c r="E1334" s="557" t="s">
        <v>323</v>
      </c>
      <c r="F1334" s="557" t="s">
        <v>308</v>
      </c>
      <c r="G1334" s="555" t="s">
        <v>5010</v>
      </c>
      <c r="H1334" s="555" t="s">
        <v>3215</v>
      </c>
      <c r="I1334" s="555" t="s">
        <v>1097</v>
      </c>
      <c r="J1334" s="557" t="s">
        <v>665</v>
      </c>
      <c r="K1334" s="557" t="s">
        <v>5188</v>
      </c>
      <c r="L1334" s="557"/>
      <c r="M1334" s="560">
        <v>1250000</v>
      </c>
      <c r="N1334" s="557"/>
    </row>
    <row r="1335" spans="1:14">
      <c r="A1335" s="553">
        <v>11</v>
      </c>
      <c r="B1335" s="579"/>
      <c r="C1335" s="555" t="s">
        <v>5307</v>
      </c>
      <c r="D1335" s="557" t="s">
        <v>307</v>
      </c>
      <c r="E1335" s="557" t="s">
        <v>323</v>
      </c>
      <c r="F1335" s="557" t="s">
        <v>308</v>
      </c>
      <c r="G1335" s="555" t="s">
        <v>5010</v>
      </c>
      <c r="H1335" s="555" t="s">
        <v>3215</v>
      </c>
      <c r="I1335" s="555" t="s">
        <v>5308</v>
      </c>
      <c r="J1335" s="557" t="s">
        <v>665</v>
      </c>
      <c r="K1335" s="557" t="s">
        <v>5309</v>
      </c>
      <c r="L1335" s="557"/>
      <c r="M1335" s="560">
        <v>750000</v>
      </c>
      <c r="N1335" s="557"/>
    </row>
    <row r="1336" spans="1:14">
      <c r="A1336" s="553">
        <v>11</v>
      </c>
      <c r="B1336" s="579"/>
      <c r="C1336" s="555" t="s">
        <v>5307</v>
      </c>
      <c r="D1336" s="557" t="s">
        <v>307</v>
      </c>
      <c r="E1336" s="557" t="s">
        <v>323</v>
      </c>
      <c r="F1336" s="557" t="s">
        <v>308</v>
      </c>
      <c r="G1336" s="555" t="s">
        <v>5010</v>
      </c>
      <c r="H1336" s="555" t="s">
        <v>3215</v>
      </c>
      <c r="I1336" s="555" t="s">
        <v>5277</v>
      </c>
      <c r="J1336" s="557" t="s">
        <v>665</v>
      </c>
      <c r="K1336" s="557" t="s">
        <v>5310</v>
      </c>
      <c r="L1336" s="557"/>
      <c r="M1336" s="560">
        <v>500000</v>
      </c>
      <c r="N1336" s="557"/>
    </row>
    <row r="1337" spans="1:14">
      <c r="A1337" s="553">
        <v>11</v>
      </c>
      <c r="B1337" s="579"/>
      <c r="C1337" s="555" t="s">
        <v>5307</v>
      </c>
      <c r="D1337" s="557" t="s">
        <v>307</v>
      </c>
      <c r="E1337" s="557" t="s">
        <v>323</v>
      </c>
      <c r="F1337" s="557" t="s">
        <v>308</v>
      </c>
      <c r="G1337" s="555" t="s">
        <v>5311</v>
      </c>
      <c r="H1337" s="555" t="s">
        <v>3153</v>
      </c>
      <c r="I1337" s="555" t="s">
        <v>4983</v>
      </c>
      <c r="J1337" s="557" t="s">
        <v>665</v>
      </c>
      <c r="K1337" s="557" t="s">
        <v>3222</v>
      </c>
      <c r="L1337" s="557"/>
      <c r="M1337" s="560">
        <v>1250000</v>
      </c>
      <c r="N1337" s="557"/>
    </row>
    <row r="1338" spans="1:14">
      <c r="A1338" s="553">
        <v>11</v>
      </c>
      <c r="B1338" s="579"/>
      <c r="C1338" s="555" t="s">
        <v>5307</v>
      </c>
      <c r="D1338" s="557" t="s">
        <v>307</v>
      </c>
      <c r="E1338" s="557" t="s">
        <v>323</v>
      </c>
      <c r="F1338" s="557" t="s">
        <v>308</v>
      </c>
      <c r="G1338" s="555">
        <v>7062</v>
      </c>
      <c r="H1338" s="555" t="s">
        <v>348</v>
      </c>
      <c r="I1338" s="555" t="s">
        <v>4983</v>
      </c>
      <c r="J1338" s="557" t="s">
        <v>665</v>
      </c>
      <c r="K1338" s="557" t="s">
        <v>693</v>
      </c>
      <c r="L1338" s="557"/>
      <c r="M1338" s="560">
        <v>500000</v>
      </c>
      <c r="N1338" s="557"/>
    </row>
    <row r="1339" spans="1:14">
      <c r="A1339" s="553">
        <v>11</v>
      </c>
      <c r="B1339" s="579" t="s">
        <v>5242</v>
      </c>
      <c r="C1339" s="581" t="s">
        <v>5304</v>
      </c>
      <c r="D1339" s="582" t="s">
        <v>312</v>
      </c>
      <c r="E1339" s="582" t="s">
        <v>676</v>
      </c>
      <c r="F1339" s="581" t="s">
        <v>5300</v>
      </c>
      <c r="G1339" s="555" t="s">
        <v>5203</v>
      </c>
      <c r="H1339" s="581" t="s">
        <v>348</v>
      </c>
      <c r="I1339" s="555" t="s">
        <v>5302</v>
      </c>
      <c r="J1339" s="581"/>
      <c r="K1339" s="581" t="s">
        <v>693</v>
      </c>
      <c r="L1339" s="582" t="s">
        <v>310</v>
      </c>
      <c r="M1339" s="583">
        <v>500000</v>
      </c>
      <c r="N1339" s="581" t="s">
        <v>5312</v>
      </c>
    </row>
    <row r="1340" spans="1:14">
      <c r="A1340" s="553">
        <v>11</v>
      </c>
      <c r="B1340" s="579"/>
      <c r="C1340" s="581"/>
      <c r="D1340" s="582"/>
      <c r="E1340" s="582"/>
      <c r="F1340" s="581"/>
      <c r="G1340" s="555" t="s">
        <v>5301</v>
      </c>
      <c r="H1340" s="581"/>
      <c r="I1340" s="555" t="s">
        <v>5303</v>
      </c>
      <c r="J1340" s="581"/>
      <c r="K1340" s="581"/>
      <c r="L1340" s="582"/>
      <c r="M1340" s="583"/>
      <c r="N1340" s="581"/>
    </row>
    <row r="1341" spans="1:14">
      <c r="A1341" s="553">
        <v>11</v>
      </c>
      <c r="B1341" s="579"/>
      <c r="C1341" s="555" t="s">
        <v>5313</v>
      </c>
      <c r="D1341" s="557" t="s">
        <v>312</v>
      </c>
      <c r="E1341" s="557" t="s">
        <v>321</v>
      </c>
      <c r="F1341" s="555" t="s">
        <v>2609</v>
      </c>
      <c r="G1341" s="555" t="s">
        <v>4993</v>
      </c>
      <c r="H1341" s="555" t="s">
        <v>3153</v>
      </c>
      <c r="I1341" s="555" t="s">
        <v>5314</v>
      </c>
      <c r="J1341" s="555" t="s">
        <v>1112</v>
      </c>
      <c r="K1341" s="555" t="s">
        <v>5315</v>
      </c>
      <c r="L1341" s="557" t="s">
        <v>310</v>
      </c>
      <c r="M1341" s="571">
        <v>500000</v>
      </c>
      <c r="N1341" s="555" t="s">
        <v>5316</v>
      </c>
    </row>
    <row r="1342" spans="1:14">
      <c r="A1342" s="553">
        <v>11</v>
      </c>
      <c r="B1342" s="579"/>
      <c r="C1342" s="558" t="s">
        <v>5317</v>
      </c>
      <c r="D1342" s="559" t="s">
        <v>312</v>
      </c>
      <c r="E1342" s="559" t="s">
        <v>321</v>
      </c>
      <c r="F1342" s="558" t="s">
        <v>338</v>
      </c>
      <c r="G1342" s="558" t="s">
        <v>3208</v>
      </c>
      <c r="H1342" s="558" t="s">
        <v>3093</v>
      </c>
      <c r="I1342" s="558" t="s">
        <v>5318</v>
      </c>
      <c r="J1342" s="558" t="s">
        <v>703</v>
      </c>
      <c r="K1342" s="558" t="s">
        <v>5319</v>
      </c>
      <c r="L1342" s="559" t="s">
        <v>310</v>
      </c>
      <c r="M1342" s="571">
        <v>800000</v>
      </c>
      <c r="N1342" s="555" t="s">
        <v>5320</v>
      </c>
    </row>
    <row r="1343" spans="1:14" ht="36">
      <c r="A1343" s="553">
        <v>11</v>
      </c>
      <c r="B1343" s="579"/>
      <c r="C1343" s="555" t="s">
        <v>5317</v>
      </c>
      <c r="D1343" s="559" t="s">
        <v>312</v>
      </c>
      <c r="E1343" s="559" t="s">
        <v>321</v>
      </c>
      <c r="F1343" s="558" t="s">
        <v>710</v>
      </c>
      <c r="G1343" s="558" t="s">
        <v>3138</v>
      </c>
      <c r="H1343" s="558" t="s">
        <v>3139</v>
      </c>
      <c r="I1343" s="558" t="s">
        <v>5321</v>
      </c>
      <c r="J1343" s="558" t="s">
        <v>639</v>
      </c>
      <c r="K1343" s="555" t="s">
        <v>714</v>
      </c>
      <c r="L1343" s="557" t="s">
        <v>310</v>
      </c>
      <c r="M1343" s="560">
        <v>250000</v>
      </c>
      <c r="N1343" s="555" t="s">
        <v>5322</v>
      </c>
    </row>
    <row r="1344" spans="1:14">
      <c r="A1344" s="553">
        <v>12</v>
      </c>
      <c r="B1344" s="579" t="s">
        <v>5249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4982</v>
      </c>
      <c r="I1344" s="258" t="s">
        <v>4984</v>
      </c>
      <c r="J1344" s="544" t="s">
        <v>4986</v>
      </c>
      <c r="K1344" s="544" t="s">
        <v>4987</v>
      </c>
      <c r="L1344" s="544"/>
      <c r="M1344" s="528">
        <v>250000</v>
      </c>
      <c r="N1344" s="26"/>
    </row>
    <row r="1345" spans="1:14">
      <c r="A1345" s="553">
        <v>12</v>
      </c>
      <c r="B1345" s="579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4994</v>
      </c>
      <c r="H1345" s="527" t="s">
        <v>4995</v>
      </c>
      <c r="I1345" s="258" t="s">
        <v>4996</v>
      </c>
      <c r="J1345" s="544" t="s">
        <v>4986</v>
      </c>
      <c r="K1345" s="544" t="s">
        <v>5009</v>
      </c>
      <c r="L1345" s="544"/>
      <c r="M1345" s="528">
        <f>250000*2</f>
        <v>500000</v>
      </c>
      <c r="N1345" s="26"/>
    </row>
    <row r="1346" spans="1:14">
      <c r="A1346" s="553">
        <v>12</v>
      </c>
      <c r="B1346" s="579"/>
      <c r="C1346" s="533" t="s">
        <v>4991</v>
      </c>
      <c r="D1346" s="544" t="s">
        <v>19</v>
      </c>
      <c r="E1346" s="544" t="s">
        <v>25</v>
      </c>
      <c r="F1346" s="544" t="s">
        <v>308</v>
      </c>
      <c r="G1346" s="526" t="s">
        <v>4989</v>
      </c>
      <c r="H1346" s="527" t="s">
        <v>4990</v>
      </c>
      <c r="I1346" s="258" t="s">
        <v>4984</v>
      </c>
      <c r="J1346" s="544" t="s">
        <v>4986</v>
      </c>
      <c r="K1346" s="544" t="s">
        <v>4992</v>
      </c>
      <c r="L1346" s="544"/>
      <c r="M1346" s="528">
        <f>250000*4</f>
        <v>1000000</v>
      </c>
      <c r="N1346" s="26"/>
    </row>
    <row r="1347" spans="1:14">
      <c r="A1347" s="553">
        <v>12</v>
      </c>
      <c r="B1347" s="579"/>
      <c r="C1347" s="533" t="s">
        <v>4981</v>
      </c>
      <c r="D1347" s="544" t="s">
        <v>19</v>
      </c>
      <c r="E1347" s="544" t="s">
        <v>25</v>
      </c>
      <c r="F1347" s="544" t="s">
        <v>308</v>
      </c>
      <c r="G1347" s="526" t="s">
        <v>5011</v>
      </c>
      <c r="H1347" s="527" t="s">
        <v>5012</v>
      </c>
      <c r="I1347" s="258" t="s">
        <v>5014</v>
      </c>
      <c r="J1347" s="544" t="s">
        <v>4985</v>
      </c>
      <c r="K1347" s="544" t="s">
        <v>5013</v>
      </c>
      <c r="L1347" s="544"/>
      <c r="M1347" s="528">
        <f>250000*10</f>
        <v>2500000</v>
      </c>
      <c r="N1347" s="26"/>
    </row>
    <row r="1348" spans="1:14">
      <c r="A1348" s="553">
        <v>12</v>
      </c>
      <c r="B1348" s="579"/>
      <c r="C1348" s="533" t="s">
        <v>5019</v>
      </c>
      <c r="D1348" s="544" t="s">
        <v>19</v>
      </c>
      <c r="E1348" s="544" t="s">
        <v>25</v>
      </c>
      <c r="F1348" s="544" t="s">
        <v>308</v>
      </c>
      <c r="G1348" s="526" t="s">
        <v>5011</v>
      </c>
      <c r="H1348" s="527" t="s">
        <v>5024</v>
      </c>
      <c r="I1348" s="258" t="s">
        <v>5023</v>
      </c>
      <c r="J1348" s="544" t="s">
        <v>5015</v>
      </c>
      <c r="K1348" s="544" t="s">
        <v>5020</v>
      </c>
      <c r="L1348" s="544"/>
      <c r="M1348" s="528">
        <f>250000*2</f>
        <v>500000</v>
      </c>
      <c r="N1348" s="26"/>
    </row>
    <row r="1349" spans="1:14">
      <c r="A1349" s="553">
        <v>12</v>
      </c>
      <c r="B1349" s="579"/>
      <c r="C1349" s="533" t="s">
        <v>4981</v>
      </c>
      <c r="D1349" s="544" t="s">
        <v>19</v>
      </c>
      <c r="E1349" s="544" t="s">
        <v>25</v>
      </c>
      <c r="F1349" s="544" t="s">
        <v>308</v>
      </c>
      <c r="G1349" s="526" t="s">
        <v>5021</v>
      </c>
      <c r="H1349" s="527" t="s">
        <v>5022</v>
      </c>
      <c r="I1349" s="258" t="s">
        <v>5023</v>
      </c>
      <c r="J1349" s="544" t="s">
        <v>5015</v>
      </c>
      <c r="K1349" s="544" t="s">
        <v>5017</v>
      </c>
      <c r="L1349" s="544"/>
      <c r="M1349" s="528">
        <f>250000*3</f>
        <v>750000</v>
      </c>
      <c r="N1349" s="26"/>
    </row>
    <row r="1350" spans="1:14">
      <c r="A1350" s="553">
        <v>12</v>
      </c>
      <c r="B1350" s="579" t="s">
        <v>5279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5005</v>
      </c>
      <c r="J1350" s="489"/>
      <c r="K1350" s="488" t="s">
        <v>5006</v>
      </c>
      <c r="L1350" s="137" t="s">
        <v>5007</v>
      </c>
      <c r="M1350" s="530">
        <v>500000</v>
      </c>
      <c r="N1350" s="531" t="s">
        <v>5027</v>
      </c>
    </row>
    <row r="1351" spans="1:14">
      <c r="A1351" s="553">
        <v>12</v>
      </c>
      <c r="B1351" s="579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5003</v>
      </c>
      <c r="J1351" s="489" t="s">
        <v>5000</v>
      </c>
      <c r="K1351" s="489" t="s">
        <v>488</v>
      </c>
      <c r="L1351" s="137" t="s">
        <v>15</v>
      </c>
      <c r="M1351" s="532">
        <v>500000</v>
      </c>
      <c r="N1351" s="531" t="s">
        <v>5028</v>
      </c>
    </row>
    <row r="1352" spans="1:14" ht="27">
      <c r="A1352" s="553">
        <v>12</v>
      </c>
      <c r="B1352" s="579"/>
      <c r="C1352" s="128">
        <v>46105</v>
      </c>
      <c r="D1352" s="3" t="s">
        <v>21</v>
      </c>
      <c r="E1352" s="3" t="s">
        <v>14</v>
      </c>
      <c r="F1352" s="547" t="s">
        <v>108</v>
      </c>
      <c r="G1352" s="489" t="s">
        <v>3426</v>
      </c>
      <c r="H1352" s="494" t="s">
        <v>23</v>
      </c>
      <c r="I1352" s="488" t="s">
        <v>5004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5029</v>
      </c>
    </row>
    <row r="1353" spans="1:14">
      <c r="A1353" s="553">
        <v>12</v>
      </c>
      <c r="B1353" s="579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5026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5030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1361"/>
  <mergeCells count="1006"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63:B166"/>
    <mergeCell ref="N153:N155"/>
    <mergeCell ref="N156:N161"/>
    <mergeCell ref="M181:M182"/>
    <mergeCell ref="B171:B17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501:B504"/>
    <mergeCell ref="B505:B506"/>
    <mergeCell ref="B492:B497"/>
    <mergeCell ref="B498:B500"/>
    <mergeCell ref="B551:B553"/>
    <mergeCell ref="B554:B557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5031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5032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5005</v>
      </c>
      <c r="I40" s="516"/>
      <c r="J40" s="518" t="s">
        <v>5006</v>
      </c>
      <c r="K40" s="519" t="s">
        <v>5007</v>
      </c>
      <c r="L40" s="520">
        <v>2</v>
      </c>
    </row>
    <row r="41" spans="1:12">
      <c r="A41" s="742"/>
      <c r="B41" s="551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5003</v>
      </c>
      <c r="I41" s="516" t="s">
        <v>5000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551">
        <v>46105</v>
      </c>
      <c r="C42" s="515" t="s">
        <v>21</v>
      </c>
      <c r="D42" s="515" t="s">
        <v>14</v>
      </c>
      <c r="E42" s="552" t="s">
        <v>108</v>
      </c>
      <c r="F42" s="516" t="s">
        <v>3426</v>
      </c>
      <c r="G42" s="517" t="s">
        <v>23</v>
      </c>
      <c r="H42" s="518" t="s">
        <v>5004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551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4998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4997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4999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4997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33" t="s">
        <v>5025</v>
      </c>
      <c r="B51" s="733" t="s">
        <v>1</v>
      </c>
      <c r="C51" s="733" t="s">
        <v>2</v>
      </c>
      <c r="D51" s="733" t="s">
        <v>3</v>
      </c>
      <c r="E51" s="523" t="s">
        <v>2631</v>
      </c>
      <c r="F51" s="733" t="s">
        <v>5</v>
      </c>
      <c r="G51" s="733" t="s">
        <v>6</v>
      </c>
      <c r="H51" s="733" t="s">
        <v>2632</v>
      </c>
      <c r="I51" s="733" t="s">
        <v>55</v>
      </c>
      <c r="J51" s="733" t="s">
        <v>9</v>
      </c>
      <c r="K51" s="738" t="s">
        <v>56</v>
      </c>
      <c r="L51" s="733" t="s">
        <v>57</v>
      </c>
      <c r="M51" s="733" t="s">
        <v>58</v>
      </c>
    </row>
    <row r="52" spans="1:13">
      <c r="A52" s="733"/>
      <c r="B52" s="733"/>
      <c r="C52" s="733"/>
      <c r="D52" s="733"/>
      <c r="E52" s="524" t="s">
        <v>1730</v>
      </c>
      <c r="F52" s="733"/>
      <c r="G52" s="733"/>
      <c r="H52" s="733"/>
      <c r="I52" s="733"/>
      <c r="J52" s="733"/>
      <c r="K52" s="738"/>
      <c r="L52" s="733"/>
      <c r="M52" s="733"/>
    </row>
    <row r="53" spans="1:13">
      <c r="A53" s="734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4982</v>
      </c>
      <c r="H53" s="258" t="s">
        <v>4984</v>
      </c>
      <c r="I53" s="544" t="s">
        <v>4986</v>
      </c>
      <c r="J53" s="544" t="s">
        <v>4987</v>
      </c>
      <c r="K53" s="544"/>
      <c r="L53" s="528">
        <v>250000</v>
      </c>
      <c r="M53" s="529" t="s">
        <v>4988</v>
      </c>
    </row>
    <row r="54" spans="1:13">
      <c r="A54" s="735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4994</v>
      </c>
      <c r="G54" s="527" t="s">
        <v>4995</v>
      </c>
      <c r="H54" s="258" t="s">
        <v>4996</v>
      </c>
      <c r="I54" s="544" t="s">
        <v>4986</v>
      </c>
      <c r="J54" s="544" t="s">
        <v>5009</v>
      </c>
      <c r="K54" s="544"/>
      <c r="L54" s="528">
        <f>250000*2</f>
        <v>500000</v>
      </c>
      <c r="M54" s="529"/>
    </row>
    <row r="55" spans="1:13">
      <c r="A55" s="735"/>
      <c r="B55" s="525" t="s">
        <v>4991</v>
      </c>
      <c r="C55" s="544" t="s">
        <v>19</v>
      </c>
      <c r="D55" s="544" t="s">
        <v>25</v>
      </c>
      <c r="E55" s="544" t="s">
        <v>308</v>
      </c>
      <c r="F55" s="526" t="s">
        <v>4989</v>
      </c>
      <c r="G55" s="527" t="s">
        <v>4990</v>
      </c>
      <c r="H55" s="258" t="s">
        <v>4984</v>
      </c>
      <c r="I55" s="544" t="s">
        <v>4986</v>
      </c>
      <c r="J55" s="544" t="s">
        <v>4992</v>
      </c>
      <c r="K55" s="544"/>
      <c r="L55" s="528">
        <f>250000*4</f>
        <v>1000000</v>
      </c>
      <c r="M55" s="529"/>
    </row>
    <row r="56" spans="1:13">
      <c r="A56" s="735"/>
      <c r="B56" s="525" t="s">
        <v>4981</v>
      </c>
      <c r="C56" s="544" t="s">
        <v>19</v>
      </c>
      <c r="D56" s="544" t="s">
        <v>25</v>
      </c>
      <c r="E56" s="544" t="s">
        <v>308</v>
      </c>
      <c r="F56" s="526" t="s">
        <v>5011</v>
      </c>
      <c r="G56" s="527" t="s">
        <v>5012</v>
      </c>
      <c r="H56" s="258" t="s">
        <v>5018</v>
      </c>
      <c r="I56" s="544" t="s">
        <v>4985</v>
      </c>
      <c r="J56" s="544" t="s">
        <v>5013</v>
      </c>
      <c r="K56" s="544"/>
      <c r="L56" s="528">
        <f>250000*10</f>
        <v>2500000</v>
      </c>
      <c r="M56" s="529"/>
    </row>
    <row r="57" spans="1:13">
      <c r="A57" s="735"/>
      <c r="B57" s="525" t="s">
        <v>5019</v>
      </c>
      <c r="C57" s="544" t="s">
        <v>19</v>
      </c>
      <c r="D57" s="544" t="s">
        <v>25</v>
      </c>
      <c r="E57" s="544" t="s">
        <v>308</v>
      </c>
      <c r="F57" s="526" t="s">
        <v>5011</v>
      </c>
      <c r="G57" s="527" t="s">
        <v>5024</v>
      </c>
      <c r="H57" s="258" t="s">
        <v>5023</v>
      </c>
      <c r="I57" s="544" t="s">
        <v>5015</v>
      </c>
      <c r="J57" s="544" t="s">
        <v>5020</v>
      </c>
      <c r="K57" s="544"/>
      <c r="L57" s="528">
        <f>250000*2</f>
        <v>500000</v>
      </c>
      <c r="M57" s="529"/>
    </row>
    <row r="58" spans="1:13">
      <c r="A58" s="735"/>
      <c r="B58" s="525" t="s">
        <v>4981</v>
      </c>
      <c r="C58" s="544" t="s">
        <v>19</v>
      </c>
      <c r="D58" s="544" t="s">
        <v>25</v>
      </c>
      <c r="E58" s="544" t="s">
        <v>308</v>
      </c>
      <c r="F58" s="526" t="s">
        <v>5021</v>
      </c>
      <c r="G58" s="527" t="s">
        <v>5022</v>
      </c>
      <c r="H58" s="258" t="s">
        <v>5023</v>
      </c>
      <c r="I58" s="544" t="s">
        <v>5015</v>
      </c>
      <c r="J58" s="544" t="s">
        <v>5017</v>
      </c>
      <c r="K58" s="544"/>
      <c r="L58" s="528">
        <f>250000*3</f>
        <v>750000</v>
      </c>
      <c r="M58" s="529"/>
    </row>
    <row r="59" spans="1:13">
      <c r="A59" s="736"/>
      <c r="B59" s="737" t="s">
        <v>1137</v>
      </c>
      <c r="C59" s="737"/>
      <c r="D59" s="737"/>
      <c r="E59" s="737"/>
      <c r="F59" s="737"/>
      <c r="G59" s="737"/>
      <c r="H59" s="737"/>
      <c r="I59" s="737"/>
      <c r="J59" s="737"/>
      <c r="K59" s="737"/>
      <c r="L59" s="528">
        <f>SUM(L53:L58)</f>
        <v>5500000</v>
      </c>
      <c r="M59" s="544"/>
    </row>
    <row r="60" spans="1:13">
      <c r="A60" s="734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5005</v>
      </c>
      <c r="I60" s="489"/>
      <c r="J60" s="488" t="s">
        <v>5006</v>
      </c>
      <c r="K60" s="137" t="s">
        <v>5007</v>
      </c>
      <c r="L60" s="530">
        <v>500000</v>
      </c>
      <c r="M60" s="531" t="s">
        <v>5027</v>
      </c>
    </row>
    <row r="61" spans="1:13">
      <c r="A61" s="735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5003</v>
      </c>
      <c r="I61" s="489" t="s">
        <v>5000</v>
      </c>
      <c r="J61" s="489" t="s">
        <v>488</v>
      </c>
      <c r="K61" s="137" t="s">
        <v>15</v>
      </c>
      <c r="L61" s="532">
        <v>500000</v>
      </c>
      <c r="M61" s="531" t="s">
        <v>5028</v>
      </c>
    </row>
    <row r="62" spans="1:13" ht="27">
      <c r="A62" s="735"/>
      <c r="B62" s="204">
        <v>46105</v>
      </c>
      <c r="C62" s="3" t="s">
        <v>21</v>
      </c>
      <c r="D62" s="3" t="s">
        <v>14</v>
      </c>
      <c r="E62" s="547" t="s">
        <v>108</v>
      </c>
      <c r="F62" s="489" t="s">
        <v>3426</v>
      </c>
      <c r="G62" s="494" t="s">
        <v>23</v>
      </c>
      <c r="H62" s="488" t="s">
        <v>5004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5029</v>
      </c>
    </row>
    <row r="63" spans="1:13">
      <c r="A63" s="735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5026</v>
      </c>
      <c r="I63" s="489"/>
      <c r="J63" s="488" t="s">
        <v>488</v>
      </c>
      <c r="K63" s="137" t="s">
        <v>15</v>
      </c>
      <c r="L63" s="530">
        <v>500000</v>
      </c>
      <c r="M63" s="531" t="s">
        <v>5030</v>
      </c>
    </row>
    <row r="64" spans="1:13">
      <c r="A64" s="736"/>
      <c r="B64" s="737" t="s">
        <v>4938</v>
      </c>
      <c r="C64" s="737"/>
      <c r="D64" s="737"/>
      <c r="E64" s="737"/>
      <c r="F64" s="737"/>
      <c r="G64" s="737"/>
      <c r="H64" s="737"/>
      <c r="I64" s="737"/>
      <c r="J64" s="737"/>
      <c r="K64" s="737"/>
      <c r="L64" s="528">
        <f>SUM(L60:L63)</f>
        <v>2100000</v>
      </c>
      <c r="M64" s="544"/>
    </row>
    <row r="65" spans="1:13">
      <c r="A65" s="732" t="s">
        <v>62</v>
      </c>
      <c r="B65" s="732"/>
      <c r="C65" s="732"/>
      <c r="D65" s="732"/>
      <c r="E65" s="732"/>
      <c r="F65" s="732"/>
      <c r="G65" s="732"/>
      <c r="H65" s="732"/>
      <c r="I65" s="732"/>
      <c r="J65" s="732"/>
      <c r="K65" s="732"/>
      <c r="L65" s="386">
        <f>L59+L64</f>
        <v>7600000</v>
      </c>
      <c r="M65" s="38"/>
    </row>
  </sheetData>
  <mergeCells count="24">
    <mergeCell ref="A40:A45"/>
    <mergeCell ref="C25:E25"/>
    <mergeCell ref="C24:E24"/>
    <mergeCell ref="F51:F52"/>
    <mergeCell ref="C10:D10"/>
    <mergeCell ref="C11:D11"/>
    <mergeCell ref="C12:D12"/>
    <mergeCell ref="C13:D13"/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17" sqref="H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33" t="s">
        <v>4538</v>
      </c>
      <c r="B2" s="733" t="s">
        <v>1</v>
      </c>
      <c r="C2" s="733" t="s">
        <v>2</v>
      </c>
      <c r="D2" s="733" t="s">
        <v>3</v>
      </c>
      <c r="E2" s="523" t="s">
        <v>2631</v>
      </c>
      <c r="F2" s="733" t="s">
        <v>5</v>
      </c>
      <c r="G2" s="733" t="s">
        <v>6</v>
      </c>
      <c r="H2" s="733" t="s">
        <v>2632</v>
      </c>
      <c r="I2" s="733" t="s">
        <v>55</v>
      </c>
      <c r="J2" s="733" t="s">
        <v>9</v>
      </c>
      <c r="K2" s="738" t="s">
        <v>56</v>
      </c>
      <c r="L2" s="733" t="s">
        <v>57</v>
      </c>
      <c r="M2" s="733" t="s">
        <v>58</v>
      </c>
    </row>
    <row r="3" spans="1:21">
      <c r="A3" s="733"/>
      <c r="B3" s="733"/>
      <c r="C3" s="733"/>
      <c r="D3" s="733"/>
      <c r="E3" s="524" t="s">
        <v>1730</v>
      </c>
      <c r="F3" s="733"/>
      <c r="G3" s="733"/>
      <c r="H3" s="733"/>
      <c r="I3" s="733"/>
      <c r="J3" s="733"/>
      <c r="K3" s="738"/>
      <c r="L3" s="733"/>
      <c r="M3" s="733"/>
    </row>
    <row r="4" spans="1:21" s="512" customFormat="1">
      <c r="A4" s="734" t="s">
        <v>20</v>
      </c>
      <c r="B4" s="415">
        <v>46106</v>
      </c>
      <c r="C4" s="498" t="s">
        <v>5352</v>
      </c>
      <c r="D4" s="498" t="s">
        <v>5353</v>
      </c>
      <c r="E4" s="498" t="s">
        <v>5354</v>
      </c>
      <c r="F4" s="526">
        <v>594</v>
      </c>
      <c r="G4" s="527" t="s">
        <v>5355</v>
      </c>
      <c r="H4" s="258" t="s">
        <v>5356</v>
      </c>
      <c r="I4" s="498" t="s">
        <v>5357</v>
      </c>
      <c r="J4" s="498" t="s">
        <v>5358</v>
      </c>
      <c r="K4" s="498"/>
      <c r="L4" s="528">
        <v>250000</v>
      </c>
      <c r="M4" s="529" t="s">
        <v>5351</v>
      </c>
    </row>
    <row r="5" spans="1:21">
      <c r="A5" s="735"/>
      <c r="B5" s="525"/>
      <c r="C5" s="498"/>
      <c r="D5" s="498"/>
      <c r="E5" s="498"/>
      <c r="F5" s="526"/>
      <c r="G5" s="527"/>
      <c r="H5" s="258"/>
      <c r="I5" s="544"/>
      <c r="J5" s="544"/>
      <c r="K5" s="498"/>
      <c r="L5" s="528">
        <f>250000*2</f>
        <v>500000</v>
      </c>
      <c r="M5" s="529"/>
    </row>
    <row r="6" spans="1:21">
      <c r="A6" s="735"/>
      <c r="B6" s="525"/>
      <c r="C6" s="544"/>
      <c r="D6" s="544"/>
      <c r="E6" s="544"/>
      <c r="F6" s="526"/>
      <c r="G6" s="527"/>
      <c r="H6" s="258"/>
      <c r="I6" s="544"/>
      <c r="J6" s="544"/>
      <c r="K6" s="544"/>
      <c r="L6" s="528">
        <f>250000*4</f>
        <v>1000000</v>
      </c>
      <c r="M6" s="529"/>
    </row>
    <row r="7" spans="1:21">
      <c r="A7" s="735"/>
      <c r="B7" s="525"/>
      <c r="C7" s="544"/>
      <c r="D7" s="544"/>
      <c r="E7" s="544"/>
      <c r="F7" s="526"/>
      <c r="G7" s="527"/>
      <c r="H7" s="258"/>
      <c r="I7" s="544"/>
      <c r="J7" s="544"/>
      <c r="K7" s="544"/>
      <c r="L7" s="528">
        <f>250000*10</f>
        <v>2500000</v>
      </c>
      <c r="M7" s="529"/>
    </row>
    <row r="8" spans="1:21">
      <c r="A8" s="735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>
        <f>250000*2</f>
        <v>500000</v>
      </c>
      <c r="M8" s="529"/>
    </row>
    <row r="9" spans="1:21">
      <c r="A9" s="735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>
        <f>250000*3</f>
        <v>750000</v>
      </c>
      <c r="M9" s="529"/>
    </row>
    <row r="10" spans="1:21">
      <c r="A10" s="736"/>
      <c r="B10" s="737" t="s">
        <v>1137</v>
      </c>
      <c r="C10" s="737"/>
      <c r="D10" s="737"/>
      <c r="E10" s="737"/>
      <c r="F10" s="737"/>
      <c r="G10" s="737"/>
      <c r="H10" s="737"/>
      <c r="I10" s="737"/>
      <c r="J10" s="737"/>
      <c r="K10" s="737"/>
      <c r="L10" s="528">
        <f>SUM(L4:L9)</f>
        <v>5500000</v>
      </c>
      <c r="M10" s="498"/>
    </row>
    <row r="11" spans="1:21">
      <c r="A11" s="734" t="s">
        <v>21</v>
      </c>
      <c r="B11" s="379">
        <v>46107</v>
      </c>
      <c r="C11" s="3" t="s">
        <v>5341</v>
      </c>
      <c r="D11" s="3" t="s">
        <v>5342</v>
      </c>
      <c r="E11" s="489" t="s">
        <v>5343</v>
      </c>
      <c r="F11" s="489" t="s">
        <v>5344</v>
      </c>
      <c r="G11" s="494" t="s">
        <v>5345</v>
      </c>
      <c r="H11" s="488" t="s">
        <v>5346</v>
      </c>
      <c r="I11" s="489" t="s">
        <v>5340</v>
      </c>
      <c r="J11" s="488" t="s">
        <v>5347</v>
      </c>
      <c r="K11" s="137" t="s">
        <v>5348</v>
      </c>
      <c r="L11" s="530">
        <v>250000</v>
      </c>
      <c r="M11" s="531" t="s">
        <v>5027</v>
      </c>
    </row>
    <row r="12" spans="1:21">
      <c r="A12" s="735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5028</v>
      </c>
    </row>
    <row r="13" spans="1:21">
      <c r="A13" s="735"/>
      <c r="B13" s="204"/>
      <c r="C13" s="3"/>
      <c r="D13" s="3"/>
      <c r="E13" s="547"/>
      <c r="F13" s="489"/>
      <c r="G13" s="494"/>
      <c r="H13" s="488"/>
      <c r="I13" s="489"/>
      <c r="J13" s="489"/>
      <c r="K13" s="137"/>
      <c r="L13" s="532"/>
      <c r="M13" s="531" t="s">
        <v>5029</v>
      </c>
    </row>
    <row r="14" spans="1:21">
      <c r="A14" s="735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5030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36"/>
      <c r="B15" s="737" t="s">
        <v>4938</v>
      </c>
      <c r="C15" s="737"/>
      <c r="D15" s="737"/>
      <c r="E15" s="737"/>
      <c r="F15" s="737"/>
      <c r="G15" s="737"/>
      <c r="H15" s="737"/>
      <c r="I15" s="737"/>
      <c r="J15" s="737"/>
      <c r="K15" s="737"/>
      <c r="L15" s="528">
        <f>SUM(L11:L14)</f>
        <v>250000</v>
      </c>
      <c r="M15" s="498"/>
    </row>
    <row r="16" spans="1:21" s="522" customFormat="1" ht="25.5" customHeight="1">
      <c r="A16" s="732" t="s">
        <v>62</v>
      </c>
      <c r="B16" s="732"/>
      <c r="C16" s="732"/>
      <c r="D16" s="732"/>
      <c r="E16" s="732"/>
      <c r="F16" s="732"/>
      <c r="G16" s="732"/>
      <c r="H16" s="732"/>
      <c r="I16" s="732"/>
      <c r="J16" s="732"/>
      <c r="K16" s="732"/>
      <c r="L16" s="386">
        <f>L10+L15</f>
        <v>5750000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4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5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5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5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5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5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5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5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5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5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5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5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5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6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79" t="s">
        <v>53</v>
      </c>
      <c r="B21" s="579"/>
      <c r="C21" s="579"/>
      <c r="D21" s="579"/>
      <c r="E21" s="579"/>
      <c r="F21" s="579"/>
      <c r="G21" s="579"/>
      <c r="H21" s="579"/>
      <c r="I21" s="57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2" t="s">
        <v>53</v>
      </c>
      <c r="B26" s="753"/>
      <c r="C26" s="753"/>
      <c r="D26" s="753"/>
      <c r="E26" s="753"/>
      <c r="F26" s="753"/>
      <c r="G26" s="753"/>
      <c r="H26" s="753"/>
      <c r="I26" s="7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2" t="s">
        <v>53</v>
      </c>
      <c r="B35" s="753"/>
      <c r="C35" s="753"/>
      <c r="D35" s="753"/>
      <c r="E35" s="753"/>
      <c r="F35" s="753"/>
      <c r="G35" s="753"/>
      <c r="H35" s="753"/>
      <c r="I35" s="7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2" t="s">
        <v>53</v>
      </c>
      <c r="B42" s="753"/>
      <c r="C42" s="753"/>
      <c r="D42" s="753"/>
      <c r="E42" s="753"/>
      <c r="F42" s="753"/>
      <c r="G42" s="753"/>
      <c r="H42" s="753"/>
      <c r="I42" s="7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2" t="s">
        <v>53</v>
      </c>
      <c r="B48" s="753"/>
      <c r="C48" s="753"/>
      <c r="D48" s="753"/>
      <c r="E48" s="753"/>
      <c r="F48" s="753"/>
      <c r="G48" s="753"/>
      <c r="H48" s="753"/>
      <c r="I48" s="7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2" t="s">
        <v>53</v>
      </c>
      <c r="B54" s="753"/>
      <c r="C54" s="753"/>
      <c r="D54" s="753"/>
      <c r="E54" s="753"/>
      <c r="F54" s="753"/>
      <c r="G54" s="753"/>
      <c r="H54" s="753"/>
      <c r="I54" s="7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7"/>
      <c r="B61" s="772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7"/>
      <c r="B62" s="773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7"/>
      <c r="B63" s="774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2" t="s">
        <v>53</v>
      </c>
      <c r="B64" s="753"/>
      <c r="C64" s="753"/>
      <c r="D64" s="753"/>
      <c r="E64" s="753"/>
      <c r="F64" s="753"/>
      <c r="G64" s="753"/>
      <c r="H64" s="753"/>
      <c r="I64" s="7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8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79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2" t="s">
        <v>53</v>
      </c>
      <c r="B70" s="753"/>
      <c r="C70" s="753"/>
      <c r="D70" s="753"/>
      <c r="E70" s="753"/>
      <c r="F70" s="753"/>
      <c r="G70" s="753"/>
      <c r="H70" s="753"/>
      <c r="I70" s="7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7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79" t="s">
        <v>53</v>
      </c>
      <c r="B78" s="579"/>
      <c r="C78" s="579"/>
      <c r="D78" s="579"/>
      <c r="E78" s="579"/>
      <c r="F78" s="579"/>
      <c r="G78" s="579"/>
      <c r="H78" s="579"/>
      <c r="I78" s="57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2" t="s">
        <v>53</v>
      </c>
      <c r="B86" s="753"/>
      <c r="C86" s="753"/>
      <c r="D86" s="753"/>
      <c r="E86" s="753"/>
      <c r="F86" s="753"/>
      <c r="G86" s="753"/>
      <c r="H86" s="753"/>
      <c r="I86" s="7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2" t="s">
        <v>53</v>
      </c>
      <c r="B92" s="753"/>
      <c r="C92" s="753"/>
      <c r="D92" s="753"/>
      <c r="E92" s="753"/>
      <c r="F92" s="753"/>
      <c r="G92" s="753"/>
      <c r="H92" s="753"/>
      <c r="I92" s="7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2" t="s">
        <v>53</v>
      </c>
      <c r="B101" s="753"/>
      <c r="C101" s="753"/>
      <c r="D101" s="753"/>
      <c r="E101" s="753"/>
      <c r="F101" s="753"/>
      <c r="G101" s="753"/>
      <c r="H101" s="753"/>
      <c r="I101" s="7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7"/>
      <c r="B107" s="77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7"/>
      <c r="B108" s="77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79" t="s">
        <v>53</v>
      </c>
      <c r="B112" s="579"/>
      <c r="C112" s="579"/>
      <c r="D112" s="579"/>
      <c r="E112" s="579"/>
      <c r="F112" s="579"/>
      <c r="G112" s="579"/>
      <c r="H112" s="579"/>
      <c r="I112" s="57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89" t="s">
        <v>955</v>
      </c>
      <c r="B119" s="620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0"/>
      <c r="B120" s="622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79" t="s">
        <v>53</v>
      </c>
      <c r="B121" s="579"/>
      <c r="C121" s="579"/>
      <c r="D121" s="579"/>
      <c r="E121" s="579"/>
      <c r="F121" s="579"/>
      <c r="G121" s="579"/>
      <c r="H121" s="579"/>
      <c r="I121" s="57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89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0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0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0"/>
      <c r="B129" s="77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6" t="s">
        <v>90</v>
      </c>
      <c r="J129" s="769">
        <v>2</v>
      </c>
      <c r="K129" s="25" t="s">
        <v>52</v>
      </c>
      <c r="L129" s="25" t="s">
        <v>51</v>
      </c>
    </row>
    <row r="130" spans="1:12">
      <c r="A130" s="590"/>
      <c r="B130" s="77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6"/>
      <c r="J130" s="771"/>
      <c r="K130" s="25" t="s">
        <v>52</v>
      </c>
      <c r="L130" s="25" t="s">
        <v>51</v>
      </c>
    </row>
    <row r="131" spans="1:12">
      <c r="A131" s="590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0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0"/>
      <c r="B133" s="623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2" t="s">
        <v>1278</v>
      </c>
      <c r="J133" s="769">
        <v>1</v>
      </c>
      <c r="K133" s="25" t="s">
        <v>52</v>
      </c>
      <c r="L133" s="25" t="s">
        <v>51</v>
      </c>
    </row>
    <row r="134" spans="1:12">
      <c r="A134" s="590"/>
      <c r="B134" s="62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0"/>
      <c r="J134" s="771"/>
      <c r="K134" s="25" t="s">
        <v>52</v>
      </c>
      <c r="L134" s="25" t="s">
        <v>51</v>
      </c>
    </row>
    <row r="135" spans="1:12">
      <c r="A135" s="590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1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79" t="s">
        <v>53</v>
      </c>
      <c r="B137" s="579"/>
      <c r="C137" s="579"/>
      <c r="D137" s="579"/>
      <c r="E137" s="579"/>
      <c r="F137" s="579"/>
      <c r="G137" s="579"/>
      <c r="H137" s="579"/>
      <c r="I137" s="57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0" t="s">
        <v>1008</v>
      </c>
      <c r="B142" s="623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0"/>
      <c r="B143" s="6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0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79" t="s">
        <v>53</v>
      </c>
      <c r="B145" s="579"/>
      <c r="C145" s="579"/>
      <c r="D145" s="579"/>
      <c r="E145" s="579"/>
      <c r="F145" s="579"/>
      <c r="G145" s="579"/>
      <c r="H145" s="579"/>
      <c r="I145" s="57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56"/>
      <c r="B150" s="620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6"/>
      <c r="B151" s="622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0" t="s">
        <v>53</v>
      </c>
      <c r="B154" s="750"/>
      <c r="C154" s="750"/>
      <c r="D154" s="750"/>
      <c r="E154" s="750"/>
      <c r="F154" s="750"/>
      <c r="G154" s="750"/>
      <c r="H154" s="750"/>
      <c r="I154" s="75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89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0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0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0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1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79" t="s">
        <v>53</v>
      </c>
      <c r="B163" s="579"/>
      <c r="C163" s="579"/>
      <c r="D163" s="579"/>
      <c r="E163" s="579"/>
      <c r="F163" s="579"/>
      <c r="G163" s="579"/>
      <c r="H163" s="579"/>
      <c r="I163" s="57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0" t="s">
        <v>53</v>
      </c>
      <c r="B167" s="750"/>
      <c r="C167" s="750"/>
      <c r="D167" s="750"/>
      <c r="E167" s="750"/>
      <c r="F167" s="750"/>
      <c r="G167" s="750"/>
      <c r="H167" s="750"/>
      <c r="I167" s="75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89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0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0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0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0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0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0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0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0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1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79" t="s">
        <v>53</v>
      </c>
      <c r="B183" s="579"/>
      <c r="C183" s="579"/>
      <c r="D183" s="579"/>
      <c r="E183" s="579"/>
      <c r="F183" s="579"/>
      <c r="G183" s="579"/>
      <c r="H183" s="579"/>
      <c r="I183" s="57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5" t="s">
        <v>1062</v>
      </c>
      <c r="B189" s="620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06"/>
      <c r="B190" s="62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06"/>
      <c r="B191" s="620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06"/>
      <c r="B192" s="62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79" t="s">
        <v>53</v>
      </c>
      <c r="B193" s="579"/>
      <c r="C193" s="579"/>
      <c r="D193" s="579"/>
      <c r="E193" s="579"/>
      <c r="F193" s="579"/>
      <c r="G193" s="579"/>
      <c r="H193" s="579"/>
      <c r="I193" s="57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65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66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66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66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0" t="s">
        <v>53</v>
      </c>
      <c r="B203" s="750"/>
      <c r="C203" s="750"/>
      <c r="D203" s="750"/>
      <c r="E203" s="750"/>
      <c r="F203" s="750"/>
      <c r="G203" s="750"/>
      <c r="H203" s="750"/>
      <c r="I203" s="75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0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0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0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0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0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0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0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0" t="s">
        <v>53</v>
      </c>
      <c r="B214" s="750"/>
      <c r="C214" s="750"/>
      <c r="D214" s="750"/>
      <c r="E214" s="750"/>
      <c r="F214" s="750"/>
      <c r="G214" s="750"/>
      <c r="H214" s="750"/>
      <c r="I214" s="750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0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0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0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0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0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0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0" t="s">
        <v>1460</v>
      </c>
      <c r="B226" s="750"/>
      <c r="C226" s="750"/>
      <c r="D226" s="750"/>
      <c r="E226" s="750"/>
      <c r="F226" s="750"/>
      <c r="G226" s="750"/>
      <c r="H226" s="750"/>
      <c r="I226" s="75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0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0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0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0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0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0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0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0" t="s">
        <v>1501</v>
      </c>
      <c r="B236" s="750"/>
      <c r="C236" s="750"/>
      <c r="D236" s="750"/>
      <c r="E236" s="750"/>
      <c r="F236" s="750"/>
      <c r="G236" s="750"/>
      <c r="H236" s="750"/>
      <c r="I236" s="75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2" t="s">
        <v>53</v>
      </c>
      <c r="B244" s="753"/>
      <c r="C244" s="753"/>
      <c r="D244" s="753"/>
      <c r="E244" s="753"/>
      <c r="F244" s="753"/>
      <c r="G244" s="753"/>
      <c r="H244" s="753"/>
      <c r="I244" s="7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2" t="s">
        <v>53</v>
      </c>
      <c r="B250" s="753"/>
      <c r="C250" s="753"/>
      <c r="D250" s="753"/>
      <c r="E250" s="753"/>
      <c r="F250" s="753"/>
      <c r="G250" s="753"/>
      <c r="H250" s="753"/>
      <c r="I250" s="7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2" t="s">
        <v>53</v>
      </c>
      <c r="B257" s="753"/>
      <c r="C257" s="753"/>
      <c r="D257" s="753"/>
      <c r="E257" s="753"/>
      <c r="F257" s="753"/>
      <c r="G257" s="753"/>
      <c r="H257" s="753"/>
      <c r="I257" s="7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6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6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2" t="s">
        <v>53</v>
      </c>
      <c r="B262" s="753"/>
      <c r="C262" s="753"/>
      <c r="D262" s="753"/>
      <c r="E262" s="753"/>
      <c r="F262" s="753"/>
      <c r="G262" s="753"/>
      <c r="H262" s="753"/>
      <c r="I262" s="7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1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2" t="s">
        <v>53</v>
      </c>
      <c r="B271" s="753"/>
      <c r="C271" s="753"/>
      <c r="D271" s="753"/>
      <c r="E271" s="753"/>
      <c r="F271" s="753"/>
      <c r="G271" s="753"/>
      <c r="H271" s="753"/>
      <c r="I271" s="7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2" t="s">
        <v>53</v>
      </c>
      <c r="B275" s="753"/>
      <c r="C275" s="753"/>
      <c r="D275" s="753"/>
      <c r="E275" s="753"/>
      <c r="F275" s="753"/>
      <c r="G275" s="753"/>
      <c r="H275" s="753"/>
      <c r="I275" s="754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3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64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64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64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64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0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21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21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21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21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21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21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22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2" t="s">
        <v>1652</v>
      </c>
      <c r="B296" s="753"/>
      <c r="C296" s="753"/>
      <c r="D296" s="753"/>
      <c r="E296" s="753"/>
      <c r="F296" s="753"/>
      <c r="G296" s="753"/>
      <c r="H296" s="753"/>
      <c r="I296" s="753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0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0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0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0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0" t="s">
        <v>1665</v>
      </c>
      <c r="B305" s="750"/>
      <c r="C305" s="750"/>
      <c r="D305" s="750"/>
      <c r="E305" s="750"/>
      <c r="F305" s="750"/>
      <c r="G305" s="750"/>
      <c r="H305" s="750"/>
      <c r="I305" s="75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0" t="s">
        <v>53</v>
      </c>
      <c r="B309" s="750"/>
      <c r="C309" s="750"/>
      <c r="D309" s="750"/>
      <c r="E309" s="750"/>
      <c r="F309" s="750"/>
      <c r="G309" s="750"/>
      <c r="H309" s="750"/>
      <c r="I309" s="750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0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0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0" t="s">
        <v>1665</v>
      </c>
      <c r="B314" s="750"/>
      <c r="C314" s="750"/>
      <c r="D314" s="750"/>
      <c r="E314" s="750"/>
      <c r="F314" s="750"/>
      <c r="G314" s="750"/>
      <c r="H314" s="750"/>
      <c r="I314" s="75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0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0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0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0" t="s">
        <v>1665</v>
      </c>
      <c r="B321" s="750"/>
      <c r="C321" s="750"/>
      <c r="D321" s="750"/>
      <c r="E321" s="750"/>
      <c r="F321" s="750"/>
      <c r="G321" s="750"/>
      <c r="H321" s="750"/>
      <c r="I321" s="75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0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0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0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0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0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0" t="s">
        <v>1665</v>
      </c>
      <c r="B330" s="750"/>
      <c r="C330" s="750"/>
      <c r="D330" s="750"/>
      <c r="E330" s="750"/>
      <c r="F330" s="750"/>
      <c r="G330" s="750"/>
      <c r="H330" s="750"/>
      <c r="I330" s="750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3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64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64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64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64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0" t="s">
        <v>1665</v>
      </c>
      <c r="B338" s="750"/>
      <c r="C338" s="750"/>
      <c r="D338" s="750"/>
      <c r="E338" s="750"/>
      <c r="F338" s="750"/>
      <c r="G338" s="750"/>
      <c r="H338" s="750"/>
      <c r="I338" s="75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0" t="s">
        <v>1523</v>
      </c>
      <c r="B343" s="129" t="s">
        <v>1533</v>
      </c>
      <c r="C343" s="630" t="s">
        <v>307</v>
      </c>
      <c r="D343" s="630" t="s">
        <v>323</v>
      </c>
      <c r="E343" s="609" t="s">
        <v>308</v>
      </c>
      <c r="F343" s="759">
        <v>4266</v>
      </c>
      <c r="G343" s="630" t="s">
        <v>641</v>
      </c>
      <c r="H343" s="759" t="s">
        <v>1535</v>
      </c>
      <c r="I343" s="630" t="s">
        <v>1536</v>
      </c>
      <c r="J343" s="609">
        <v>2</v>
      </c>
      <c r="K343" s="757" t="s">
        <v>50</v>
      </c>
      <c r="L343" s="757" t="s">
        <v>51</v>
      </c>
    </row>
    <row r="344" spans="1:14">
      <c r="A344" s="761"/>
      <c r="B344" s="130" t="s">
        <v>1534</v>
      </c>
      <c r="C344" s="610"/>
      <c r="D344" s="610"/>
      <c r="E344" s="610"/>
      <c r="F344" s="615"/>
      <c r="G344" s="610"/>
      <c r="H344" s="615"/>
      <c r="I344" s="610"/>
      <c r="J344" s="610"/>
      <c r="K344" s="758"/>
      <c r="L344" s="758"/>
    </row>
    <row r="345" spans="1:14">
      <c r="A345" s="761"/>
      <c r="B345" s="129" t="s">
        <v>1538</v>
      </c>
      <c r="C345" s="609" t="s">
        <v>307</v>
      </c>
      <c r="D345" s="609" t="s">
        <v>323</v>
      </c>
      <c r="E345" s="609" t="s">
        <v>308</v>
      </c>
      <c r="F345" s="614">
        <v>3306</v>
      </c>
      <c r="G345" s="609" t="s">
        <v>1154</v>
      </c>
      <c r="H345" s="614" t="s">
        <v>1540</v>
      </c>
      <c r="I345" s="609" t="s">
        <v>1536</v>
      </c>
      <c r="J345" s="609">
        <v>2</v>
      </c>
      <c r="K345" s="757" t="s">
        <v>50</v>
      </c>
      <c r="L345" s="757" t="s">
        <v>51</v>
      </c>
    </row>
    <row r="346" spans="1:14">
      <c r="A346" s="762"/>
      <c r="B346" s="130" t="s">
        <v>1539</v>
      </c>
      <c r="C346" s="610"/>
      <c r="D346" s="610"/>
      <c r="E346" s="610"/>
      <c r="F346" s="615"/>
      <c r="G346" s="610"/>
      <c r="H346" s="615"/>
      <c r="I346" s="610"/>
      <c r="J346" s="610"/>
      <c r="K346" s="758"/>
      <c r="L346" s="758"/>
    </row>
    <row r="347" spans="1:14">
      <c r="A347" s="752" t="s">
        <v>53</v>
      </c>
      <c r="B347" s="753"/>
      <c r="C347" s="753"/>
      <c r="D347" s="753"/>
      <c r="E347" s="753"/>
      <c r="F347" s="753"/>
      <c r="G347" s="753"/>
      <c r="H347" s="753"/>
      <c r="I347" s="7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89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0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0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0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0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0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0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79" t="s">
        <v>53</v>
      </c>
      <c r="B357" s="579"/>
      <c r="C357" s="579"/>
      <c r="D357" s="579"/>
      <c r="E357" s="579"/>
      <c r="F357" s="579"/>
      <c r="G357" s="579"/>
      <c r="H357" s="579"/>
      <c r="I357" s="579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0" t="s">
        <v>1460</v>
      </c>
      <c r="B361" s="750"/>
      <c r="C361" s="750"/>
      <c r="D361" s="750"/>
      <c r="E361" s="750"/>
      <c r="F361" s="750"/>
      <c r="G361" s="750"/>
      <c r="H361" s="750"/>
      <c r="I361" s="75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5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0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0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0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0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0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0" t="s">
        <v>1665</v>
      </c>
      <c r="B370" s="750"/>
      <c r="C370" s="750"/>
      <c r="D370" s="750"/>
      <c r="E370" s="750"/>
      <c r="F370" s="750"/>
      <c r="G370" s="750"/>
      <c r="H370" s="750"/>
      <c r="I370" s="750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3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64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64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64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64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79" t="s">
        <v>1652</v>
      </c>
      <c r="B378" s="579"/>
      <c r="C378" s="579"/>
      <c r="D378" s="579"/>
      <c r="E378" s="579"/>
      <c r="F378" s="579"/>
      <c r="G378" s="579"/>
      <c r="H378" s="579"/>
      <c r="I378" s="579"/>
      <c r="J378" s="579"/>
      <c r="K378" s="4">
        <v>25</v>
      </c>
      <c r="L378" s="55"/>
    </row>
    <row r="381" spans="1:13">
      <c r="B381" s="780" t="s">
        <v>1</v>
      </c>
      <c r="C381" s="780" t="s">
        <v>2</v>
      </c>
      <c r="D381" s="780" t="s">
        <v>3</v>
      </c>
      <c r="E381" s="36" t="s">
        <v>54</v>
      </c>
      <c r="F381" s="780" t="s">
        <v>5</v>
      </c>
      <c r="G381" s="780" t="s">
        <v>6</v>
      </c>
      <c r="H381" s="780" t="s">
        <v>7</v>
      </c>
      <c r="I381" s="780" t="s">
        <v>55</v>
      </c>
      <c r="J381" s="780" t="s">
        <v>9</v>
      </c>
      <c r="K381" s="782" t="s">
        <v>56</v>
      </c>
      <c r="L381" s="780" t="s">
        <v>57</v>
      </c>
    </row>
    <row r="382" spans="1:13">
      <c r="B382" s="781"/>
      <c r="C382" s="781"/>
      <c r="D382" s="781"/>
      <c r="E382" s="37" t="s">
        <v>59</v>
      </c>
      <c r="F382" s="781"/>
      <c r="G382" s="781"/>
      <c r="H382" s="781"/>
      <c r="I382" s="781"/>
      <c r="J382" s="781"/>
      <c r="K382" s="783"/>
      <c r="L382" s="781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0" t="s">
        <v>53</v>
      </c>
      <c r="B394" s="750"/>
      <c r="C394" s="750"/>
      <c r="D394" s="750"/>
      <c r="E394" s="750"/>
      <c r="F394" s="750"/>
      <c r="G394" s="750"/>
      <c r="H394" s="750"/>
      <c r="I394" s="750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3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64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64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64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0" t="s">
        <v>53</v>
      </c>
      <c r="B401" s="750"/>
      <c r="C401" s="750"/>
      <c r="D401" s="750"/>
      <c r="E401" s="750"/>
      <c r="F401" s="750"/>
      <c r="G401" s="750"/>
      <c r="H401" s="750"/>
      <c r="I401" s="75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49" t="s">
        <v>230</v>
      </c>
      <c r="B405" s="755" t="s">
        <v>1811</v>
      </c>
      <c r="C405" s="755" t="s">
        <v>701</v>
      </c>
      <c r="D405" s="784" t="s">
        <v>676</v>
      </c>
      <c r="E405" s="755" t="s">
        <v>1812</v>
      </c>
      <c r="F405" s="755" t="s">
        <v>1813</v>
      </c>
      <c r="G405" s="755" t="s">
        <v>663</v>
      </c>
      <c r="H405" s="785" t="s">
        <v>1814</v>
      </c>
      <c r="I405" s="784"/>
      <c r="J405" s="785">
        <v>1</v>
      </c>
      <c r="K405" s="757" t="s">
        <v>632</v>
      </c>
      <c r="L405" s="729" t="s">
        <v>51</v>
      </c>
      <c r="M405">
        <v>19</v>
      </c>
    </row>
    <row r="406" spans="1:13" ht="13.5" customHeight="1">
      <c r="A406" s="749"/>
      <c r="B406" s="755"/>
      <c r="C406" s="755"/>
      <c r="D406" s="784"/>
      <c r="E406" s="755"/>
      <c r="F406" s="755"/>
      <c r="G406" s="755"/>
      <c r="H406" s="785"/>
      <c r="I406" s="784"/>
      <c r="J406" s="785"/>
      <c r="K406" s="758"/>
      <c r="L406" s="731"/>
      <c r="M406">
        <v>18</v>
      </c>
    </row>
    <row r="407" spans="1:13" ht="27" customHeight="1">
      <c r="A407" s="74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4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49" t="s">
        <v>1652</v>
      </c>
      <c r="B409" s="749"/>
      <c r="C409" s="749"/>
      <c r="D409" s="749"/>
      <c r="E409" s="749"/>
      <c r="F409" s="749"/>
      <c r="G409" s="749"/>
      <c r="H409" s="749"/>
      <c r="I409" s="74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49" t="s">
        <v>2014</v>
      </c>
      <c r="B412" s="786" t="s">
        <v>2015</v>
      </c>
      <c r="C412" s="757" t="s">
        <v>21</v>
      </c>
      <c r="D412" s="625" t="s">
        <v>14</v>
      </c>
      <c r="E412" s="757" t="s">
        <v>78</v>
      </c>
      <c r="F412" s="755" t="s">
        <v>2016</v>
      </c>
      <c r="G412" s="755" t="s">
        <v>40</v>
      </c>
      <c r="H412" s="785" t="s">
        <v>615</v>
      </c>
      <c r="I412" s="784"/>
      <c r="J412" s="785">
        <v>1</v>
      </c>
      <c r="K412" s="757" t="s">
        <v>2017</v>
      </c>
      <c r="L412" s="729" t="s">
        <v>2003</v>
      </c>
      <c r="M412">
        <v>19</v>
      </c>
    </row>
    <row r="413" spans="1:13" ht="20.100000000000001" customHeight="1">
      <c r="A413" s="749"/>
      <c r="B413" s="755"/>
      <c r="C413" s="758"/>
      <c r="D413" s="626"/>
      <c r="E413" s="758"/>
      <c r="F413" s="755"/>
      <c r="G413" s="755"/>
      <c r="H413" s="785"/>
      <c r="I413" s="784"/>
      <c r="J413" s="785"/>
      <c r="K413" s="758"/>
      <c r="L413" s="731"/>
      <c r="M413">
        <v>18</v>
      </c>
    </row>
    <row r="414" spans="1:13" ht="20.100000000000001" customHeight="1">
      <c r="A414" s="749" t="s">
        <v>1652</v>
      </c>
      <c r="B414" s="749"/>
      <c r="C414" s="749"/>
      <c r="D414" s="749"/>
      <c r="E414" s="749"/>
      <c r="F414" s="749"/>
      <c r="G414" s="749"/>
      <c r="H414" s="749"/>
      <c r="I414" s="74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29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0"/>
      <c r="B418" s="79" t="s">
        <v>1754</v>
      </c>
      <c r="C418" s="784" t="s">
        <v>307</v>
      </c>
      <c r="D418" s="784" t="s">
        <v>323</v>
      </c>
      <c r="E418" s="784" t="s">
        <v>308</v>
      </c>
      <c r="F418" s="785">
        <v>3306</v>
      </c>
      <c r="G418" s="784" t="s">
        <v>1154</v>
      </c>
      <c r="H418" s="785" t="s">
        <v>1755</v>
      </c>
      <c r="I418" s="784" t="s">
        <v>665</v>
      </c>
      <c r="J418" s="784">
        <v>4</v>
      </c>
      <c r="K418" s="757" t="s">
        <v>632</v>
      </c>
      <c r="L418" s="729" t="s">
        <v>51</v>
      </c>
      <c r="M418">
        <v>18</v>
      </c>
    </row>
    <row r="419" spans="1:13" ht="13.5" customHeight="1">
      <c r="A419" s="730"/>
      <c r="B419" s="80" t="s">
        <v>1757</v>
      </c>
      <c r="C419" s="784"/>
      <c r="D419" s="784"/>
      <c r="E419" s="784"/>
      <c r="F419" s="785"/>
      <c r="G419" s="784"/>
      <c r="H419" s="785"/>
      <c r="I419" s="784"/>
      <c r="J419" s="784"/>
      <c r="K419" s="758"/>
      <c r="L419" s="731"/>
    </row>
    <row r="420" spans="1:13" ht="13.5" customHeight="1">
      <c r="A420" s="730"/>
      <c r="B420" s="79" t="s">
        <v>1806</v>
      </c>
      <c r="C420" s="784" t="s">
        <v>307</v>
      </c>
      <c r="D420" s="784" t="s">
        <v>323</v>
      </c>
      <c r="E420" s="784" t="s">
        <v>308</v>
      </c>
      <c r="F420" s="785" t="s">
        <v>1807</v>
      </c>
      <c r="G420" s="784" t="s">
        <v>1808</v>
      </c>
      <c r="H420" s="785" t="s">
        <v>1809</v>
      </c>
      <c r="I420" s="784" t="s">
        <v>665</v>
      </c>
      <c r="J420" s="784">
        <v>5</v>
      </c>
      <c r="K420" s="757" t="s">
        <v>632</v>
      </c>
      <c r="L420" s="729" t="s">
        <v>51</v>
      </c>
      <c r="M420">
        <v>19</v>
      </c>
    </row>
    <row r="421" spans="1:13" ht="13.5" customHeight="1">
      <c r="A421" s="730"/>
      <c r="B421" s="80" t="s">
        <v>1801</v>
      </c>
      <c r="C421" s="784"/>
      <c r="D421" s="784"/>
      <c r="E421" s="784"/>
      <c r="F421" s="785"/>
      <c r="G421" s="784"/>
      <c r="H421" s="785"/>
      <c r="I421" s="784"/>
      <c r="J421" s="784"/>
      <c r="K421" s="758"/>
      <c r="L421" s="731"/>
    </row>
    <row r="422" spans="1:13" ht="27" customHeight="1">
      <c r="A422" s="731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49" t="s">
        <v>1652</v>
      </c>
      <c r="B423" s="749"/>
      <c r="C423" s="749"/>
      <c r="D423" s="749"/>
      <c r="E423" s="749"/>
      <c r="F423" s="749"/>
      <c r="G423" s="749"/>
      <c r="H423" s="749"/>
      <c r="I423" s="74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87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88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88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88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0" t="s">
        <v>1652</v>
      </c>
      <c r="B431" s="750"/>
      <c r="C431" s="750"/>
      <c r="D431" s="750"/>
      <c r="E431" s="750"/>
      <c r="F431" s="750"/>
      <c r="G431" s="750"/>
      <c r="H431" s="750"/>
      <c r="I431" s="750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88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89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0" t="s">
        <v>1652</v>
      </c>
      <c r="B435" s="750"/>
      <c r="C435" s="750"/>
      <c r="D435" s="750"/>
      <c r="E435" s="750"/>
      <c r="F435" s="750"/>
      <c r="G435" s="750"/>
      <c r="H435" s="750"/>
      <c r="I435" s="75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0" t="s">
        <v>2033</v>
      </c>
      <c r="B438" s="260" t="s">
        <v>1766</v>
      </c>
      <c r="C438" s="683" t="s">
        <v>307</v>
      </c>
      <c r="D438" s="683" t="s">
        <v>323</v>
      </c>
      <c r="E438" s="683" t="s">
        <v>308</v>
      </c>
      <c r="F438" s="790" t="s">
        <v>1767</v>
      </c>
      <c r="G438" s="683" t="s">
        <v>330</v>
      </c>
      <c r="H438" s="769" t="s">
        <v>1768</v>
      </c>
      <c r="I438" s="631" t="s">
        <v>665</v>
      </c>
      <c r="J438" s="792">
        <v>2</v>
      </c>
      <c r="K438" s="757" t="s">
        <v>2002</v>
      </c>
      <c r="L438" s="757" t="s">
        <v>51</v>
      </c>
      <c r="M438">
        <v>18</v>
      </c>
    </row>
    <row r="439" spans="1:13" ht="13.5" customHeight="1">
      <c r="A439" s="621"/>
      <c r="B439" s="261" t="s">
        <v>2034</v>
      </c>
      <c r="C439" s="684"/>
      <c r="D439" s="684"/>
      <c r="E439" s="684"/>
      <c r="F439" s="791"/>
      <c r="G439" s="684"/>
      <c r="H439" s="771"/>
      <c r="I439" s="632"/>
      <c r="J439" s="793"/>
      <c r="K439" s="758"/>
      <c r="L439" s="758"/>
    </row>
    <row r="440" spans="1:13" ht="13.5" customHeight="1">
      <c r="A440" s="621"/>
      <c r="B440" s="262" t="s">
        <v>1800</v>
      </c>
      <c r="C440" s="580" t="s">
        <v>307</v>
      </c>
      <c r="D440" s="580" t="s">
        <v>323</v>
      </c>
      <c r="E440" s="580" t="s">
        <v>308</v>
      </c>
      <c r="F440" s="584" t="s">
        <v>1802</v>
      </c>
      <c r="G440" s="580" t="s">
        <v>1803</v>
      </c>
      <c r="H440" s="584" t="s">
        <v>1798</v>
      </c>
      <c r="I440" s="580" t="s">
        <v>665</v>
      </c>
      <c r="J440" s="609">
        <v>4</v>
      </c>
      <c r="K440" s="757" t="s">
        <v>632</v>
      </c>
      <c r="L440" s="757" t="s">
        <v>2003</v>
      </c>
      <c r="M440">
        <v>19</v>
      </c>
    </row>
    <row r="441" spans="1:13" ht="13.5" customHeight="1">
      <c r="A441" s="621"/>
      <c r="B441" s="263" t="s">
        <v>1801</v>
      </c>
      <c r="C441" s="580"/>
      <c r="D441" s="580"/>
      <c r="E441" s="580"/>
      <c r="F441" s="584"/>
      <c r="G441" s="580"/>
      <c r="H441" s="584"/>
      <c r="I441" s="580"/>
      <c r="J441" s="610"/>
      <c r="K441" s="758"/>
      <c r="L441" s="758"/>
    </row>
    <row r="442" spans="1:13" ht="20.100000000000001" customHeight="1">
      <c r="A442" s="621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21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21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21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21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21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21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22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2" t="s">
        <v>1652</v>
      </c>
      <c r="B450" s="753"/>
      <c r="C450" s="753"/>
      <c r="D450" s="753"/>
      <c r="E450" s="753"/>
      <c r="F450" s="753"/>
      <c r="G450" s="753"/>
      <c r="H450" s="753"/>
      <c r="I450" s="753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89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0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0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79" t="s">
        <v>2065</v>
      </c>
      <c r="B459" s="579"/>
      <c r="C459" s="579"/>
      <c r="D459" s="579"/>
      <c r="E459" s="579"/>
      <c r="F459" s="579"/>
      <c r="G459" s="579"/>
      <c r="H459" s="579"/>
      <c r="I459" s="57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87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88"/>
      <c r="B463" s="794" t="s">
        <v>1773</v>
      </c>
      <c r="C463" s="795" t="s">
        <v>312</v>
      </c>
      <c r="D463" s="795" t="s">
        <v>321</v>
      </c>
      <c r="E463" s="795" t="s">
        <v>710</v>
      </c>
      <c r="F463" s="795" t="s">
        <v>1774</v>
      </c>
      <c r="G463" s="794" t="s">
        <v>1775</v>
      </c>
      <c r="H463" s="266" t="s">
        <v>1776</v>
      </c>
      <c r="I463" s="795"/>
      <c r="J463" s="795">
        <v>1</v>
      </c>
      <c r="K463" s="625" t="s">
        <v>632</v>
      </c>
      <c r="L463" s="654" t="s">
        <v>51</v>
      </c>
      <c r="M463">
        <v>18</v>
      </c>
    </row>
    <row r="464" spans="1:13" ht="13.5" customHeight="1">
      <c r="A464" s="788"/>
      <c r="B464" s="794"/>
      <c r="C464" s="795"/>
      <c r="D464" s="795"/>
      <c r="E464" s="795"/>
      <c r="F464" s="795"/>
      <c r="G464" s="794"/>
      <c r="H464" s="267" t="s">
        <v>1779</v>
      </c>
      <c r="I464" s="795"/>
      <c r="J464" s="795"/>
      <c r="K464" s="626"/>
      <c r="L464" s="655"/>
    </row>
    <row r="465" spans="1:13" ht="13.5" customHeight="1">
      <c r="A465" s="788"/>
      <c r="B465" s="796" t="s">
        <v>1819</v>
      </c>
      <c r="C465" s="755" t="s">
        <v>701</v>
      </c>
      <c r="D465" s="784" t="s">
        <v>321</v>
      </c>
      <c r="E465" s="784" t="s">
        <v>338</v>
      </c>
      <c r="F465" s="755" t="s">
        <v>354</v>
      </c>
      <c r="G465" s="755" t="s">
        <v>1820</v>
      </c>
      <c r="H465" s="785" t="s">
        <v>1821</v>
      </c>
      <c r="I465" s="784" t="s">
        <v>639</v>
      </c>
      <c r="J465" s="785">
        <v>2</v>
      </c>
      <c r="K465" s="757" t="s">
        <v>632</v>
      </c>
      <c r="L465" s="757" t="s">
        <v>51</v>
      </c>
      <c r="M465">
        <v>19</v>
      </c>
    </row>
    <row r="466" spans="1:13" ht="13.5" customHeight="1">
      <c r="A466" s="788"/>
      <c r="B466" s="796"/>
      <c r="C466" s="755"/>
      <c r="D466" s="784"/>
      <c r="E466" s="784"/>
      <c r="F466" s="755"/>
      <c r="G466" s="755"/>
      <c r="H466" s="785"/>
      <c r="I466" s="784"/>
      <c r="J466" s="785"/>
      <c r="K466" s="758"/>
      <c r="L466" s="758"/>
    </row>
    <row r="467" spans="1:13" ht="27" customHeight="1">
      <c r="A467" s="788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88"/>
      <c r="B468" s="755" t="s">
        <v>1826</v>
      </c>
      <c r="C468" s="755" t="s">
        <v>701</v>
      </c>
      <c r="D468" s="784" t="s">
        <v>321</v>
      </c>
      <c r="E468" s="784" t="s">
        <v>710</v>
      </c>
      <c r="F468" s="784" t="s">
        <v>1774</v>
      </c>
      <c r="G468" s="755" t="s">
        <v>1827</v>
      </c>
      <c r="H468" s="269" t="s">
        <v>1828</v>
      </c>
      <c r="I468" s="784" t="s">
        <v>639</v>
      </c>
      <c r="J468" s="784">
        <v>2</v>
      </c>
      <c r="K468" s="757" t="s">
        <v>632</v>
      </c>
      <c r="L468" s="757" t="s">
        <v>51</v>
      </c>
      <c r="M468">
        <v>19</v>
      </c>
    </row>
    <row r="469" spans="1:13" ht="13.5" customHeight="1">
      <c r="A469" s="788"/>
      <c r="B469" s="755"/>
      <c r="C469" s="755"/>
      <c r="D469" s="784"/>
      <c r="E469" s="784"/>
      <c r="F469" s="784"/>
      <c r="G469" s="755"/>
      <c r="H469" s="270" t="s">
        <v>1829</v>
      </c>
      <c r="I469" s="784"/>
      <c r="J469" s="784"/>
      <c r="K469" s="758"/>
      <c r="L469" s="758"/>
    </row>
    <row r="470" spans="1:13" ht="27" customHeight="1">
      <c r="A470" s="788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89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0" t="s">
        <v>53</v>
      </c>
      <c r="B472" s="750"/>
      <c r="C472" s="750"/>
      <c r="D472" s="750"/>
      <c r="E472" s="750"/>
      <c r="F472" s="750"/>
      <c r="G472" s="750"/>
      <c r="H472" s="750"/>
      <c r="I472" s="75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0" t="s">
        <v>229</v>
      </c>
      <c r="B476" s="794" t="s">
        <v>1773</v>
      </c>
      <c r="C476" s="795" t="s">
        <v>312</v>
      </c>
      <c r="D476" s="795" t="s">
        <v>321</v>
      </c>
      <c r="E476" s="795" t="s">
        <v>710</v>
      </c>
      <c r="F476" s="795" t="s">
        <v>1774</v>
      </c>
      <c r="G476" s="794" t="s">
        <v>1775</v>
      </c>
      <c r="H476" s="266" t="s">
        <v>1776</v>
      </c>
      <c r="I476" s="795"/>
      <c r="J476" s="795">
        <v>1</v>
      </c>
      <c r="K476" s="625" t="s">
        <v>632</v>
      </c>
      <c r="L476" s="654" t="s">
        <v>51</v>
      </c>
      <c r="M476">
        <v>18</v>
      </c>
    </row>
    <row r="477" spans="1:13" ht="13.5" customHeight="1">
      <c r="A477" s="750"/>
      <c r="B477" s="794"/>
      <c r="C477" s="795"/>
      <c r="D477" s="795"/>
      <c r="E477" s="795"/>
      <c r="F477" s="795"/>
      <c r="G477" s="794"/>
      <c r="H477" s="267" t="s">
        <v>1779</v>
      </c>
      <c r="I477" s="795"/>
      <c r="J477" s="795"/>
      <c r="K477" s="626"/>
      <c r="L477" s="655"/>
    </row>
    <row r="478" spans="1:13" ht="27" customHeight="1">
      <c r="A478" s="750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0" t="s">
        <v>1652</v>
      </c>
      <c r="B479" s="750"/>
      <c r="C479" s="750"/>
      <c r="D479" s="750"/>
      <c r="E479" s="750"/>
      <c r="F479" s="750"/>
      <c r="G479" s="750"/>
      <c r="H479" s="750"/>
      <c r="I479" s="75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7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2" t="s">
        <v>53</v>
      </c>
      <c r="B487" s="753"/>
      <c r="C487" s="753"/>
      <c r="D487" s="753"/>
      <c r="E487" s="753"/>
      <c r="F487" s="753"/>
      <c r="G487" s="753"/>
      <c r="H487" s="753"/>
      <c r="I487" s="754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9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99"/>
      <c r="B494" s="797" t="s">
        <v>2189</v>
      </c>
      <c r="C494" s="797" t="s">
        <v>307</v>
      </c>
      <c r="D494" s="797" t="s">
        <v>323</v>
      </c>
      <c r="E494" s="797" t="s">
        <v>308</v>
      </c>
      <c r="F494" s="800" t="s">
        <v>1925</v>
      </c>
      <c r="G494" s="797" t="s">
        <v>663</v>
      </c>
      <c r="H494" s="800" t="s">
        <v>1926</v>
      </c>
      <c r="I494" s="797" t="s">
        <v>350</v>
      </c>
      <c r="J494" s="797">
        <v>2</v>
      </c>
      <c r="K494" s="755" t="s">
        <v>50</v>
      </c>
      <c r="L494" s="230">
        <v>23</v>
      </c>
    </row>
    <row r="495" spans="1:13" ht="12.6" customHeight="1">
      <c r="A495" s="799"/>
      <c r="B495" s="797"/>
      <c r="C495" s="797"/>
      <c r="D495" s="797"/>
      <c r="E495" s="797"/>
      <c r="F495" s="800"/>
      <c r="G495" s="797"/>
      <c r="H495" s="800"/>
      <c r="I495" s="797"/>
      <c r="J495" s="797"/>
      <c r="K495" s="755"/>
    </row>
    <row r="496" spans="1:13" ht="24.95" customHeight="1">
      <c r="A496" s="79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9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9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9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0" t="s">
        <v>53</v>
      </c>
      <c r="B500" s="750"/>
      <c r="C500" s="750"/>
      <c r="D500" s="750"/>
      <c r="E500" s="750"/>
      <c r="F500" s="750"/>
      <c r="G500" s="750"/>
      <c r="H500" s="750"/>
      <c r="I500" s="750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79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79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7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79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79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0" t="s">
        <v>2224</v>
      </c>
      <c r="B511" s="750"/>
      <c r="C511" s="750"/>
      <c r="D511" s="750"/>
      <c r="E511" s="750"/>
      <c r="F511" s="750"/>
      <c r="G511" s="750"/>
      <c r="H511" s="750"/>
      <c r="I511" s="750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79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79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79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79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79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79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79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79" t="s">
        <v>2240</v>
      </c>
      <c r="B522" s="579"/>
      <c r="C522" s="579"/>
      <c r="D522" s="579"/>
      <c r="E522" s="579"/>
      <c r="F522" s="579"/>
      <c r="G522" s="579"/>
      <c r="H522" s="579"/>
      <c r="I522" s="579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0" t="s">
        <v>2245</v>
      </c>
      <c r="B528" s="750"/>
      <c r="C528" s="750"/>
      <c r="D528" s="750"/>
      <c r="E528" s="750"/>
      <c r="F528" s="750"/>
      <c r="G528" s="750"/>
      <c r="H528" s="750"/>
      <c r="I528" s="750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79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79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79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0" t="s">
        <v>2240</v>
      </c>
      <c r="B535" s="750"/>
      <c r="C535" s="750"/>
      <c r="D535" s="750"/>
      <c r="E535" s="750"/>
      <c r="F535" s="750"/>
      <c r="G535" s="750"/>
      <c r="H535" s="750"/>
      <c r="I535" s="750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2" t="s">
        <v>2245</v>
      </c>
      <c r="B540" s="753"/>
      <c r="C540" s="753"/>
      <c r="D540" s="753"/>
      <c r="E540" s="753"/>
      <c r="F540" s="753"/>
      <c r="G540" s="753"/>
      <c r="H540" s="753"/>
      <c r="I540" s="754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0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0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49" t="s">
        <v>2240</v>
      </c>
      <c r="B546" s="749"/>
      <c r="C546" s="749"/>
      <c r="D546" s="749"/>
      <c r="E546" s="749"/>
      <c r="F546" s="749"/>
      <c r="G546" s="749"/>
      <c r="H546" s="749"/>
      <c r="I546" s="74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0" t="s">
        <v>2240</v>
      </c>
      <c r="B550" s="750"/>
      <c r="C550" s="750"/>
      <c r="D550" s="750"/>
      <c r="E550" s="750"/>
      <c r="F550" s="750"/>
      <c r="G550" s="750"/>
      <c r="H550" s="750"/>
      <c r="I550" s="750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1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1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1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1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1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1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1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1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1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1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1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0" t="s">
        <v>2240</v>
      </c>
      <c r="B565" s="750"/>
      <c r="C565" s="750"/>
      <c r="D565" s="750"/>
      <c r="E565" s="750"/>
      <c r="F565" s="750"/>
      <c r="G565" s="750"/>
      <c r="H565" s="750"/>
      <c r="I565" s="750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2" t="s">
        <v>307</v>
      </c>
      <c r="D569" s="592" t="s">
        <v>323</v>
      </c>
      <c r="E569" s="592" t="s">
        <v>308</v>
      </c>
      <c r="F569" s="592">
        <v>3306</v>
      </c>
      <c r="G569" s="592" t="s">
        <v>1154</v>
      </c>
      <c r="H569" s="592" t="s">
        <v>1913</v>
      </c>
      <c r="I569" s="592" t="s">
        <v>1112</v>
      </c>
      <c r="J569" s="592" t="s">
        <v>693</v>
      </c>
      <c r="K569" s="747" t="s">
        <v>2298</v>
      </c>
    </row>
    <row r="570" spans="1:12">
      <c r="B570" s="251" t="s">
        <v>1915</v>
      </c>
      <c r="C570" s="593"/>
      <c r="D570" s="593"/>
      <c r="E570" s="593"/>
      <c r="F570" s="593"/>
      <c r="G570" s="593"/>
      <c r="H570" s="593"/>
      <c r="I570" s="593"/>
      <c r="J570" s="593"/>
      <c r="K570" s="74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9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9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9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9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9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9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9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0" t="s">
        <v>1460</v>
      </c>
      <c r="B582" s="750"/>
      <c r="C582" s="750"/>
      <c r="D582" s="750"/>
      <c r="E582" s="750"/>
      <c r="F582" s="750"/>
      <c r="G582" s="750"/>
      <c r="H582" s="750"/>
      <c r="I582" s="750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79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79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0" t="s">
        <v>2400</v>
      </c>
      <c r="B588" s="750"/>
      <c r="C588" s="750"/>
      <c r="D588" s="750"/>
      <c r="E588" s="750"/>
      <c r="F588" s="750"/>
      <c r="G588" s="750"/>
      <c r="H588" s="750"/>
      <c r="I588" s="750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79" t="s">
        <v>2413</v>
      </c>
      <c r="B592" s="579"/>
      <c r="C592" s="579"/>
      <c r="D592" s="579"/>
      <c r="E592" s="579"/>
      <c r="F592" s="579"/>
      <c r="G592" s="579"/>
      <c r="H592" s="579"/>
      <c r="I592" s="579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79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79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79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79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79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79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79" t="s">
        <v>2413</v>
      </c>
      <c r="B601" s="579"/>
      <c r="C601" s="579"/>
      <c r="D601" s="579"/>
      <c r="E601" s="579"/>
      <c r="F601" s="579"/>
      <c r="G601" s="579"/>
      <c r="H601" s="579"/>
      <c r="I601" s="579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0" t="s">
        <v>2444</v>
      </c>
      <c r="B606" s="750"/>
      <c r="C606" s="750"/>
      <c r="D606" s="750"/>
      <c r="E606" s="750"/>
      <c r="F606" s="750"/>
      <c r="G606" s="750"/>
      <c r="H606" s="750"/>
      <c r="I606" s="750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79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79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79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0" t="s">
        <v>2413</v>
      </c>
      <c r="B613" s="750"/>
      <c r="C613" s="750"/>
      <c r="D613" s="750"/>
      <c r="E613" s="750"/>
      <c r="F613" s="750"/>
      <c r="G613" s="750"/>
      <c r="H613" s="750"/>
      <c r="I613" s="750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1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1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1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1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1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1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1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1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1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1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0" t="s">
        <v>2413</v>
      </c>
      <c r="B627" s="750"/>
      <c r="C627" s="750"/>
      <c r="D627" s="750"/>
      <c r="E627" s="750"/>
      <c r="F627" s="750"/>
      <c r="G627" s="750"/>
      <c r="H627" s="750"/>
      <c r="I627" s="750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2026-03-24T00:52:58Z</dcterms:modified>
</cp:coreProperties>
</file>