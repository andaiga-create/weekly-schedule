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<sst xmlns="http://schemas.openxmlformats.org/spreadsheetml/2006/main" count="23595" uniqueCount="6283">
  <si>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</si>
  <si>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</si>
  <si>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</si>
  <si>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</si>
  <si>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</si>
  <si>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</si>
  <si>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</si>
  <si>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</si>
  <si>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</si>
  <si>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</si>
  <si>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</si>
  <si>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</si>
  <si>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</si>
  <si>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</si>
  <si>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</si>
  <si>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</si>
  <si>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</si>
  <si>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</si>
  <si>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</si>
  <si>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</si>
  <si>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</si>
  <si>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</si>
  <si>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</si>
  <si>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</si>
  <si>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</si>
  <si>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</si>
  <si>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</si>
  <si>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</si>
  <si>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</si>
  <si>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</si>
  <si>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</si>
  <si>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</si>
  <si>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</si>
  <si>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</si>
  <si>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</si>
  <si>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</si>
  <si>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</si>
  <si>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</si>
  <si>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</si>
  <si>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</si>
  <si>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</si>
  <si>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</si>
  <si>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</si>
  <si>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</si>
  <si>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</si>
  <si>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</si>
  <si>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</si>
  <si>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</si>
  <si>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</si>
  <si>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</si>
  <si>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</si>
  <si>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</si>
  <si>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</si>
  <si>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</si>
  <si>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</si>
  <si>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</si>
  <si>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</si>
  <si>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</si>
  <si>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</si>
  <si>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</si>
  <si>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</si>
  <si>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</si>
  <si>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</si>
  <si>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</si>
  <si>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</si>
  <si>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</si>
  <si>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</si>
  <si>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</si>
  <si>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</si>
  <si>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</si>
  <si>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</si>
  <si>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</si>
  <si>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</si>
  <si>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</si>
  <si>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</si>
  <si>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</si>
  <si>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</si>
  <si>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</si>
  <si>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</si>
  <si>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</si>
  <si>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</si>
  <si>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</si>
  <si>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</si>
  <si>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</si>
  <si>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</si>
  <si>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</si>
  <si>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</si>
  <si>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</si>
  <si>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</si>
  <si>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</si>
  <si>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</si>
  <si>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</si>
  <si>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</si>
  <si>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</si>
  <si>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</si>
  <si>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</si>
  <si>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</si>
  <si>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</si>
  <si>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</si>
  <si>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</si>
  <si>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</si>
  <si>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</si>
  <si>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</si>
  <si>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</si>
  <si>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</si>
  <si>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</si>
  <si>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</si>
  <si>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</si>
  <si>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</si>
  <si>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</si>
  <si>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</si>
  <si>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</si>
  <si>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</si>
  <si>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</si>
  <si>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</si>
  <si>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</si>
  <si>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</si>
  <si>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</si>
  <si>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</si>
  <si>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</si>
  <si>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</si>
  <si>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</si>
  <si>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</si>
  <si>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</si>
  <si>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</si>
  <si>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</si>
  <si>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</si>
  <si>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</si>
  <si>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</si>
  <si>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</si>
  <si>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</si>
  <si>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</si>
  <si>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</si>
  <si>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</si>
  <si>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</si>
  <si>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</si>
  <si>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</si>
  <si>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</si>
  <si>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</si>
  <si>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</si>
  <si>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</si>
  <si>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</si>
  <si>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</si>
  <si>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</si>
  <si>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</si>
  <si>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</si>
  <si>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</si>
  <si>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</si>
  <si>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</si>
  <si>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</si>
  <si>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</si>
  <si>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</si>
  <si>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</si>
  <si>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</si>
  <si>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</si>
  <si>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</si>
  <si>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</si>
  <si>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</si>
  <si>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</si>
  <si>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</si>
  <si>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</si>
  <si>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</si>
  <si>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</si>
  <si>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</si>
  <si>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</si>
  <si>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</si>
  <si>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</si>
  <si>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</si>
  <si>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</si>
  <si>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</si>
  <si>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</si>
  <si>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</si>
  <si>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</si>
  <si>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</si>
  <si>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</si>
  <si>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</si>
  <si>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</si>
  <si>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</si>
  <si>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</si>
  <si>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</si>
  <si>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</si>
  <si>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</si>
  <si>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</si>
  <si>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</si>
  <si>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</si>
  <si>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</si>
  <si>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</si>
  <si>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</si>
  <si>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</si>
  <si>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</si>
  <si>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</si>
  <si>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</si>
  <si>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</si>
  <si>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</si>
  <si>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</si>
  <si>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</si>
  <si>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</si>
  <si>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</si>
  <si>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</si>
  <si>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</si>
  <si>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</si>
  <si>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</si>
  <si>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</si>
  <si>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</si>
  <si>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</si>
  <si>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</si>
  <si>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</si>
  <si>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</si>
  <si>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</si>
  <si>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</si>
  <si>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</si>
  <si>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</si>
  <si>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</si>
  <si>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</si>
  <si>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</si>
  <si>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</si>
  <si>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</si>
  <si>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</si>
  <si>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</si>
  <si>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</si>
  <si>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</si>
  <si>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</si>
  <si>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</si>
  <si>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</si>
  <si>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</si>
  <si>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</si>
  <si>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</si>
  <si>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</si>
  <si>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</si>
  <si>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</si>
  <si>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</si>
  <si>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</si>
  <si>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</si>
  <si>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</si>
  <si>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</si>
  <si>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</si>
  <si>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</si>
  <si>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</si>
  <si>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</si>
  <si>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</si>
  <si>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</si>
  <si>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</si>
  <si>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</si>
  <si>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</si>
  <si>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</si>
  <si>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</si>
  <si>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</si>
  <si>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</si>
  <si>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</si>
  <si>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</si>
  <si>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</si>
  <si>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</si>
  <si>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</si>
  <si>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</si>
  <si>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</si>
  <si>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</si>
  <si>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</si>
  <si>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</si>
  <si>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</si>
  <si>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</si>
  <si>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</si>
  <si>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</si>
  <si>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</si>
  <si>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</si>
  <si>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</si>
  <si>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</si>
  <si>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</si>
  <si>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</si>
  <si>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</si>
  <si>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</si>
  <si>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</si>
  <si>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</si>
  <si>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</si>
  <si>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</si>
  <si>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</si>
  <si>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</si>
  <si>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</si>
  <si>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</si>
  <si>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</si>
  <si>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</si>
  <si>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</si>
  <si>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</si>
  <si>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</si>
  <si>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</si>
  <si>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</si>
  <si>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</si>
  <si>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</si>
  <si>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</si>
  <si>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</si>
  <si>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</si>
  <si>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</si>
  <si>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</si>
  <si>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</si>
  <si>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</si>
  <si>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</si>
  <si>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</si>
  <si>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</si>
  <si>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</si>
  <si>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</si>
  <si>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</si>
  <si>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</si>
  <si>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</si>
  <si>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</si>
  <si>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</si>
  <si>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</si>
  <si>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</si>
  <si>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</si>
  <si>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</si>
  <si>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</si>
  <si>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</si>
  <si>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</si>
  <si>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</si>
  <si>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</si>
  <si>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</si>
  <si>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</si>
  <si>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</si>
  <si>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</si>
  <si>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</si>
  <si>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</si>
  <si>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</si>
  <si>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</si>
  <si>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</si>
  <si>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</si>
  <si>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</si>
  <si>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</si>
  <si>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</si>
  <si>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</si>
  <si>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</si>
  <si>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</si>
  <si>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</si>
  <si>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</si>
  <si>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</si>
  <si>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</si>
  <si>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</si>
  <si>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</si>
  <si>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</si>
  <si>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</si>
  <si>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</si>
  <si>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</si>
  <si>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</si>
  <si>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</si>
  <si>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</si>
  <si>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</si>
  <si>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</si>
  <si>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</si>
  <si>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</si>
  <si>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</si>
  <si>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</si>
  <si>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</si>
  <si>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</si>
  <si>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</si>
  <si>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</si>
  <si>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</si>
  <si>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</si>
  <si>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</si>
  <si>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</si>
  <si>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</si>
  <si>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</si>
  <si>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</si>
  <si>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</si>
  <si>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</si>
  <si>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</si>
  <si>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</si>
  <si>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</si>
  <si>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</si>
  <si>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</si>
  <si>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</si>
  <si>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</si>
  <si>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</si>
  <si>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</si>
  <si>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</si>
  <si>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</si>
  <si>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</si>
  <si>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</si>
  <si>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</si>
  <si>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</si>
  <si>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</si>
  <si>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</si>
  <si>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</si>
  <si>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</si>
  <si>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</si>
  <si>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</si>
  <si>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</si>
  <si>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</si>
  <si>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</si>
  <si>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</si>
  <si>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</si>
  <si>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</si>
  <si>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</si>
  <si>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</si>
  <si>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</si>
  <si>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</si>
  <si>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</si>
  <si>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</si>
  <si>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</si>
  <si>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</si>
  <si>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</si>
  <si>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</si>
  <si>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</si>
  <si>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</si>
  <si>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</si>
  <si>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</si>
  <si>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</si>
  <si>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</si>
  <si>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</si>
  <si>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</si>
  <si>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</si>
  <si>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</si>
  <si>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</si>
  <si>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</si>
  <si>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</si>
  <si>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</si>
  <si>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</si>
  <si>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</si>
  <si>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</si>
  <si>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</si>
  <si>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</si>
  <si>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</si>
  <si>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</si>
  <si>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</si>
  <si>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</si>
  <si>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</si>
  <si>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</si>
  <si>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</si>
  <si>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</si>
  <si>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</si>
  <si>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</si>
  <si>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</si>
  <si>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</si>
  <si>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</si>
  <si>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</si>
  <si>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</si>
  <si>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</si>
  <si>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</si>
  <si>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</si>
  <si>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</si>
  <si>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</si>
  <si>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</si>
  <si>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</si>
  <si>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</si>
  <si>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</si>
  <si>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</si>
  <si>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</si>
  <si>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</si>
  <si>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</si>
  <si>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</si>
  <si>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</si>
  <si>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</si>
  <si>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</si>
  <si>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</si>
  <si>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</si>
  <si>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</si>
  <si>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</si>
  <si>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</si>
  <si>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</si>
  <si>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</si>
  <si>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</si>
  <si>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</si>
  <si>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</si>
  <si>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</si>
  <si>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</si>
  <si>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</si>
  <si>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</si>
  <si>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</si>
  <si>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</si>
  <si>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</si>
  <si>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</si>
  <si>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</si>
  <si>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</si>
  <si>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</si>
  <si>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</si>
  <si>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</si>
  <si>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</si>
  <si>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</si>
  <si>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</si>
  <si>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</si>
  <si>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</si>
  <si>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</si>
  <si>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</si>
  <si>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</si>
  <si>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</si>
  <si>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</si>
  <si>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</si>
  <si>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</si>
  <si>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</si>
  <si>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</si>
  <si>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</si>
  <si>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</si>
  <si>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</si>
  <si>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</si>
  <si>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</si>
  <si>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</si>
  <si>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</si>
  <si>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</si>
  <si>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</si>
  <si>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</si>
  <si>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</si>
  <si>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</si>
  <si>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</si>
  <si>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</si>
  <si>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</si>
  <si>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</si>
  <si>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</si>
  <si>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</si>
  <si>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</si>
  <si>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</si>
  <si>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</si>
  <si>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</si>
  <si>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</si>
  <si>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</si>
  <si>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</si>
  <si>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</si>
  <si>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</si>
  <si>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</si>
  <si>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</si>
  <si>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</si>
  <si>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</si>
  <si>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</si>
  <si>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</si>
  <si>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</si>
  <si>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</si>
  <si>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</si>
  <si>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</si>
  <si>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</si>
  <si>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</si>
  <si>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</si>
  <si>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</si>
  <si>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</si>
  <si>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</si>
  <si>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</si>
  <si>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</si>
  <si>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</si>
  <si>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</si>
  <si>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</si>
  <si>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</si>
  <si>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</si>
  <si>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</si>
  <si>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</si>
  <si>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</si>
  <si>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</si>
  <si>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</si>
  <si>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</si>
  <si>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</si>
  <si>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</si>
  <si>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</si>
  <si>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</si>
  <si>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</si>
  <si>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</si>
  <si>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</si>
  <si>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</si>
  <si>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</si>
  <si>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</si>
  <si>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</si>
  <si>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</si>
  <si>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</si>
  <si>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</si>
  <si>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</si>
  <si>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</si>
  <si>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</si>
  <si>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</si>
  <si>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</si>
  <si>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</si>
  <si>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</si>
  <si>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</si>
  <si>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</si>
  <si>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</si>
  <si>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</si>
  <si>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</si>
  <si>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</si>
  <si>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</si>
  <si>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</si>
  <si>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</si>
  <si>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</si>
  <si>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</si>
  <si>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</si>
  <si>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</si>
  <si>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</si>
  <si>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</si>
  <si>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</si>
  <si>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</si>
  <si>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</si>
  <si>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</si>
  <si>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</si>
  <si>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</si>
  <si>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</si>
  <si>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</si>
  <si>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</si>
  <si>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</si>
  <si>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</si>
  <si>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</si>
  <si>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</si>
  <si>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</si>
  <si>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</si>
  <si>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</si>
  <si>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</si>
  <si>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</si>
  <si>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</si>
  <si>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</si>
  <si>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</si>
  <si>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</si>
  <si>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</si>
  <si>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</si>
  <si>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</si>
  <si>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</si>
  <si>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</si>
  <si>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</si>
  <si>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</si>
  <si>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</si>
  <si>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</si>
  <si>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</si>
  <si>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</si>
  <si>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</si>
  <si>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</si>
  <si>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</si>
  <si>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</si>
  <si>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</si>
  <si>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</si>
  <si>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</si>
  <si>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</si>
  <si>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</si>
  <si>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</si>
  <si>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</si>
  <si>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</si>
  <si>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</si>
  <si>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</si>
  <si>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</si>
  <si>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</si>
  <si>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</si>
  <si>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</si>
  <si>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</si>
  <si>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</si>
  <si>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</si>
  <si>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</si>
  <si>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</si>
  <si>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</si>
  <si>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</si>
  <si>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</si>
  <si>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</si>
  <si>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</si>
  <si>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</si>
  <si>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</si>
  <si>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</si>
  <si>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</si>
  <si>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</si>
  <si>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</si>
  <si>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</si>
  <si>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</si>
  <si>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</si>
  <si>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</si>
  <si>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</si>
  <si>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</si>
  <si>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</si>
  <si>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</si>
  <si>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</si>
  <si>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</si>
  <si>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</si>
  <si>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</si>
  <si>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</si>
  <si>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</si>
  <si>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</si>
  <si>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</si>
  <si>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</si>
  <si>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</si>
  <si>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</si>
  <si>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</si>
  <si>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</si>
  <si>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</si>
  <si>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</si>
  <si>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</si>
  <si>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</si>
  <si>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</si>
  <si>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</si>
  <si>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</si>
  <si>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</si>
  <si>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</si>
  <si>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</si>
  <si>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</si>
  <si>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</si>
  <si>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</si>
  <si>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</si>
  <si>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</si>
  <si>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</si>
  <si>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</si>
  <si>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</si>
  <si>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</si>
  <si>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</si>
  <si>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</si>
  <si>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</si>
  <si>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</si>
  <si>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</si>
  <si>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</si>
  <si>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</si>
  <si>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</si>
  <si>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</si>
  <si>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</si>
  <si>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</si>
  <si>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</si>
  <si>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</si>
  <si>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</si>
  <si>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</si>
  <si>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</si>
  <si>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</si>
  <si>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</si>
  <si>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</si>
  <si>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</si>
  <si>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</si>
  <si>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</si>
  <si>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</si>
  <si>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</si>
  <si>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</si>
  <si>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</si>
  <si>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</si>
  <si>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</si>
  <si>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</si>
  <si>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</si>
  <si>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</si>
  <si>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</si>
  <si>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</si>
  <si>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</si>
  <si>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</si>
  <si>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</si>
  <si>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</si>
  <si>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</si>
  <si>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</si>
  <si>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</si>
  <si>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</si>
  <si>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</si>
  <si>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</si>
  <si>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</si>
  <si>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</si>
  <si>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</si>
  <si>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</si>
  <si>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</si>
  <si>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</si>
  <si>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</si>
  <si>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</si>
  <si>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</si>
  <si>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</si>
  <si>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</si>
  <si>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</si>
  <si>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</si>
  <si>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</si>
  <si>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</si>
  <si>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</si>
  <si>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</si>
  <si>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</si>
  <si>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</si>
  <si>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</si>
  <si>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</si>
  <si>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</si>
  <si>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</si>
  <si>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</si>
  <si>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</si>
  <si>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</si>
  <si>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</si>
  <si>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</si>
  <si>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</si>
  <si>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</si>
  <si>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</si>
  <si>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</si>
  <si>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</si>
  <si>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</si>
  <si>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</si>
  <si>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</si>
  <si>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</si>
  <si>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</si>
  <si>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</si>
  <si>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</si>
  <si>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</si>
  <si>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</si>
  <si>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</si>
  <si>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</si>
  <si>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</si>
  <si>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</si>
  <si>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</si>
  <si>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</si>
  <si>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</si>
  <si>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</si>
  <si>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</si>
  <si>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</si>
  <si>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</si>
  <si>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</si>
  <si>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</si>
  <si>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</si>
  <si>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</si>
  <si>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</si>
  <si>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</si>
  <si>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</si>
  <si>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</si>
  <si>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</si>
  <si>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</si>
  <si>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</si>
  <si>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</si>
  <si>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</si>
  <si>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</si>
  <si>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</si>
  <si>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</si>
  <si>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</si>
  <si>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</si>
  <si>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</si>
  <si>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</si>
  <si>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</si>
  <si>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</si>
  <si>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</si>
  <si>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</si>
  <si>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</si>
  <si>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</si>
  <si>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</si>
  <si>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</si>
  <si>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</si>
  <si>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</si>
  <si>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</si>
  <si>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</si>
  <si>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</si>
  <si>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</si>
  <si>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</si>
  <si>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</si>
  <si>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</si>
  <si>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</si>
  <si>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</si>
  <si>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</si>
  <si>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</si>
  <si>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</si>
  <si>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</si>
  <si>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</si>
  <si>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</si>
  <si>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</si>
  <si>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</si>
  <si>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</si>
  <si>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</si>
  <si>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</si>
  <si>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</si>
  <si>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</si>
  <si>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</si>
  <si>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</si>
  <si>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</si>
  <si>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</si>
  <si>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</si>
  <si>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</si>
  <si>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</si>
  <si>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</si>
  <si>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</si>
  <si>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</si>
  <si>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</si>
  <si>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</si>
  <si>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</si>
  <si>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</si>
  <si>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</si>
  <si>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</si>
  <si>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</si>
  <si>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</si>
  <si>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</si>
  <si>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</si>
  <si>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</si>
  <si>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</si>
  <si>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</si>
  <si>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</si>
  <si>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</si>
  <si>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</si>
  <si>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</si>
  <si>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</si>
  <si>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</si>
  <si>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</si>
  <si>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</si>
  <si>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</si>
  <si>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</si>
  <si>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</si>
  <si>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</si>
  <si>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</si>
  <si>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</si>
  <si>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</si>
  <si>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</si>
  <si>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</si>
  <si>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</si>
  <si>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</si>
  <si>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</si>
  <si>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</si>
  <si>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</si>
  <si>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</si>
  <si>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</si>
  <si>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</si>
  <si>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</si>
  <si>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</si>
  <si>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</si>
  <si>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</si>
  <si>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</si>
  <si>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</si>
  <si>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</si>
  <si>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</si>
  <si>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</si>
  <si>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</si>
  <si>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</si>
  <si>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</si>
  <si>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</si>
  <si>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</si>
  <si>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</si>
  <si>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</si>
  <si>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</si>
  <si>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</si>
  <si>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</si>
  <si>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</si>
  <si>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</si>
  <si>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</si>
  <si>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</si>
  <si>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</si>
  <si>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</si>
  <si>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</si>
  <si>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</si>
  <si>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</si>
  <si>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</si>
  <si>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</si>
  <si>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</si>
  <si>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</si>
  <si>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</si>
  <si>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</si>
  <si>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</si>
  <si>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</si>
  <si>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</si>
  <si>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</si>
  <si>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</si>
  <si>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</si>
  <si>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</si>
  <si>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</si>
  <si>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</si>
  <si>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</si>
  <si>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</si>
  <si>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</si>
  <si>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</si>
  <si>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</si>
  <si>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</si>
  <si>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</si>
  <si>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</si>
  <si>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</si>
  <si>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</si>
  <si>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</si>
  <si>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</si>
  <si>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</si>
  <si>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</si>
  <si>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</si>
  <si>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</si>
  <si>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</si>
  <si>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</si>
  <si>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</si>
  <si>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</si>
  <si>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</si>
  <si>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</si>
  <si>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</si>
  <si>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</si>
  <si>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</si>
  <si>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</si>
  <si>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</si>
  <si>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</si>
  <si>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</si>
  <si>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</si>
  <si>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</si>
  <si>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</si>
  <si>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</si>
  <si>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</si>
  <si>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</si>
  <si>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</si>
  <si>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</si>
  <si>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</si>
  <si>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</si>
  <si>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</si>
  <si>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</si>
  <si>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</si>
  <si>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</si>
  <si>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</si>
  <si>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</si>
  <si>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</si>
  <si>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</si>
  <si>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</si>
  <si>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</si>
  <si>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</si>
  <si>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</si>
  <si>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</si>
  <si>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</si>
  <si>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</si>
  <si>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</si>
  <si>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</si>
  <si>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</si>
  <si>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</si>
  <si>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</si>
  <si>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</si>
  <si>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</si>
  <si>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</si>
  <si>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</si>
  <si>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</si>
  <si>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</si>
  <si>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</si>
  <si>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</si>
  <si>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</si>
  <si>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</si>
  <si>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</si>
  <si>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</si>
  <si>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</si>
  <si>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</si>
  <si>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</si>
  <si>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</si>
  <si>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</si>
  <si>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</si>
  <si>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</si>
  <si>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</si>
  <si>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</si>
  <si>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</si>
  <si>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</si>
  <si>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</si>
  <si>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</si>
  <si>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</si>
  <si>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</si>
  <si>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</si>
  <si>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</si>
  <si>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</si>
  <si>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</si>
  <si>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</si>
  <si>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</si>
  <si>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</si>
  <si>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</si>
  <si>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</si>
  <si>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</si>
  <si>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</si>
  <si>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</si>
  <si>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</si>
  <si>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</si>
  <si>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</si>
  <si>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</si>
  <si>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</si>
  <si>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</si>
  <si>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</si>
  <si>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</si>
  <si>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</si>
  <si>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</si>
  <si>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</si>
  <si>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</si>
  <si>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</si>
  <si>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</si>
  <si>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</si>
  <si>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</si>
  <si>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</si>
  <si>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</si>
  <si>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</si>
  <si>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</si>
  <si>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</si>
  <si>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</si>
  <si>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</si>
  <si>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</si>
  <si>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</si>
  <si>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</si>
  <si>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</si>
  <si>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</si>
  <si>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</si>
  <si>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</si>
  <si>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</si>
  <si>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</si>
  <si>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</si>
  <si>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</si>
  <si>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</si>
  <si>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</si>
  <si>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</si>
  <si>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</si>
  <si>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</si>
  <si>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</si>
  <si>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</si>
  <si>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</si>
  <si>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</si>
  <si>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</si>
  <si>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</si>
  <si>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</si>
  <si>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</si>
  <si>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</si>
  <si>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</si>
  <si>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</si>
  <si>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</si>
  <si>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</si>
  <si>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</si>
  <si>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</si>
  <si>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</si>
  <si>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</si>
  <si>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</si>
  <si>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</si>
  <si>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</si>
  <si>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</si>
  <si>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</si>
  <si>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</si>
  <si>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</si>
  <si>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</si>
  <si>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</si>
  <si>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</si>
  <si>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</si>
  <si>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</si>
  <si>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</si>
  <si>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</si>
  <si>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</si>
  <si>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</si>
  <si>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</si>
  <si>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</si>
  <si>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</si>
  <si>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</si>
  <si>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</si>
  <si>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</si>
  <si>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</si>
  <si>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</si>
  <si>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</si>
  <si>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</si>
  <si>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</si>
  <si>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</si>
  <si>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</si>
  <si>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</si>
  <si>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</si>
  <si>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</si>
  <si>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</si>
  <si>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</si>
  <si>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</si>
  <si>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</si>
  <si>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</si>
  <si>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</si>
  <si>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</si>
  <si>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</si>
  <si>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</si>
  <si>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</si>
  <si>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</si>
  <si>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</si>
  <si>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</si>
  <si>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</si>
  <si>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</si>
  <si>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</si>
  <si>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</si>
  <si>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</si>
  <si>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</si>
  <si>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</si>
  <si>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</si>
  <si>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</si>
  <si>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</si>
  <si>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</si>
  <si>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</si>
  <si>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</si>
  <si>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</si>
  <si>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</si>
  <si>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</si>
  <si>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</si>
  <si>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</si>
  <si>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</si>
  <si>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</si>
  <si>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</si>
  <si>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</si>
  <si>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</si>
  <si>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</si>
  <si>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</si>
  <si>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</si>
  <si>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</si>
  <si>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</si>
  <si>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</si>
  <si>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</si>
  <si>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</si>
  <si>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</si>
  <si>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</si>
  <si>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</si>
  <si>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</si>
  <si>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</si>
  <si>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</si>
  <si>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</si>
  <si>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</si>
  <si>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</si>
  <si>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</si>
  <si>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</si>
  <si>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</si>
  <si>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</si>
  <si>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</si>
  <si>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</si>
  <si>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</si>
  <si>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</si>
  <si>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</si>
  <si>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</si>
  <si>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</si>
  <si>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</si>
  <si>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</si>
  <si>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</si>
  <si>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</si>
  <si>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</si>
  <si>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</si>
  <si>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</si>
  <si>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</si>
  <si>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</si>
  <si>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</si>
  <si>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</si>
  <si>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</si>
  <si>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</si>
  <si>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</si>
  <si>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</si>
  <si>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</si>
  <si>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</si>
  <si>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</si>
  <si>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</si>
  <si>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</si>
  <si>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</si>
  <si>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</si>
  <si>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</si>
  <si>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</si>
  <si>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</si>
  <si>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</si>
  <si>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</si>
  <si>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</si>
  <si>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</si>
  <si>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</si>
  <si>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</si>
  <si>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</si>
  <si>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</si>
  <si>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</si>
  <si>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</si>
  <si>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</si>
  <si>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</si>
  <si>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</si>
  <si>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</si>
  <si>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</si>
  <si>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</si>
  <si>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</si>
  <si>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</si>
  <si>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</si>
  <si>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</si>
  <si>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</si>
  <si>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</si>
  <si>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</si>
  <si>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</si>
  <si>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</si>
  <si>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</si>
  <si>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</si>
  <si>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</si>
  <si>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</si>
  <si>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</si>
  <si>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</si>
  <si>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</si>
  <si>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</si>
  <si>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</si>
  <si>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</si>
  <si>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</si>
  <si>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</si>
  <si>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</si>
  <si>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</si>
  <si>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</si>
  <si>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</si>
  <si>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</si>
  <si>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</si>
  <si>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</si>
  <si>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</si>
  <si>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</si>
  <si>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</si>
  <si>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</si>
  <si>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</si>
  <si>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</si>
  <si>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</si>
  <si>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</si>
  <si>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</si>
  <si>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</si>
  <si>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</si>
  <si>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</si>
  <si>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</si>
  <si>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</si>
  <si>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</si>
  <si>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</si>
  <si>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</si>
  <si>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</si>
  <si>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</si>
  <si>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</si>
  <si>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</si>
  <si>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</si>
  <si>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</si>
  <si>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</si>
  <si>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</si>
  <si>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</si>
  <si>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</si>
  <si>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</si>
  <si>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</si>
  <si>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</si>
  <si>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</si>
  <si>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</si>
  <si>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</si>
  <si>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</si>
  <si>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</si>
  <si>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</si>
  <si>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</si>
  <si>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</si>
  <si>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</si>
  <si>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</si>
  <si>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</si>
  <si>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</si>
  <si>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</si>
  <si>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</si>
  <si>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</si>
  <si>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</si>
  <si>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</si>
  <si>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</si>
  <si>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</si>
  <si>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</si>
  <si>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</si>
  <si>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</si>
  <si>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</si>
  <si>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</si>
  <si>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</si>
  <si>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</si>
  <si>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</si>
  <si>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</si>
  <si>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</si>
  <si>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</si>
  <si>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</si>
  <si>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</si>
  <si>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</si>
  <si>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</si>
  <si>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</si>
  <si>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</si>
  <si>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</si>
  <si>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</si>
  <si>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</si>
  <si>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</si>
  <si>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</si>
  <si>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</si>
  <si>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</si>
  <si>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</si>
  <si>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</si>
  <si>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</si>
  <si>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</si>
  <si>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</si>
  <si>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</si>
  <si>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</si>
  <si>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</si>
  <si>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</si>
  <si>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</si>
  <si>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</si>
  <si>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</si>
  <si>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</si>
  <si>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</si>
  <si>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</si>
  <si>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</si>
  <si>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</si>
  <si>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</si>
  <si>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</si>
  <si>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</si>
  <si>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</si>
  <si>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</si>
  <si>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</si>
  <si>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</si>
  <si>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</si>
  <si>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</si>
  <si>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</si>
  <si>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</si>
  <si>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</si>
  <si>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</si>
  <si>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</si>
  <si>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</si>
  <si>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</si>
  <si>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</si>
  <si>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</si>
  <si>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</si>
  <si>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</si>
  <si>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</si>
  <si>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</si>
  <si>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</si>
  <si>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</si>
  <si>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</si>
  <si>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</si>
  <si>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</si>
  <si>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</si>
  <si>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</si>
  <si>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</si>
  <si>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</si>
  <si>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</si>
  <si>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</si>
  <si>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</si>
  <si>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</si>
  <si>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</si>
  <si>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</si>
  <si>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</si>
  <si>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</si>
  <si>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</si>
  <si>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</si>
  <si>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</si>
  <si>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</si>
  <si>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</si>
  <si>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</si>
  <si>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</si>
  <si>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</si>
  <si>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</si>
  <si>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</si>
  <si>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</si>
  <si>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</si>
  <si>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</si>
  <si>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</si>
  <si>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</si>
  <si>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</si>
  <si>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</si>
  <si>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</si>
  <si>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</si>
  <si>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</si>
  <si>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</si>
  <si>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</si>
  <si>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</si>
  <si>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</si>
  <si>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</si>
  <si>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</si>
  <si>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</si>
  <si>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</si>
  <si>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</si>
  <si>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</si>
  <si>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</si>
  <si>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</si>
  <si>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</si>
  <si>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</si>
  <si>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</si>
  <si>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</si>
  <si>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</si>
  <si>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</si>
  <si>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</si>
  <si>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</si>
  <si>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</si>
  <si>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</si>
  <si>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</si>
  <si>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</si>
  <si>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</si>
  <si>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</si>
  <si>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</si>
  <si>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</si>
  <si>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</si>
  <si>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</si>
  <si>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</si>
  <si>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</si>
  <si>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</si>
  <si>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</si>
  <si>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</si>
  <si>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</si>
  <si>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</si>
  <si>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</si>
  <si>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</si>
  <si>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</si>
  <si>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</si>
  <si>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</si>
  <si>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</si>
  <si>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</si>
  <si>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</si>
  <si>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</si>
  <si>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</si>
  <si>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</si>
  <si>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</si>
  <si>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</si>
  <si>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</si>
  <si>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</si>
  <si>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</si>
  <si>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</si>
  <si>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</si>
  <si>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</si>
  <si>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</si>
  <si>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</si>
  <si>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</si>
  <si>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</si>
  <si>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</si>
  <si>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</si>
  <si>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</si>
  <si>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</si>
  <si>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</si>
  <si>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</si>
  <si>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</si>
  <si>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</si>
  <si>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</si>
  <si>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</si>
  <si>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</si>
  <si>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</si>
  <si>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</si>
  <si>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</si>
  <si>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</si>
  <si>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</si>
  <si>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</si>
  <si>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</si>
  <si>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</si>
  <si>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</si>
  <si>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</si>
  <si>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</si>
  <si>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</si>
  <si>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</si>
  <si>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</si>
  <si>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</si>
  <si>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</si>
  <si>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</si>
  <si>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</si>
  <si>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</si>
  <si>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</si>
  <si>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</si>
  <si>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</si>
  <si>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</si>
  <si>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</si>
  <si>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</si>
  <si>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</si>
  <si>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</si>
  <si>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</si>
  <si>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</si>
  <si>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</si>
  <si>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</si>
  <si>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</si>
  <si>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</si>
  <si>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</si>
  <si>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</si>
  <si>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</si>
  <si>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</si>
  <si>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</si>
  <si>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</si>
  <si>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</si>
  <si>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</si>
  <si>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</si>
  <si>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</si>
  <si>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</si>
  <si>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</si>
  <si>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</si>
  <si>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</si>
  <si>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</si>
  <si>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</si>
  <si>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</si>
  <si>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</si>
  <si>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</si>
  <si>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</si>
  <si>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</si>
  <si>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</si>
  <si>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</si>
  <si>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</si>
  <si>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</si>
  <si>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</si>
  <si>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</si>
  <si>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</si>
  <si>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</si>
  <si>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</si>
  <si>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</si>
  <si>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</si>
  <si>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</si>
  <si>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</si>
  <si>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</si>
  <si>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</si>
  <si>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</si>
  <si>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</si>
  <si>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</si>
  <si>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</si>
  <si>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</si>
  <si>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</si>
  <si>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</si>
  <si>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</si>
  <si>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</si>
  <si>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</si>
  <si>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</si>
  <si>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</si>
  <si>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</si>
  <si>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</si>
  <si>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</si>
  <si>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</si>
  <si>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</si>
  <si>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</si>
  <si>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</si>
  <si>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</si>
  <si>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</si>
  <si>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</si>
  <si>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</si>
  <si>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</si>
  <si>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</si>
  <si>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</si>
  <si>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</si>
  <si>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</si>
  <si>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</si>
  <si>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</si>
  <si>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</si>
  <si>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</si>
  <si>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</si>
  <si>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</si>
  <si>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</si>
  <si>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</si>
  <si>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</si>
  <si>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</si>
  <si>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</si>
  <si>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</si>
  <si>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</si>
  <si>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</si>
  <si>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</si>
  <si>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</si>
  <si>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</si>
  <si>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</si>
  <si>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</si>
  <si>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</si>
  <si>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</si>
  <si>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</si>
  <si>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</si>
  <si>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</si>
  <si>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</si>
  <si>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</si>
  <si>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</si>
  <si>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</si>
  <si>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</si>
  <si>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</si>
  <si>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</si>
  <si>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</si>
  <si>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</si>
  <si>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</si>
  <si>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</si>
  <si>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</si>
  <si>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</si>
  <si>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</si>
  <si>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</si>
  <si>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</si>
  <si>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</si>
  <si>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</si>
  <si>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</si>
  <si>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</si>
  <si>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</si>
  <si>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</si>
  <si>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</si>
  <si>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</si>
  <si>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</si>
  <si>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</si>
  <si>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</si>
  <si>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</si>
  <si>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</si>
  <si>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</si>
  <si>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</si>
  <si>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</si>
  <si>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</si>
  <si>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</si>
  <si>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</si>
  <si>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</si>
  <si>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</si>
  <si>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</si>
  <si>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</si>
  <si>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</si>
  <si>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</si>
  <si>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</si>
  <si>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</si>
  <si>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</si>
  <si>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</si>
  <si>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</si>
  <si>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</si>
  <si>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</si>
  <si>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</si>
  <si>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</si>
  <si>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</si>
  <si>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</si>
  <si>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</si>
  <si>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</si>
  <si>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</si>
  <si>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</si>
  <si>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</si>
  <si>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</si>
  <si>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</si>
  <si>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</si>
  <si>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</si>
  <si>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</si>
  <si>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</si>
  <si>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</si>
  <si>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</si>
  <si>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</si>
  <si>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</si>
  <si>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</si>
  <si>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</si>
  <si>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</si>
  <si>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</si>
  <si>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</si>
  <si>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</si>
  <si>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</si>
  <si>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</si>
  <si>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</si>
  <si>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</si>
  <si>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</si>
  <si>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</si>
  <si>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</si>
  <si>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</si>
  <si>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</si>
  <si>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</si>
  <si>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</si>
  <si>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</si>
  <si>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</si>
  <si>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</si>
  <si>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</si>
  <si>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</si>
  <si>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</si>
  <si>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</si>
  <si>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</si>
  <si>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</si>
  <si>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</si>
  <si>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</si>
  <si>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</si>
  <si>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</si>
  <si>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</si>
  <si>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</si>
  <si>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</si>
  <si>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</si>
  <si>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</si>
  <si>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</si>
  <si>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</si>
  <si>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</si>
  <si>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</si>
  <si>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</si>
  <si>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</si>
  <si>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</si>
  <si>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</si>
  <si>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</si>
  <si>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</si>
  <si>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</si>
  <si>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</si>
  <si>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</si>
  <si>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</si>
  <si>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</si>
  <si>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</si>
  <si>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</si>
  <si>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</si>
  <si>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</si>
  <si>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</si>
  <si>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</si>
  <si>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</si>
  <si>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</si>
  <si>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</si>
  <si>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</si>
  <si>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</si>
  <si>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</si>
  <si>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</si>
  <si>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</si>
  <si>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</si>
  <si>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</si>
  <si>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</si>
  <si>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</si>
  <si>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</si>
  <si>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</si>
  <si>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</si>
  <si>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</si>
  <si>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</si>
  <si>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</si>
  <si>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</si>
  <si>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</si>
  <si>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</si>
  <si>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</si>
  <si>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</si>
  <si>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</si>
  <si>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</si>
  <si>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</si>
  <si>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</si>
  <si>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</si>
  <si>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</si>
  <si>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</si>
  <si>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</si>
  <si>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</si>
  <si>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</si>
  <si>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</si>
  <si>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</si>
  <si>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</si>
  <si>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</si>
  <si>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</si>
  <si>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</si>
  <si>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</si>
  <si>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</si>
  <si>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</si>
  <si>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</si>
  <si>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</si>
  <si>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</si>
  <si>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</si>
  <si>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</si>
  <si>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</si>
  <si>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</si>
  <si>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</si>
  <si>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</si>
  <si>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</si>
  <si>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</si>
  <si>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</si>
  <si>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</si>
  <si>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</si>
  <si>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</si>
  <si>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</si>
  <si>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</si>
  <si>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</si>
  <si>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</si>
  <si>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</si>
  <si>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</si>
  <si>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</si>
  <si>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</si>
  <si>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</si>
  <si>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</si>
  <si>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</si>
  <si>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</si>
  <si>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</si>
  <si>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</si>
  <si>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</si>
  <si>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</si>
  <si>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</si>
  <si>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</si>
  <si>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</si>
  <si>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</si>
  <si>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</si>
  <si>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</si>
  <si>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</si>
  <si>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</si>
  <si>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</si>
  <si>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</si>
  <si>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</si>
  <si>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</si>
  <si>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</si>
  <si>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</si>
  <si>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</si>
  <si>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</si>
  <si>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</si>
  <si>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</si>
  <si>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</si>
  <si>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</si>
  <si>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</si>
  <si>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</si>
  <si>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</si>
  <si>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</si>
  <si>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</si>
  <si>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</si>
  <si>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</si>
  <si>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</si>
  <si>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</si>
  <si>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</si>
  <si>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</si>
  <si>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</si>
  <si>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</si>
  <si>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</si>
  <si>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</si>
  <si>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</si>
  <si>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</si>
  <si>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</si>
  <si>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</si>
  <si>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</si>
  <si>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</si>
  <si>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</si>
  <si>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</si>
  <si>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</si>
  <si>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</si>
  <si>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</si>
  <si>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</si>
  <si>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</si>
  <si>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</si>
  <si>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</si>
  <si>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</si>
  <si>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</si>
  <si>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</si>
  <si>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</si>
  <si>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</si>
  <si>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</si>
  <si>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</si>
  <si>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</si>
  <si>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</si>
  <si>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</si>
  <si>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</si>
  <si>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</si>
  <si>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</si>
  <si>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</si>
  <si>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</si>
  <si>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</si>
  <si>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</si>
  <si>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</si>
  <si>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</si>
  <si>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</si>
  <si>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</si>
  <si>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</si>
  <si>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</si>
  <si>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</si>
  <si>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</si>
  <si>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</si>
  <si>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</si>
  <si>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</si>
  <si>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</si>
  <si>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</si>
  <si>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</si>
  <si>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</si>
  <si>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</si>
  <si>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</si>
  <si>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</si>
  <si>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</si>
  <si>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</si>
  <si>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</si>
  <si>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</si>
  <si>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</si>
  <si>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</si>
  <si>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</si>
  <si>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</si>
  <si>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</si>
  <si>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</si>
  <si>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</si>
  <si>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</si>
  <si>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</si>
  <si>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</si>
  <si>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</si>
  <si>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</si>
  <si>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</si>
  <si>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</si>
  <si>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</si>
  <si>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</si>
  <si>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</si>
  <si>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</si>
  <si>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</si>
  <si>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</si>
  <si>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</si>
  <si>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</si>
  <si>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</si>
  <si>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</si>
  <si>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</si>
  <si>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</si>
  <si>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</si>
  <si>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</si>
  <si>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</si>
  <si>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</si>
  <si>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</si>
  <si>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</si>
  <si>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</si>
  <si>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</si>
  <si>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</si>
  <si>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</si>
  <si>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</si>
  <si>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</si>
  <si>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</si>
  <si>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</si>
  <si>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</si>
  <si>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</si>
  <si>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</si>
  <si>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</si>
  <si>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</si>
  <si>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</si>
  <si>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</si>
  <si>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</si>
  <si>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</si>
  <si>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</si>
  <si>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</si>
  <si>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</si>
  <si>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</si>
  <si>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</si>
  <si>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</si>
  <si>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</si>
  <si>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</si>
  <si>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</si>
  <si>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</si>
  <si>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</si>
  <si>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</si>
  <si>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</si>
  <si>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</si>
  <si>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</si>
  <si>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</si>
  <si>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</si>
  <si>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</si>
  <si>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</si>
  <si>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</si>
  <si>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</si>
  <si>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</si>
  <si>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</si>
  <si>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</si>
  <si>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</si>
  <si>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</si>
  <si>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</si>
  <si>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</si>
  <si>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</si>
  <si>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</si>
  <si>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</si>
  <si>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</si>
  <si>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</si>
  <si>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</si>
  <si>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</si>
  <si>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</si>
  <si>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</si>
  <si>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</si>
  <si>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</si>
  <si>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</si>
  <si>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</si>
  <si>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</si>
  <si>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</si>
  <si>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</si>
  <si>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</si>
  <si>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</si>
  <si>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</si>
  <si>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</si>
  <si>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</si>
  <si>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</si>
  <si>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</si>
  <si>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</si>
  <si>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</si>
  <si>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</si>
  <si>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</si>
  <si>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</si>
  <si>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</si>
  <si>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</si>
  <si>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</si>
  <si>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</si>
  <si>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</si>
  <si>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</si>
  <si>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</si>
  <si>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</si>
  <si>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</si>
  <si>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</si>
  <si>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</si>
  <si>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</si>
  <si>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</si>
  <si>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</si>
  <si>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</si>
  <si>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</si>
  <si>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</si>
  <si>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</si>
  <si>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</si>
  <si>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</si>
  <si>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</si>
  <si>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</si>
  <si>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</si>
  <si>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</si>
  <si>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</si>
  <si>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</si>
  <si>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</si>
  <si>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</si>
  <si>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</si>
  <si>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</si>
  <si>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</si>
  <si>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</si>
  <si>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</si>
  <si>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</si>
  <si>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</si>
  <si>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</si>
  <si>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</si>
  <si>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</si>
  <si>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</si>
  <si>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</si>
  <si>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</si>
  <si>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</si>
  <si>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</si>
  <si>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</si>
  <si>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</si>
  <si>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</si>
  <si>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</si>
  <si>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</si>
  <si>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</si>
  <si>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</si>
  <si>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</si>
  <si>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</si>
  <si>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</si>
  <si>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</si>
  <si>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</si>
  <si>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</si>
  <si>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</si>
  <si>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</si>
  <si>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</si>
  <si>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</si>
  <si>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</si>
  <si>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</si>
  <si>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</si>
  <si>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</si>
  <si>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</si>
  <si>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</si>
  <si>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</si>
  <si>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</si>
  <si>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</si>
  <si>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</si>
  <si>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</si>
  <si>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</si>
  <si>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</si>
  <si>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</si>
  <si>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</si>
  <si>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</si>
  <si>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</si>
  <si>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</si>
  <si>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</si>
  <si>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</si>
  <si>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</si>
  <si>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</si>
  <si>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</si>
  <si>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</si>
  <si>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</si>
  <si>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</si>
  <si>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</si>
  <si>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</si>
  <si>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</si>
  <si>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</si>
  <si>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</si>
  <si>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</si>
  <si>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</si>
  <si>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</si>
  <si>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</si>
  <si>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</si>
  <si>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</si>
  <si>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</si>
  <si>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</si>
  <si>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</si>
  <si>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</si>
  <si>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</si>
  <si>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</si>
  <si>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</si>
  <si>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</si>
  <si>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</si>
  <si>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</si>
  <si>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</si>
  <si>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</si>
  <si>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</si>
  <si>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</si>
  <si>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</si>
  <si>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</si>
  <si>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</si>
  <si>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</si>
  <si>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</si>
  <si>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</si>
  <si>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</si>
  <si>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</si>
  <si>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</si>
  <si>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</si>
  <si>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</si>
  <si>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</si>
  <si>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</si>
  <si>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</si>
  <si>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</si>
  <si>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</si>
  <si>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</si>
  <si>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</si>
  <si>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</si>
  <si>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</si>
  <si>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</si>
  <si>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</si>
  <si>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</si>
  <si>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</si>
  <si>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</si>
  <si>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</si>
  <si>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</si>
  <si>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</si>
  <si>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</si>
  <si>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</si>
  <si>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</si>
  <si>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</si>
  <si>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</si>
  <si>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</si>
  <si>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</si>
  <si>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</si>
  <si>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</si>
  <si>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</si>
  <si>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</si>
  <si>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</si>
  <si>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</si>
  <si>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</si>
  <si>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</si>
  <si>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</si>
  <si>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</si>
  <si>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</si>
  <si>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</si>
  <si>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</si>
  <si>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</si>
  <si>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</si>
  <si>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</si>
  <si>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</si>
  <si>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</si>
  <si>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</si>
  <si>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</si>
  <si>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</si>
  <si>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</si>
  <si>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</si>
  <si>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</si>
  <si>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</si>
  <si>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</si>
  <si>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</si>
  <si>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</si>
  <si>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</si>
  <si>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</si>
  <si>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</si>
  <si>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</si>
  <si>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</si>
  <si>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</si>
  <si>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</si>
  <si>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</si>
  <si>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</si>
  <si>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</si>
  <si>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</si>
  <si>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</si>
  <si>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</si>
  <si>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</si>
  <si>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</si>
  <si>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</si>
  <si>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</si>
  <si>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</si>
  <si>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</si>
  <si>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</si>
  <si>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</si>
  <si>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</si>
  <si>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</si>
  <si>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</si>
  <si>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</si>
  <si>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</si>
  <si>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</si>
  <si>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</si>
  <si>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</si>
  <si>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</si>
  <si>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</si>
  <si>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</si>
  <si>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</si>
  <si>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</si>
  <si>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</si>
  <si>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</si>
  <si>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</si>
  <si>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</si>
  <si>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</si>
  <si>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</si>
  <si>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</si>
  <si>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</si>
  <si>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</si>
  <si>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</si>
  <si>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</si>
  <si>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</si>
  <si>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</si>
  <si>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</si>
  <si>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</si>
  <si>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</si>
  <si>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</si>
  <si>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</si>
  <si>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</si>
  <si>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</si>
  <si>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</si>
  <si>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</si>
  <si>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</si>
  <si>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</si>
  <si>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</si>
  <si>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</si>
  <si>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</si>
  <si>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</si>
  <si>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</si>
  <si>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</si>
  <si>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</si>
  <si>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</si>
  <si>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</si>
  <si>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</si>
  <si>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</si>
  <si>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</si>
  <si>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</si>
  <si>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</si>
  <si>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</si>
  <si>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</si>
  <si>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</si>
  <si>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</si>
  <si>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</si>
  <si>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</si>
  <si>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</si>
  <si>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</si>
  <si>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</si>
  <si>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</si>
  <si>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</si>
  <si>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</si>
  <si>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</si>
  <si>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</si>
  <si>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</si>
  <si>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</si>
  <si>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</si>
  <si>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</si>
  <si>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</si>
  <si>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</si>
  <si>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</si>
  <si>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</si>
  <si>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</si>
  <si>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</si>
  <si>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</si>
  <si>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</si>
  <si>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</si>
  <si>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</si>
  <si>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</si>
  <si>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</si>
  <si>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</si>
  <si>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</si>
  <si>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</si>
  <si>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</si>
  <si>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</si>
  <si>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</si>
  <si>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</si>
  <si>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</si>
  <si>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</si>
  <si>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</si>
  <si>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</si>
  <si>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</si>
  <si>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</si>
  <si>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</si>
  <si>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</si>
  <si>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</si>
  <si>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</si>
  <si>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</si>
  <si>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</si>
  <si>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</si>
  <si>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</si>
  <si>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</si>
  <si>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</si>
  <si>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</si>
  <si>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</si>
  <si>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</si>
  <si>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</si>
  <si>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</si>
  <si>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</si>
  <si>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</si>
  <si>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</si>
  <si>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</si>
  <si>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</si>
  <si>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</si>
  <si>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</si>
  <si>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</si>
  <si>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</si>
  <si>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</si>
  <si>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</si>
  <si>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</si>
  <si>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</si>
  <si>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</si>
  <si>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</si>
  <si>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</si>
  <si>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</si>
  <si>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</si>
  <si>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</si>
  <si>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</si>
  <si>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</si>
  <si>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</si>
  <si>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</si>
  <si>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</si>
  <si>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</si>
  <si>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</si>
  <si>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</si>
  <si>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</si>
  <si>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</si>
  <si>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</si>
  <si>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</si>
  <si>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</si>
  <si>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</si>
  <si>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</si>
  <si>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</si>
  <si>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</si>
  <si>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</si>
  <si>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</si>
  <si>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</si>
  <si>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</si>
  <si>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</si>
  <si>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</si>
  <si>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</si>
  <si>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</si>
  <si>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</si>
  <si>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</si>
  <si>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</si>
  <si>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</si>
  <si>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</si>
  <si>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</si>
  <si>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</si>
  <si>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</si>
  <si>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</si>
  <si>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</si>
  <si>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</si>
  <si>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</si>
  <si>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</si>
  <si>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</si>
  <si>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</si>
  <si>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</si>
  <si>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</si>
  <si>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</si>
  <si>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</si>
  <si>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</si>
  <si>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</si>
  <si>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</si>
  <si>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</si>
  <si>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</si>
  <si>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</si>
  <si>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</si>
  <si>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</si>
  <si>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</si>
  <si>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</si>
  <si>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</si>
  <si>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</si>
  <si>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</si>
  <si>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</si>
  <si>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</si>
  <si>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</si>
  <si>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</si>
  <si>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</si>
  <si>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</si>
  <si>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</si>
  <si>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</si>
  <si>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</si>
  <si>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</si>
  <si>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</si>
  <si>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</si>
  <si>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</si>
  <si>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</si>
  <si>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</si>
  <si>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</si>
  <si>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</si>
  <si>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</si>
  <si>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</si>
  <si>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</si>
  <si>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</si>
  <si>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</si>
  <si>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</si>
  <si>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</si>
  <si>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</si>
  <si>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</si>
  <si>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</si>
  <si>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</si>
  <si>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</si>
  <si>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</si>
  <si>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</si>
  <si>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</si>
  <si>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</si>
  <si>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</si>
  <si>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</si>
  <si>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</si>
  <si>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</si>
  <si>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</si>
  <si>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</si>
  <si>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</si>
  <si>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</si>
  <si>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</si>
  <si>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</si>
  <si>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</si>
  <si>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</si>
  <si>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</si>
  <si>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</si>
  <si>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</si>
  <si>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</si>
  <si>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</si>
  <si>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</si>
  <si>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</si>
  <si>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</si>
  <si>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</si>
  <si>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</si>
  <si>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</si>
  <si>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</si>
  <si>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</si>
  <si>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</si>
  <si>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</si>
  <si>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</si>
  <si>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</si>
  <si>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</si>
  <si>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</si>
  <si>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</si>
  <si>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</si>
  <si>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</si>
  <si>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</si>
  <si>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</si>
  <si>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</si>
  <si>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</si>
  <si>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</si>
  <si>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</si>
  <si>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</si>
  <si>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</si>
  <si>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</si>
  <si>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</si>
  <si>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</si>
  <si>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</si>
  <si>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</si>
  <si>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</si>
  <si>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</si>
  <si>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</si>
  <si>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</si>
  <si>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</si>
  <si>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</si>
  <si>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</si>
  <si>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</si>
  <si>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</si>
  <si>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</si>
  <si>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</si>
  <si>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</si>
  <si>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</si>
  <si>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</si>
  <si>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</si>
  <si>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</si>
  <si>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</si>
  <si>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</si>
  <si>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</si>
  <si>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</si>
  <si>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</si>
  <si>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</si>
  <si>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</si>
  <si>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</si>
  <si>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</si>
  <si>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</si>
  <si>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</si>
  <si>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</si>
  <si>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</si>
  <si>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</si>
  <si>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</si>
  <si>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</si>
  <si>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</si>
  <si>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</si>
  <si>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</si>
  <si>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</si>
  <si>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</si>
  <si>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</si>
  <si>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</si>
  <si>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</si>
  <si>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</si>
  <si>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</si>
  <si>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</si>
  <si>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</si>
  <si>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</si>
  <si>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</si>
  <si>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</si>
  <si>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</si>
  <si>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</si>
  <si>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</si>
  <si>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</si>
  <si>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</si>
  <si>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</si>
  <si>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</si>
  <si>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</si>
  <si>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</si>
  <si>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</si>
  <si>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</si>
  <si>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</si>
  <si>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</si>
  <si>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</si>
  <si>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</si>
  <si>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</si>
  <si>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</si>
  <si>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</si>
  <si>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</si>
  <si>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</si>
  <si>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</si>
  <si>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</si>
  <si>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</si>
  <si>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</si>
  <si>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</si>
  <si>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</si>
  <si>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</si>
  <si>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</si>
  <si>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</si>
  <si>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</si>
  <si>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</si>
  <si>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</si>
  <si>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</si>
  <si>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</si>
  <si>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</si>
  <si>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</si>
  <si>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</si>
  <si>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</si>
  <si>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</si>
  <si>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</si>
  <si>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</si>
  <si>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</si>
  <si>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</si>
  <si>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</si>
  <si>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</si>
  <si>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</si>
  <si>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</si>
  <si>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</si>
  <si>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</si>
  <si>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</si>
  <si>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</si>
  <si>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</si>
  <si>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</si>
  <si>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</si>
  <si>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</si>
  <si>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</si>
  <si>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</si>
  <si>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</si>
  <si>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</si>
  <si>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</si>
  <si>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</si>
  <si>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</si>
  <si>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</si>
  <si>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</si>
  <si>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</si>
  <si>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</si>
  <si>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</si>
  <si>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</si>
  <si>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</si>
  <si>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</si>
  <si>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</si>
  <si>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</si>
  <si>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</si>
  <si>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</si>
  <si>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</si>
  <si>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</si>
  <si>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</si>
  <si>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</si>
  <si>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</si>
  <si>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</si>
  <si>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</si>
  <si>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</si>
  <si>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</si>
  <si>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</si>
  <si>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</si>
  <si>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</si>
  <si>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</si>
  <si>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</si>
  <si>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</si>
  <si>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</si>
  <si>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</si>
  <si>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</si>
  <si>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</si>
  <si>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</si>
  <si>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</si>
  <si>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</si>
  <si>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</si>
  <si>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</si>
  <si>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</si>
  <si>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</si>
  <si>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</si>
  <si>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</si>
  <si>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</si>
  <si>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</si>
  <si>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</si>
  <si>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</si>
  <si>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</si>
  <si>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</si>
  <si>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</si>
  <si>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</si>
  <si>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</si>
  <si>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</si>
  <si>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</si>
  <si>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</si>
  <si>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</si>
  <si>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</si>
  <si>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</si>
  <si>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</si>
  <si>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</si>
  <si>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</si>
  <si>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</si>
  <si>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</si>
  <si>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</si>
  <si>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</si>
  <si>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</si>
  <si>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</si>
  <si>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</si>
  <si>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</si>
  <si>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</si>
  <si>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</si>
  <si>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</si>
  <si>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</si>
  <si>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</si>
  <si>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</si>
  <si>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</si>
  <si>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</si>
  <si>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</si>
  <si>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</si>
  <si>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</si>
  <si>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</si>
  <si>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</si>
  <si>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</si>
  <si>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</si>
  <si>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</si>
  <si>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</si>
  <si>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</si>
  <si>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</si>
  <si>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</si>
  <si>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</si>
  <si>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</si>
  <si>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</si>
  <si>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</si>
  <si>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</si>
  <si>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</si>
  <si>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</si>
  <si>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</si>
  <si>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</si>
  <si>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</si>
  <si>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</si>
  <si>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</si>
  <si>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</si>
  <si>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</si>
  <si>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</si>
  <si>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</si>
  <si>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</si>
  <si>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</si>
  <si>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</si>
  <si>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</si>
  <si>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</si>
  <si>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</si>
  <si>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</si>
  <si>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</si>
  <si>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</si>
  <si>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</si>
  <si>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</si>
  <si>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</si>
  <si>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</si>
  <si>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</si>
  <si>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</si>
  <si>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</si>
  <si>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</si>
  <si>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</si>
  <si>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</si>
  <si>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</si>
  <si>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</si>
  <si>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</si>
  <si>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</si>
  <si>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</si>
  <si>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</si>
  <si>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</si>
  <si>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</si>
  <si>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</si>
  <si>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</si>
  <si>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</si>
  <si>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</si>
  <si>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</si>
  <si>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</si>
  <si>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</si>
  <si>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</si>
  <si>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</si>
  <si>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</si>
  <si>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</si>
  <si>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</si>
  <si>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</si>
  <si>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</si>
  <si>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</si>
  <si>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</si>
  <si>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</si>
  <si>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</si>
  <si>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</si>
  <si>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</si>
  <si>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</si>
  <si>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</si>
  <si>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</si>
  <si>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</si>
  <si>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</si>
  <si>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</si>
  <si>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</si>
  <si>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</si>
  <si>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</si>
  <si>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</si>
  <si>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</si>
  <si>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</si>
  <si>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</si>
  <si>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</si>
  <si>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</si>
  <si>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</si>
  <si>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</si>
  <si>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</si>
  <si>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</si>
  <si>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</si>
  <si>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</si>
  <si>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</si>
  <si>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</si>
  <si>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</si>
  <si>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</si>
  <si>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</si>
  <si>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</si>
  <si>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</si>
  <si>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</si>
  <si>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</si>
  <si>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</si>
  <si>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</si>
  <si>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</si>
  <si>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</si>
  <si>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</si>
  <si>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</si>
  <si>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</si>
  <si>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</si>
  <si>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</si>
  <si>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</si>
  <si>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</si>
  <si>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</si>
  <si>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</si>
  <si>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</si>
  <si>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</si>
  <si>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</si>
  <si>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</si>
  <si>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</si>
  <si>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</si>
  <si>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</si>
  <si>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</si>
  <si>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</si>
  <si>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</si>
  <si>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</si>
  <si>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</si>
  <si>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</si>
  <si>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</si>
  <si>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</si>
  <si>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</si>
  <si>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</si>
  <si>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</si>
  <si>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</si>
  <si>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</si>
  <si>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</si>
  <si>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</si>
  <si>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</si>
  <si>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</si>
  <si>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</si>
  <si>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</si>
  <si>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</si>
  <si>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</si>
  <si>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</si>
  <si>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</si>
  <si>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</si>
  <si>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</si>
  <si>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</si>
  <si>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</si>
  <si>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</si>
  <si>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</si>
  <si>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</si>
  <si>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</si>
  <si>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</si>
  <si>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</si>
  <si>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</si>
  <si>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</si>
  <si>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</si>
  <si>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</si>
  <si>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</si>
  <si>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</si>
  <si>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</si>
  <si>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</si>
  <si>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</si>
  <si>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</si>
  <si>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</si>
  <si>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</si>
  <si>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</si>
  <si>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</si>
  <si>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</si>
  <si>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</si>
  <si>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</si>
  <si>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</si>
  <si>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</si>
  <si>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</si>
  <si>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</si>
  <si>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</si>
  <si>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</si>
  <si>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</si>
  <si>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</si>
  <si>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</si>
  <si>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</si>
  <si>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</si>
  <si>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</si>
  <si>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</si>
  <si>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</si>
  <si>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</si>
  <si>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</si>
  <si>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</si>
  <si>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</si>
  <si>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</si>
  <si>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</si>
  <si>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</si>
  <si>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</si>
  <si>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</si>
  <si>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</si>
  <si>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</si>
  <si>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</si>
  <si>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</si>
  <si>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</si>
  <si>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</si>
  <si>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</si>
  <si>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</si>
  <si>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</si>
  <si>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</si>
  <si>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</si>
  <si>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</si>
  <si>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</si>
  <si>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</si>
  <si>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</si>
  <si>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</si>
  <si>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</si>
  <si>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</si>
  <si>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</si>
  <si>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</si>
  <si>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</si>
  <si>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</si>
  <si>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</si>
  <si>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</si>
  <si>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</si>
  <si>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</si>
  <si>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</si>
  <si>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</si>
  <si>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</si>
  <si>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</si>
  <si>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</si>
  <si>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</si>
  <si>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</si>
  <si>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</si>
  <si>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</si>
  <si>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</si>
  <si>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</si>
  <si>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</si>
  <si>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</si>
  <si>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</si>
  <si>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</si>
  <si>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</si>
  <si>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</si>
  <si>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</si>
  <si>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</si>
  <si>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</si>
  <si>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</si>
  <si>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</si>
  <si>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</si>
  <si>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</si>
  <si>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</si>
  <si>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</si>
  <si>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</si>
  <si>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</si>
  <si>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</si>
  <si>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</si>
  <si>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</si>
  <si>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</si>
  <si>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</si>
  <si>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</si>
  <si>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</si>
  <si>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</si>
  <si>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</si>
  <si>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</si>
  <si>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</si>
  <si>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</si>
  <si>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</si>
  <si>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</si>
  <si>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</si>
  <si>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</si>
  <si>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</si>
  <si>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</si>
  <si>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</si>
  <si>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</si>
  <si>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</si>
  <si>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</si>
  <si>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</si>
  <si>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</si>
  <si>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</si>
  <si>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</si>
  <si>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</si>
  <si>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</si>
  <si>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</si>
  <si>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</si>
  <si>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</si>
  <si>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</si>
  <si>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</si>
  <si>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</si>
  <si>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</si>
  <si>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</si>
  <si>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</si>
  <si>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</si>
  <si>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</si>
  <si>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</si>
  <si>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</si>
  <si>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</si>
  <si>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</si>
  <si>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</si>
  <si>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</si>
  <si>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</si>
  <si>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</si>
  <si>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</si>
  <si>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</si>
  <si>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</si>
  <si>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</si>
  <si>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</si>
  <si>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</si>
  <si>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</si>
  <si>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</si>
  <si>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</si>
  <si>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</si>
  <si>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</si>
  <si>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</si>
  <si>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</si>
  <si>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</si>
  <si>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</si>
  <si>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</si>
  <si>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</si>
  <si>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</si>
  <si>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</si>
  <si>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</si>
  <si>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</si>
  <si>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</si>
  <si>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</si>
  <si>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</si>
  <si>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</si>
  <si>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</si>
  <si>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</si>
  <si>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</si>
  <si>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</si>
  <si>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</si>
  <si>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</si>
  <si>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</si>
  <si>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</si>
  <si>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</si>
  <si>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</si>
  <si>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</si>
  <si>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</si>
  <si>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</si>
  <si>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</si>
  <si>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</si>
  <si>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</si>
  <si>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</si>
  <si>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</si>
  <si>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</si>
  <si>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</si>
  <si>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</si>
  <si>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</si>
  <si>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</si>
  <si>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</si>
  <si>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</si>
  <si>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</si>
  <si>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</si>
  <si>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</si>
  <si>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</si>
  <si>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</si>
  <si>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</si>
  <si>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</si>
  <si>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</si>
  <si>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</si>
  <si>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</si>
  <si>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</si>
  <si>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</si>
  <si>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</si>
  <si>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</si>
  <si>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</si>
  <si>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</si>
  <si>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</si>
  <si>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</si>
  <si>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</si>
  <si>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</si>
  <si>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</si>
  <si>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</si>
  <si>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</si>
  <si>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</si>
  <si>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</si>
  <si>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</si>
  <si>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</si>
  <si>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</si>
  <si>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</si>
  <si>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</si>
  <si>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</si>
  <si>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</si>
  <si>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</si>
  <si>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</si>
  <si>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</si>
  <si>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</si>
  <si>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</si>
  <si>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</si>
  <si>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</si>
  <si>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</si>
  <si>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</si>
  <si>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</si>
  <si>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</si>
  <si>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</si>
  <si>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</si>
  <si>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</si>
  <si>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</si>
  <si>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</si>
  <si>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</si>
  <si>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</si>
  <si>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</si>
  <si>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</si>
  <si>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</si>
  <si>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</si>
  <si>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</si>
  <si>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</si>
  <si>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</si>
  <si>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</si>
  <si>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</si>
  <si>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</si>
  <si>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</si>
  <si>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</si>
  <si>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</si>
  <si>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</si>
  <si>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</si>
  <si>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</si>
  <si>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</si>
  <si>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</si>
  <si>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</si>
  <si>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</si>
  <si>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</si>
  <si>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</si>
  <si>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</si>
  <si>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</si>
  <si>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</si>
  <si>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</si>
  <si>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</si>
  <si>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</si>
  <si>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</si>
  <si>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</si>
  <si>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</si>
  <si>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</si>
  <si>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</si>
  <si>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</si>
  <si>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</si>
  <si>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</si>
  <si>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</si>
  <si>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</si>
  <si>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</si>
  <si>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</si>
  <si>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</si>
  <si>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</si>
  <si>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</si>
  <si>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</si>
  <si>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</si>
  <si>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</si>
  <si>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</si>
  <si>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</si>
  <si>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</si>
  <si>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</si>
  <si>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</si>
  <si>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</si>
  <si>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</si>
  <si>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</si>
  <si>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</si>
  <si>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</si>
  <si>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</si>
  <si>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</si>
  <si>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</si>
  <si>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</si>
  <si>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</si>
  <si>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</si>
  <si>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</si>
  <si>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</si>
  <si>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</si>
  <si>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</si>
  <si>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</si>
  <si>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</si>
  <si>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</si>
  <si>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</si>
  <si>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</si>
  <si>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</si>
  <si>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</si>
  <si>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</si>
  <si>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</si>
  <si>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</si>
  <si>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</si>
  <si>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</si>
  <si>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</si>
  <si>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</si>
  <si>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</si>
  <si>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</si>
  <si>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</si>
  <si>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</si>
  <si>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</si>
  <si>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</si>
  <si>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</si>
  <si>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</si>
  <si>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</si>
  <si>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</si>
  <si>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</si>
  <si>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</si>
  <si>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</si>
  <si>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</si>
  <si>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</si>
  <si>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</si>
  <si>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</si>
  <si>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</si>
  <si>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</si>
  <si>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</si>
  <si>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</si>
  <si>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</si>
  <si>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</si>
  <si>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</si>
  <si>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</si>
  <si>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</si>
  <si>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</si>
  <si>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</si>
  <si>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</si>
  <si>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</si>
  <si>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</si>
  <si>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</si>
  <si>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</si>
  <si>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</si>
  <si>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</si>
  <si>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</si>
  <si>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</si>
  <si>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</si>
  <si>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</si>
  <si>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</si>
  <si>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</si>
  <si>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</si>
  <si>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</si>
  <si>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</si>
  <si>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</si>
  <si>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</si>
  <si>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</si>
  <si>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</si>
  <si>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</si>
  <si>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</si>
  <si>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</si>
  <si>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</si>
  <si>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</si>
  <si>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</si>
  <si>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</si>
  <si>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</si>
  <si>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</si>
  <si>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</si>
  <si>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</si>
  <si>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</si>
  <si>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</si>
  <si>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</si>
  <si>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</si>
  <si>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</si>
  <si>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</si>
  <si>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</si>
  <si>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</si>
  <si>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</si>
  <si>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</si>
  <si>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</si>
  <si>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</si>
  <si>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</si>
  <si>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</si>
  <si>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</si>
  <si>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</si>
  <si>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</si>
  <si>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</si>
  <si>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</si>
  <si>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</si>
  <si>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</si>
  <si>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</si>
  <si>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</si>
  <si>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</si>
  <si>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</si>
  <si>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</si>
  <si>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</si>
  <si>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</si>
  <si>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</si>
  <si>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</si>
  <si>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</si>
  <si>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</si>
  <si>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</si>
  <si>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</si>
  <si>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</si>
  <si>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</si>
  <si>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</si>
  <si>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</si>
  <si>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</si>
  <si>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</si>
  <si>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</si>
  <si>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</si>
  <si>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</si>
  <si>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</si>
  <si>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</si>
  <si>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</si>
  <si>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</si>
  <si>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</si>
  <si>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</si>
  <si>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</si>
  <si>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</si>
  <si>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</si>
  <si>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</si>
  <si>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</si>
  <si>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</si>
  <si>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</si>
  <si>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</si>
  <si>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</si>
  <si>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</si>
  <si>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</si>
  <si>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</si>
  <si>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</si>
  <si>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</si>
  <si>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</si>
  <si>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</si>
  <si>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</si>
  <si>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</si>
  <si>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</si>
  <si>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</si>
  <si>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</si>
  <si>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</si>
  <si>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</si>
  <si>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</si>
  <si>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</si>
  <si>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</si>
  <si>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</si>
  <si>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</si>
  <si>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</si>
  <si>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</si>
  <si>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</si>
  <si>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</si>
  <si>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</si>
  <si>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</si>
  <si>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</si>
  <si>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</si>
  <si>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</si>
  <si>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</si>
  <si>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</si>
  <si>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</si>
  <si>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</si>
  <si>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</si>
  <si>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</si>
  <si>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</si>
  <si>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</si>
  <si>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</si>
  <si>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</si>
  <si>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</si>
  <si>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</si>
  <si>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</si>
  <si>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</si>
  <si>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</si>
  <si>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</si>
  <si>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</si>
  <si>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</si>
  <si>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</si>
  <si>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</si>
  <si>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</si>
  <si>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</si>
  <si>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</si>
  <si>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</si>
  <si>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</si>
  <si>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</si>
  <si>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</si>
  <si>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</si>
  <si>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</si>
  <si>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</si>
  <si>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</si>
  <si>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</si>
  <si>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</si>
  <si>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</si>
  <si>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</si>
  <si>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</si>
  <si>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</si>
  <si>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</si>
  <si>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</si>
  <si>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</si>
  <si>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</si>
  <si>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</si>
  <si>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</si>
  <si>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</si>
  <si>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</si>
  <si>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</si>
  <si>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</si>
  <si>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</si>
  <si>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</si>
  <si>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</si>
  <si>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</si>
  <si>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</si>
  <si>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</si>
  <si>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</si>
  <si>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</si>
  <si>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</si>
  <si>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</si>
  <si>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</si>
  <si>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</si>
  <si>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</si>
  <si>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</si>
  <si>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</si>
  <si>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</si>
  <si>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</si>
  <si>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</si>
  <si>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</si>
  <si>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</si>
  <si>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</si>
  <si>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</si>
  <si>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</si>
  <si>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</si>
  <si>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</si>
  <si>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</si>
  <si>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</si>
  <si>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</si>
  <si>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</si>
  <si>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</si>
  <si>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</si>
  <si>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</si>
  <si>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</si>
  <si>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</si>
  <si>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</si>
  <si>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</si>
  <si>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</si>
  <si>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</si>
  <si>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</si>
  <si>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</si>
  <si>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</si>
  <si>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</si>
  <si>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</si>
  <si>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</si>
  <si>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</si>
  <si>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</si>
  <si>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</si>
  <si>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</si>
  <si>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</si>
  <si>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</si>
  <si>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</si>
  <si>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</si>
  <si>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</si>
  <si>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</si>
  <si>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</si>
  <si>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</si>
  <si>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</si>
  <si>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</si>
  <si>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</si>
  <si>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</si>
  <si>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</si>
  <si>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</si>
  <si>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</si>
  <si>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</si>
  <si>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</si>
  <si>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</si>
  <si>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</si>
  <si>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</si>
  <si>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</si>
  <si>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</si>
  <si>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</si>
  <si>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</si>
  <si>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</si>
  <si>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</si>
  <si>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</si>
  <si>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</si>
  <si>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</si>
  <si>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</si>
  <si>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</si>
  <si>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</si>
  <si>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</si>
  <si>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</si>
  <si>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</si>
  <si>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</si>
  <si>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</si>
  <si>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</si>
  <si>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</si>
  <si>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</si>
  <si>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</si>
  <si>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</si>
  <si>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</si>
  <si>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</si>
  <si>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</si>
  <si>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</si>
  <si>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</si>
  <si>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</si>
  <si>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</si>
  <si>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</si>
  <si>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</si>
  <si>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</si>
  <si>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</si>
  <si>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</si>
  <si>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</si>
  <si>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</si>
  <si>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</si>
  <si>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</si>
  <si>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</si>
  <si>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</si>
  <si>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</si>
  <si>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</si>
  <si>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</si>
  <si>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</si>
  <si>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</si>
  <si>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</si>
  <si>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</si>
  <si>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</si>
  <si>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</si>
  <si>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</si>
  <si>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</si>
  <si>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</si>
  <si>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</si>
  <si>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</si>
  <si>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</si>
  <si>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</si>
  <si>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</si>
  <si>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</si>
  <si>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</si>
  <si>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</si>
  <si>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</si>
  <si>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</si>
  <si>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</si>
  <si>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</si>
  <si>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</si>
  <si>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</si>
  <si>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</si>
  <si>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</si>
  <si>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</si>
  <si>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</si>
  <si>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</si>
  <si>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</si>
  <si>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</si>
  <si>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</si>
  <si>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</si>
  <si>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</si>
  <si>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</si>
  <si>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</si>
  <si>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</si>
  <si>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</si>
  <si>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</si>
  <si>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</si>
  <si>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</si>
  <si>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</si>
  <si>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</si>
  <si>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</si>
  <si>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</si>
  <si>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</si>
  <si>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</si>
  <si>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</si>
  <si>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</si>
  <si>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</si>
  <si>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</si>
  <si>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</si>
  <si>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</si>
  <si>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</si>
  <si>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</si>
  <si>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</si>
  <si>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</si>
  <si>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</si>
  <si>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</si>
  <si>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</si>
  <si>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</si>
  <si>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</si>
  <si>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</si>
  <si>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</si>
  <si>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</si>
  <si>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</si>
  <si>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</si>
  <si>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</si>
  <si>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</si>
  <si>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</si>
  <si>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</si>
  <si>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</si>
  <si>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</si>
  <si>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</si>
  <si>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</si>
  <si>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</si>
  <si>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</si>
  <si>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</si>
  <si>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</si>
  <si>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</si>
  <si>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</si>
  <si>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</si>
  <si>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</si>
  <si>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</si>
  <si>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</si>
  <si>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</si>
  <si>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</si>
  <si>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</si>
  <si>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</si>
  <si>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</si>
  <si>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</si>
  <si>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</si>
  <si>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</si>
  <si>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</si>
  <si>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</si>
  <si>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</si>
  <si>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</si>
  <si>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</si>
  <si>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</si>
  <si>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</si>
  <si>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</si>
  <si>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</si>
  <si>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</si>
  <si>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</si>
  <si>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</si>
  <si>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</si>
  <si>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</si>
  <si>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</si>
  <si>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</si>
  <si>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</si>
  <si>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</si>
  <si>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</si>
  <si>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</si>
  <si>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</si>
  <si>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</si>
  <si>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</si>
  <si>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</si>
  <si>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</si>
  <si>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</si>
  <si>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</si>
  <si>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</si>
  <si>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</si>
  <si>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</si>
  <si>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</si>
  <si>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</si>
  <si>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</si>
  <si>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</si>
  <si>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</si>
  <si>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</si>
  <si>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</si>
  <si>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</si>
  <si>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</si>
  <si>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</si>
  <si>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</si>
  <si>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</si>
  <si>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</si>
  <si>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</si>
  <si>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</si>
  <si>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</si>
  <si>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</si>
  <si>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</si>
  <si>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</si>
  <si>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</si>
  <si>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</si>
  <si>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</si>
  <si>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</si>
  <si>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</si>
  <si>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</si>
  <si>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</si>
  <si>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</si>
  <si>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</si>
  <si>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</si>
  <si>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</si>
  <si>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</si>
  <si>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</si>
  <si>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</si>
  <si>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</si>
  <si>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</si>
  <si>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</si>
  <si>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</si>
  <si>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</si>
  <si>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</si>
  <si>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</si>
  <si>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</si>
  <si>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</si>
  <si>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</si>
  <si>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</si>
  <si>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</si>
  <si>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</si>
  <si>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</si>
  <si>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</si>
  <si>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</si>
  <si>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</si>
  <si>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</si>
  <si>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</si>
  <si>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</si>
  <si>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</si>
  <si>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</si>
  <si>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</si>
  <si>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</si>
  <si>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</si>
  <si>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</si>
  <si>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</si>
  <si>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</si>
  <si>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</si>
  <si>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</si>
  <si>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</si>
  <si>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</si>
  <si>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</si>
  <si>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</si>
  <si>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</si>
  <si>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</si>
  <si>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</si>
  <si>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</si>
  <si>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</si>
  <si>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</si>
  <si>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</si>
  <si>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</si>
  <si>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</si>
  <si>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</si>
  <si>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</si>
  <si>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</si>
  <si>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</si>
  <si>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</si>
  <si>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</si>
  <si>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</si>
  <si>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</si>
  <si>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</si>
  <si>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</si>
  <si>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</si>
  <si>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</si>
  <si>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</si>
  <si>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</si>
  <si>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</si>
  <si>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</si>
  <si>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</si>
  <si>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</si>
  <si>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</si>
  <si>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</si>
  <si>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</si>
  <si>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</si>
  <si>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</si>
  <si>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</si>
  <si>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</si>
  <si>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</si>
  <si>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</si>
  <si>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</si>
  <si>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</si>
  <si>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</si>
  <si>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</si>
  <si>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</si>
  <si>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</si>
  <si>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</si>
  <si>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</si>
  <si>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</si>
  <si>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</si>
  <si>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</si>
  <si>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</si>
  <si>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</si>
  <si>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</si>
  <si>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</si>
  <si>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</si>
  <si>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</si>
  <si>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</si>
  <si>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</si>
  <si>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</si>
  <si>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</si>
  <si>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</si>
  <si>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</si>
  <si>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</si>
  <si>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</si>
  <si>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</si>
  <si>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</si>
  <si>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</si>
  <si>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</si>
  <si>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</si>
  <si>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</si>
  <si>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</si>
  <si>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</si>
  <si>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</si>
  <si>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</si>
  <si>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</si>
  <si>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</si>
  <si>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</si>
  <si>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</si>
  <si>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</si>
  <si>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</si>
  <si>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</si>
  <si>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</si>
  <si>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</si>
  <si>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</si>
  <si>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</si>
  <si>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</si>
  <si>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</si>
  <si>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</si>
  <si>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</si>
  <si>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</si>
  <si>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</si>
  <si>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</si>
  <si>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</si>
  <si>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</si>
  <si>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</si>
  <si>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</si>
  <si>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</si>
  <si>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</si>
  <si>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</si>
  <si>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</si>
  <si>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</si>
  <si>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</si>
  <si>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</si>
  <si>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</si>
  <si>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</si>
  <si>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</si>
  <si>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</si>
  <si>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</si>
  <si>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</si>
  <si>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</si>
  <si>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</si>
  <si>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</si>
  <si>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</si>
  <si>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</si>
  <si>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</si>
  <si>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</si>
  <si>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</si>
  <si>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</si>
  <si>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</si>
  <si>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</si>
  <si>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</si>
  <si>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</si>
  <si>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</si>
  <si>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</si>
  <si>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</si>
  <si>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</si>
  <si>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</si>
  <si>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</si>
  <si>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</si>
  <si>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</si>
  <si>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</si>
  <si>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</si>
  <si>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</si>
  <si>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</si>
  <si>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</si>
  <si>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</si>
  <si>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</si>
  <si>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</si>
  <si>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</si>
  <si>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</si>
  <si>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</si>
  <si>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</si>
  <si>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</si>
  <si>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</si>
  <si>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</si>
  <si>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</si>
  <si>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</si>
  <si>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</si>
  <si>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</si>
  <si>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</si>
  <si>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</si>
  <si>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</si>
  <si>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</si>
  <si>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</si>
  <si>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</si>
  <si>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</si>
  <si>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</si>
  <si>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</si>
  <si>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</si>
  <si>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</si>
  <si>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</si>
  <si>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</si>
  <si>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</si>
  <si>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</si>
  <si>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</si>
  <si>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</si>
  <si>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</si>
  <si>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</si>
  <si>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</si>
  <si>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</si>
  <si>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</si>
  <si>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</si>
  <si>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</si>
  <si>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</si>
  <si>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</si>
  <si>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</si>
  <si>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</si>
  <si>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</si>
  <si>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</si>
  <si>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</si>
  <si>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</si>
  <si>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</si>
  <si>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</si>
  <si>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</si>
  <si>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</si>
  <si>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</si>
  <si>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</si>
  <si>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</si>
  <si>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</si>
  <si>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</si>
  <si>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</si>
  <si>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</si>
  <si>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</si>
  <si>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</si>
  <si>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</si>
  <si>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</si>
  <si>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</si>
  <si>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</si>
  <si>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</si>
  <si>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</si>
  <si>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</si>
  <si>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</si>
  <si>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</si>
  <si>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</si>
  <si>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</si>
  <si>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</si>
  <si>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</si>
  <si>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</si>
  <si>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</si>
  <si>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</si>
  <si>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</si>
  <si>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</si>
  <si>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</si>
  <si>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</si>
  <si>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</si>
  <si>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</si>
  <si>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</si>
  <si>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</si>
  <si>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</si>
  <si>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</si>
  <si>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</si>
  <si>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</si>
  <si>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</si>
  <si>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</si>
  <si>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</si>
  <si>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</si>
  <si>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</si>
  <si>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</si>
  <si>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</si>
  <si>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</si>
  <si>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</si>
  <si>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</si>
  <si>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</si>
  <si>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</si>
  <si>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</si>
  <si>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</si>
  <si>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</si>
  <si>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</si>
  <si>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</si>
  <si>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</si>
  <si>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</si>
  <si>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</si>
  <si>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</si>
  <si>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</si>
  <si>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</si>
  <si>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</si>
  <si>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</si>
  <si>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</si>
  <si>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</si>
  <si>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</si>
  <si>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</si>
  <si>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</si>
  <si>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</si>
  <si>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</si>
  <si>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</si>
  <si>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</si>
  <si>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</si>
  <si>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</si>
  <si>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</si>
  <si>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</si>
  <si>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</si>
  <si>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</si>
  <si>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</si>
  <si>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</si>
  <si>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</si>
  <si>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</si>
  <si>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</si>
  <si>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</si>
  <si>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</si>
  <si>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</si>
  <si>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</si>
  <si>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</si>
  <si>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</si>
  <si>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</si>
  <si>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</si>
  <si>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</si>
  <si>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</si>
  <si>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</si>
  <si>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</si>
  <si>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</si>
  <si>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</si>
  <si>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</si>
  <si>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</si>
  <si>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</si>
  <si>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</si>
  <si>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</si>
  <si>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</si>
  <si>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</si>
  <si>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</si>
  <si>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</si>
  <si>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</si>
  <si>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</si>
  <si>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</si>
  <si>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</si>
  <si>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</si>
  <si>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</si>
  <si>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</si>
  <si>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</si>
  <si>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</si>
  <si>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</si>
  <si>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</si>
  <si>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</si>
  <si>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</si>
  <si>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</si>
  <si>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</si>
  <si>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</si>
  <si>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</si>
  <si>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</si>
  <si>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</si>
  <si>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</si>
  <si>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</si>
  <si>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</si>
  <si>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</si>
  <si>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</si>
  <si>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</si>
  <si>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</si>
  <si>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</si>
  <si>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</si>
  <si>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</si>
  <si>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</si>
  <si>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</si>
  <si>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</si>
  <si>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</si>
  <si>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</si>
  <si>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</si>
  <si>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</si>
  <si>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</si>
  <si>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</si>
  <si>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</si>
  <si>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</si>
  <si>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</si>
  <si>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</si>
  <si>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</si>
  <si>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</si>
  <si>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</si>
  <si>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</si>
  <si>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</si>
  <si>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</si>
  <si>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</si>
  <si>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</si>
  <si>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</si>
  <si>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</si>
  <si>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</si>
  <si>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</si>
  <si>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</si>
  <si>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</si>
  <si>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</si>
  <si>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</si>
  <si>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</si>
  <si>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</si>
  <si>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</si>
  <si>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</si>
  <si>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</si>
  <si>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</si>
  <si>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</si>
  <si>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</si>
  <si>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</si>
  <si>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</si>
  <si>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</si>
  <si>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</si>
  <si>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</si>
  <si>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</si>
  <si>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</si>
  <si>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</si>
  <si>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</si>
  <si>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</si>
  <si>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</si>
  <si>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</si>
  <si>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</si>
  <si>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</si>
  <si>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</si>
  <si>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</si>
  <si>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</si>
  <si>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</si>
  <si>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</si>
  <si>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</si>
  <si>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</si>
  <si>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</si>
  <si>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</si>
  <si>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</si>
  <si>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</si>
  <si>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</si>
  <si>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</si>
  <si>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</si>
  <si>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</si>
  <si>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</si>
  <si>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</si>
  <si>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</si>
  <si>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</si>
  <si>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</si>
  <si>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</si>
  <si>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</si>
  <si>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</si>
  <si>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</si>
  <si>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</si>
  <si>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</si>
  <si>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</si>
  <si>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</si>
  <si>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</si>
  <si>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</si>
  <si>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</si>
  <si>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</si>
  <si>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</si>
  <si>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</si>
  <si>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</si>
  <si>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</si>
  <si>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</si>
  <si>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</si>
  <si>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</si>
  <si>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</si>
  <si>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</si>
  <si>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</si>
  <si>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</si>
  <si>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</si>
  <si>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</si>
  <si>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</si>
  <si>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</si>
  <si>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</si>
  <si>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</si>
  <si>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</si>
  <si>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</si>
  <si>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</si>
  <si>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</si>
  <si>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</si>
  <si>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</si>
  <si>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</si>
  <si>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</si>
  <si>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</si>
  <si>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</si>
  <si>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</si>
  <si>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</si>
  <si>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</si>
  <si>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</si>
  <si>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</si>
  <si>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</si>
  <si>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</si>
  <si>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</si>
  <si>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</si>
  <si>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</si>
  <si>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</si>
  <si>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</si>
  <si>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</si>
  <si>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</si>
  <si>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</si>
  <si>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</si>
  <si>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</si>
  <si>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</si>
  <si>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</si>
  <si>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</si>
  <si>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</si>
  <si>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</si>
  <si>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</si>
  <si>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</si>
  <si>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</si>
  <si>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</si>
  <si>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</si>
  <si>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</si>
  <si>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</si>
  <si>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</si>
  <si>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</si>
  <si>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</si>
  <si>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</si>
  <si>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</si>
  <si>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</si>
  <si>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</si>
  <si>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</si>
  <si>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</si>
  <si>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</si>
  <si>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</si>
  <si>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</si>
  <si>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</si>
  <si>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</si>
  <si>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</si>
  <si>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</si>
  <si>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</si>
  <si>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</si>
  <si>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</si>
  <si>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</si>
  <si>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</si>
  <si>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</si>
  <si>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</si>
  <si>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</si>
  <si>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</si>
  <si>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</si>
  <si>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</si>
  <si>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</si>
  <si>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</si>
  <si>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</si>
  <si>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</si>
  <si>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</si>
  <si>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</si>
  <si>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</si>
  <si>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</si>
  <si>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</si>
  <si>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</si>
  <si>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</si>
  <si>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</si>
  <si>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</si>
  <si>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</si>
  <si>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</si>
  <si>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</si>
  <si>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</si>
  <si>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</si>
  <si>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</si>
  <si>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</si>
  <si>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</si>
  <si>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</si>
  <si>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</si>
  <si>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</si>
  <si>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</si>
  <si>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</si>
  <si>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</si>
  <si>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</si>
  <si>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</si>
  <si>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</si>
  <si>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</si>
  <si>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</si>
  <si>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</si>
  <si>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</si>
  <si>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</si>
  <si>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</si>
  <si>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</si>
  <si>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</si>
  <si>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</si>
  <si>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</si>
  <si>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</si>
  <si>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</si>
  <si>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</si>
  <si>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</si>
  <si>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</si>
  <si>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</si>
  <si>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</si>
  <si>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</si>
  <si>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</si>
  <si>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</si>
  <si>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</si>
  <si>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</si>
  <si>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</si>
  <si>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</si>
  <si>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</si>
  <si>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</si>
  <si>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</si>
  <si>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</si>
  <si>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</si>
  <si>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</si>
  <si>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</si>
  <si>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</si>
  <si>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</si>
  <si>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</si>
  <si>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</si>
  <si>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</si>
  <si>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</si>
  <si>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</si>
  <si>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</si>
  <si>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</si>
  <si>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</si>
  <si>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</si>
  <si>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</si>
  <si>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</si>
  <si>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</si>
  <si>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</si>
  <si>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</si>
  <si>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</si>
  <si>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</si>
  <si>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</si>
  <si>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</si>
  <si>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</si>
  <si>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</si>
  <si>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</si>
  <si>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</si>
  <si>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</si>
  <si>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</si>
  <si>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</si>
  <si>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</si>
  <si>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</si>
  <si>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</si>
  <si>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</si>
  <si>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</si>
  <si>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</si>
  <si>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</si>
  <si>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</si>
  <si>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</si>
  <si>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</si>
  <si>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</si>
  <si>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</si>
  <si>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</si>
  <si>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</si>
  <si>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</si>
  <si>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</si>
  <si>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</si>
  <si>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</si>
  <si>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</si>
  <si>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</si>
  <si>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</si>
  <si>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</si>
  <si>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</si>
  <si>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</si>
  <si>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</si>
  <si>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</si>
  <si>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</si>
  <si>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</si>
  <si>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</si>
  <si>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</si>
  <si>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</si>
  <si>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</si>
  <si>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</si>
  <si>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</si>
  <si>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</si>
  <si>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</si>
  <si>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</si>
  <si>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</si>
  <si>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</si>
  <si>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</si>
  <si>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</si>
  <si>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</si>
  <si>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</si>
  <si>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</si>
  <si>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</si>
  <si>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</si>
  <si>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</si>
  <si>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</si>
  <si>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</si>
  <si>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</si>
  <si>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</si>
  <si>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</si>
  <si>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</si>
  <si>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</si>
  <si>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</si>
  <si>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</si>
  <si>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</si>
  <si>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</si>
  <si>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</si>
  <si>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</si>
  <si>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</si>
  <si>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</si>
  <si>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</si>
  <si>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</si>
  <si>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</si>
  <si>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</si>
  <si>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</si>
  <si>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</si>
  <si>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</si>
  <si>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</si>
  <si>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</si>
  <si>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</si>
  <si>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</si>
  <si>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</si>
  <si>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</si>
  <si>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</si>
  <si>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</si>
  <si>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</si>
  <si>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</si>
  <si>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</si>
  <si>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</si>
  <si>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</si>
  <si>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</si>
  <si>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</si>
  <si>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</si>
  <si>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</si>
  <si>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</si>
  <si>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</si>
  <si>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</si>
  <si>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</si>
  <si>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</si>
  <si>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</si>
  <si>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</si>
  <si>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</si>
  <si>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</si>
  <si>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</si>
  <si>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</si>
  <si>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</si>
  <si>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</si>
  <si>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</si>
  <si>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</si>
  <si>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</si>
  <si>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</si>
  <si>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</si>
  <si>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</si>
  <si>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</si>
  <si>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</si>
  <si>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</si>
  <si>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</si>
  <si>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</si>
  <si>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</si>
  <si>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</si>
  <si>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</si>
  <si>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</si>
  <si>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</si>
  <si>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</si>
  <si>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</si>
  <si>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</si>
  <si>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</si>
  <si>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</si>
  <si>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</si>
  <si>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</si>
  <si>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</si>
  <si>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</si>
  <si>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</si>
  <si>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</si>
  <si>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</si>
  <si>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</si>
  <si>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</si>
  <si>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</si>
  <si>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</si>
  <si>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</si>
  <si>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</si>
  <si>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</si>
  <si>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</si>
  <si>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</si>
  <si>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</si>
  <si>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</si>
  <si>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</si>
  <si>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</si>
  <si>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</si>
  <si>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</si>
  <si>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</si>
  <si>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</si>
  <si>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</si>
  <si>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</si>
  <si>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</si>
  <si>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</si>
  <si>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</si>
  <si>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</si>
  <si>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</si>
  <si>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</si>
  <si>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</si>
  <si>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</si>
  <si>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</si>
  <si>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</si>
  <si>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</si>
  <si>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</si>
  <si>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</si>
  <si>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</si>
  <si>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</si>
  <si>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</si>
  <si>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</si>
  <si>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</si>
  <si>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</si>
  <si>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</si>
  <si>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</si>
  <si>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</si>
  <si>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</si>
  <si>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</si>
  <si>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</si>
  <si>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</si>
  <si>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</si>
  <si>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</si>
  <si>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</si>
  <si>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</si>
  <si>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</si>
  <si>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</si>
  <si>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</si>
  <si>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</si>
  <si>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</si>
  <si>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</si>
  <si>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</si>
  <si>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</si>
  <si>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</si>
  <si>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</si>
  <si>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</si>
  <si>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</si>
  <si>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</si>
  <si>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</si>
  <si>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</si>
  <si>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</si>
  <si>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</si>
  <si>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</si>
  <si>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</si>
  <si>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</si>
  <si>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</si>
  <si>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</si>
  <si>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</si>
  <si>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</si>
  <si>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</si>
  <si>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</si>
  <si>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</si>
  <si>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</si>
  <si>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</si>
  <si>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</si>
  <si>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</si>
  <si>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</si>
  <si>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</si>
  <si>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</si>
  <si>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</si>
  <si>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</si>
  <si>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</si>
  <si>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</si>
  <si>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</si>
  <si>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</si>
  <si>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</si>
  <si>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</si>
  <si>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</si>
  <si>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</si>
  <si>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</si>
  <si>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</si>
  <si>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</si>
  <si>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</si>
  <si>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</si>
  <si>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</si>
  <si>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</si>
  <si>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</si>
  <si>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</si>
  <si>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</si>
  <si>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</si>
  <si>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</si>
  <si>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</si>
  <si>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</si>
  <si>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</si>
  <si>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</si>
  <si>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</si>
  <si>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</si>
  <si>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</si>
  <si>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</si>
  <si>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</si>
  <si>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</si>
  <si>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</si>
  <si>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</si>
  <si>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</si>
  <si>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</si>
  <si>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</si>
  <si>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</si>
  <si>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</si>
  <si>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</si>
  <si>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</si>
  <si>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</si>
  <si>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</si>
  <si>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</si>
  <si>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</si>
  <si>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</si>
  <si>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</si>
  <si>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</si>
  <si>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</si>
  <si>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</si>
  <si>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</si>
  <si>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</si>
  <si>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</si>
  <si>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</si>
  <si>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</si>
  <si>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</si>
  <si>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</si>
  <si>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</si>
  <si>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</si>
  <si>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</si>
  <si>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</si>
  <si>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</si>
  <si>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</si>
  <si>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</si>
  <si>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</si>
  <si>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</si>
  <si>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</si>
  <si>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</si>
  <si>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</si>
  <si>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</si>
  <si>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</si>
  <si>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</si>
  <si>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</si>
  <si>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</si>
  <si>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</si>
  <si>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</si>
  <si>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</si>
  <si>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</si>
  <si>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</si>
  <si>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</si>
  <si>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</si>
  <si>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</si>
  <si>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</si>
  <si>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</si>
  <si>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</si>
  <si>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</si>
  <si>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</si>
  <si>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</si>
  <si>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</si>
  <si>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</si>
  <si>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</si>
  <si>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</si>
  <si>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</si>
  <si>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</si>
  <si>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</si>
  <si>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</si>
  <si>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</si>
  <si>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</si>
  <si>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</si>
  <si>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</si>
  <si>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</si>
  <si>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</si>
  <si>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</si>
  <si>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</si>
  <si>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</si>
  <si>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</si>
  <si>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</si>
  <si>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</si>
  <si>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</si>
  <si>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</si>
  <si>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</si>
  <si>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</si>
  <si>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</si>
  <si>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</si>
  <si>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</si>
  <si>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</si>
  <si>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</si>
  <si>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</si>
  <si>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</si>
  <si>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</si>
  <si>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</si>
  <si>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</si>
  <si>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</si>
  <si>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</si>
  <si>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</si>
  <si>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</si>
  <si>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</si>
  <si>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</si>
  <si>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</si>
  <si>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</si>
  <si>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</si>
  <si>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</si>
  <si>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</si>
  <si>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</si>
  <si>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</si>
  <si>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</si>
  <si>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</si>
  <si>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</si>
  <si>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</si>
  <si>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</si>
  <si>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</si>
  <si>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</si>
  <si>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</si>
  <si>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</si>
  <si>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</si>
  <si>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</si>
  <si>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</si>
  <si>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</si>
  <si>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</si>
  <si>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</si>
  <si>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</si>
  <si>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</si>
  <si>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</si>
  <si>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</si>
  <si>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</si>
  <si>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</si>
  <si>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</si>
  <si>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</si>
  <si>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</si>
  <si>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</si>
  <si>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</si>
  <si>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</si>
  <si>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</si>
  <si>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</si>
  <si>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</si>
  <si>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</si>
  <si>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</si>
  <si>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</si>
  <si>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</si>
  <si>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</si>
  <si>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</si>
  <si>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</si>
  <si>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</si>
  <si>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</si>
  <si>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</si>
  <si>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</si>
  <si>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</si>
  <si>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</si>
  <si>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</si>
  <si>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</si>
  <si>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</si>
  <si>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</si>
  <si>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</si>
  <si>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</si>
  <si>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</si>
  <si>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</si>
  <si>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</si>
  <si>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</si>
  <si>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</si>
  <si>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</si>
  <si>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</si>
  <si>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</si>
  <si>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</si>
  <si>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</si>
  <si>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</si>
  <si>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</si>
  <si>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</si>
  <si>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</si>
  <si>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</si>
  <si>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</si>
  <si>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</si>
  <si>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</si>
  <si>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</si>
  <si>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</si>
  <si>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</si>
  <si>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</si>
  <si>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</si>
  <si>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</si>
  <si>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</si>
  <si>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</si>
  <si>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</si>
  <si>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</si>
  <si>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</si>
  <si>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</si>
  <si>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</si>
  <si>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</si>
  <si>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</si>
  <si>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</si>
  <si>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</si>
  <si>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</si>
  <si>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</si>
  <si>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</si>
  <si>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</si>
  <si>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</si>
  <si>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</si>
  <si>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</si>
  <si>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</si>
  <si>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</si>
  <si>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</si>
  <si>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</si>
  <si>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</si>
  <si>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</si>
  <si>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</si>
  <si>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</si>
  <si>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</si>
  <si>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</si>
  <si>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</si>
  <si>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</si>
  <si>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</si>
  <si>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</si>
  <si>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</si>
  <si>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</si>
  <si>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</si>
  <si>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</si>
  <si>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</si>
  <si>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</si>
  <si>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</si>
  <si>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</si>
  <si>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</si>
  <si>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</si>
  <si>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</si>
  <si>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</si>
  <si>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</si>
  <si>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</si>
  <si>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</si>
  <si>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</si>
  <si>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</si>
  <si>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</si>
  <si>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</si>
  <si>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</si>
  <si>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</si>
  <si>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</si>
  <si>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</si>
  <si>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</si>
  <si>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</si>
  <si>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</si>
  <si>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</si>
  <si>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</si>
  <si>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</si>
  <si>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</si>
  <si>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</si>
  <si>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</si>
  <si>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</si>
  <si>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</si>
  <si>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</si>
  <si>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</si>
  <si>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</si>
  <si>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</si>
  <si>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</si>
  <si>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</si>
  <si>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</si>
  <si>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</si>
  <si>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</si>
  <si>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</si>
  <si>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</si>
  <si>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</si>
  <si>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</si>
  <si>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</si>
  <si>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</si>
  <si>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</si>
  <si>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</si>
  <si>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</si>
  <si>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</si>
  <si>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</si>
  <si>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</si>
  <si>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</si>
  <si>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</si>
  <si>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</si>
  <si>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</si>
  <si>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</si>
  <si>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</si>
  <si>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</si>
  <si>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</si>
  <si>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</si>
  <si>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</si>
  <si>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</si>
  <si>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</si>
  <si>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</si>
  <si>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</si>
  <si>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</si>
  <si>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</si>
  <si>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</si>
  <si>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</si>
  <si>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</si>
  <si>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</si>
  <si>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</si>
  <si>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</si>
  <si>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</si>
  <si>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</si>
  <si>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</si>
  <si>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</si>
  <si>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</si>
  <si>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</si>
  <si>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</si>
  <si>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</si>
  <si>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</si>
  <si>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</si>
  <si>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</si>
  <si>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</si>
  <si>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</si>
  <si>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</si>
  <si>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</si>
  <si>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</si>
  <si>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</si>
  <si>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</si>
  <si>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</si>
  <si>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</si>
  <si>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</si>
  <si>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</si>
  <si>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</si>
  <si>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</si>
  <si>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</si>
  <si>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</si>
  <si>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</si>
  <si>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</si>
  <si>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</si>
  <si>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</si>
  <si>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</si>
  <si>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</si>
  <si>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</si>
  <si>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</si>
  <si>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</si>
  <si>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</si>
  <si>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</si>
  <si>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</si>
  <si>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</si>
  <si>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</si>
  <si>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</si>
  <si>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</si>
  <si>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</si>
  <si>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</si>
  <si>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</si>
  <si>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</si>
  <si>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</si>
  <si>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</si>
  <si>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</si>
  <si>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</si>
  <si>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</si>
  <si>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</si>
  <si>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</si>
  <si>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</si>
  <si>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</si>
  <si>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</si>
  <si>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</si>
  <si>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</si>
  <si>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</si>
  <si>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</si>
  <si>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</si>
  <si>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</si>
  <si>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</si>
  <si>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</si>
  <si>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</si>
  <si>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</si>
  <si>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</si>
  <si>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</si>
  <si>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</si>
  <si>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</si>
  <si>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</si>
  <si>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</si>
  <si>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</si>
  <si>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</si>
  <si>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</si>
  <si>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</si>
  <si>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</si>
  <si>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</si>
  <si>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</si>
  <si>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</si>
  <si>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</si>
  <si>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</si>
  <si>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</si>
  <si>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</si>
  <si>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</si>
  <si>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</si>
  <si>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</si>
  <si>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</si>
  <si>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</si>
  <si>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</si>
  <si>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</si>
  <si>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</si>
  <si>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</si>
  <si>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</si>
  <si>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</si>
  <si>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</si>
  <si>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</si>
  <si>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</si>
  <si>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</si>
  <si>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</si>
  <si>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</si>
  <si>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</si>
  <si>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</si>
  <si>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</si>
  <si>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</si>
  <si>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</si>
  <si>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</si>
  <si>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</si>
  <si>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</si>
  <si>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</si>
  <si>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</si>
  <si>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</si>
  <si>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</si>
  <si>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</si>
  <si>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</si>
  <si>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</si>
  <si>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</si>
  <si>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</si>
  <si>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</si>
  <si>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</si>
  <si>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</si>
  <si>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</si>
  <si>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</si>
  <si>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</si>
  <si>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</si>
  <si>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</si>
  <si>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</si>
  <si>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</si>
  <si>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</si>
  <si>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</si>
  <si>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</si>
  <si>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</si>
  <si>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</si>
  <si>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</si>
  <si>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</si>
  <si>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</si>
  <si>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</si>
  <si>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</si>
  <si>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</si>
  <si>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</si>
  <si>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</si>
  <si>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</si>
  <si>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</si>
  <si>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</si>
  <si>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</si>
  <si>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</si>
  <si>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</si>
  <si>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</si>
  <si>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</si>
  <si>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</si>
  <si>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</si>
  <si>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</si>
  <si>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</si>
  <si>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</si>
  <si>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</si>
  <si>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</si>
  <si>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</si>
  <si>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</si>
  <si>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</si>
  <si>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</si>
  <si>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</si>
  <si>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</si>
  <si>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</si>
  <si>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</si>
  <si>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</si>
  <si>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</si>
  <si>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</si>
  <si>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</si>
  <si>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</si>
  <si>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</si>
  <si>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</si>
  <si>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</si>
  <si>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</si>
  <si>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</si>
  <si>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</si>
  <si>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</si>
  <si>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</si>
  <si>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</si>
  <si>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</si>
  <si>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</si>
  <si>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</si>
  <si>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</si>
  <si>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</si>
  <si>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</si>
  <si>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</si>
  <si>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</si>
  <si>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</si>
  <si>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</si>
  <si>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</si>
  <si>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</si>
  <si>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</si>
  <si>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</si>
  <si>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</si>
  <si>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</si>
  <si>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</si>
  <si>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</si>
  <si>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</si>
  <si>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</si>
  <si>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</si>
  <si>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</si>
  <si>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</si>
  <si>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</si>
  <si>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</si>
  <si>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</si>
  <si>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</si>
  <si>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</si>
  <si>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</si>
  <si>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</si>
  <si>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</si>
  <si>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</si>
  <si>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</si>
  <si>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</si>
  <si>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</si>
  <si>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</si>
  <si>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</si>
  <si>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</si>
  <si>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</si>
  <si>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</si>
  <si>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</si>
  <si>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</si>
  <si>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</si>
  <si>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</si>
  <si>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</si>
  <si>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</si>
  <si>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</si>
  <si>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</si>
  <si>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</si>
  <si>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</si>
  <si>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</si>
  <si>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</si>
  <si>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</si>
  <si>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</si>
  <si>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</si>
  <si>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</si>
  <si>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</si>
  <si>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</si>
  <si>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</si>
  <si>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</si>
  <si>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</si>
  <si>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</si>
  <si>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</si>
  <si>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</si>
  <si>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</si>
  <si>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</si>
  <si>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</si>
  <si>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</si>
  <si>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</si>
  <si>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</si>
  <si>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</si>
  <si>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</si>
  <si>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</si>
  <si>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</si>
  <si>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</si>
  <si>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</si>
  <si>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</si>
  <si>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</si>
  <si>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</si>
  <si>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</si>
  <si>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</si>
  <si>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</si>
  <si>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</si>
  <si>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</si>
  <si>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</si>
  <si>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</si>
  <si>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</si>
  <si>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</si>
  <si>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</si>
  <si>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</si>
  <si>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</si>
  <si>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</si>
  <si>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</si>
  <si>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</si>
  <si>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</si>
  <si>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</si>
  <si>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</si>
  <si>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</si>
  <si>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</si>
  <si>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</si>
  <si>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</si>
  <si>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</si>
  <si>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</si>
  <si>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</si>
  <si>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</si>
  <si>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</si>
  <si>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</si>
  <si>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</si>
  <si>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</si>
  <si>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</si>
  <si>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</si>
  <si>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</si>
  <si>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</si>
  <si>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</si>
  <si>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</si>
  <si>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</si>
  <si>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</si>
  <si>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</si>
  <si>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</si>
  <si>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</si>
  <si>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</si>
  <si>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</si>
  <si>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</si>
  <si>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</si>
  <si>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</si>
  <si>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</si>
  <si>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</si>
  <si>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</si>
  <si>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</si>
  <si>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</si>
  <si>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</si>
  <si>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</si>
  <si>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</si>
  <si>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</si>
  <si>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</si>
  <si>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</si>
  <si>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</si>
  <si>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</si>
  <si>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</si>
  <si>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</si>
  <si>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</si>
  <si>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</si>
  <si>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</si>
  <si>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</si>
  <si>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</si>
  <si>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</si>
  <si>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</si>
  <si>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</si>
  <si>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</si>
  <si>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</si>
  <si>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</si>
  <si>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</si>
  <si>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</si>
  <si>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</si>
  <si>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</si>
  <si>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</si>
  <si>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</si>
  <si>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</si>
  <si>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</si>
  <si>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</si>
  <si>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</si>
  <si>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</si>
  <si>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</si>
  <si>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</si>
  <si>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</si>
  <si>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</si>
  <si>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</si>
  <si>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</si>
  <si>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</si>
  <si>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</si>
  <si>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</si>
  <si>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</si>
  <si>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</si>
  <si>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</si>
  <si>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</si>
  <si>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</si>
  <si>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</si>
  <si>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</si>
  <si>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</si>
  <si>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</si>
  <si>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</si>
  <si>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</si>
  <si>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</si>
  <si>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</si>
  <si>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</si>
  <si>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</si>
  <si>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</si>
  <si>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</si>
  <si>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</si>
  <si>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</si>
  <si>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</si>
  <si>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</si>
  <si>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</si>
  <si>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</si>
  <si>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</si>
  <si>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</si>
  <si>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</si>
  <si>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</si>
  <si>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</si>
  <si>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</si>
  <si>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</si>
  <si>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</si>
  <si>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</si>
  <si>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</si>
  <si>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</si>
  <si>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</si>
  <si>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</si>
  <si>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</si>
  <si>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</si>
  <si>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</si>
  <si>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</si>
  <si>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</si>
  <si>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</si>
  <si>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</si>
  <si>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</si>
  <si>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</si>
  <si>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</si>
  <si>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</si>
  <si>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</si>
  <si>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</si>
  <si>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</si>
  <si>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</si>
  <si>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</si>
  <si>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</si>
  <si>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</si>
  <si>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</si>
  <si>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</si>
  <si>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</si>
  <si>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</si>
  <si>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</si>
  <si>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</si>
  <si>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</si>
  <si>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</si>
  <si>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</si>
  <si>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</si>
  <si>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</si>
  <si>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</si>
  <si>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</si>
  <si>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</si>
  <si>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</si>
  <si>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</si>
  <si>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</si>
  <si>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</si>
  <si>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</si>
  <si>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</si>
  <si>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</si>
  <si>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</si>
  <si>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</si>
  <si>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</si>
  <si>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</si>
  <si>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</si>
  <si>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</si>
  <si>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</si>
  <si>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</si>
  <si>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</si>
  <si>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</si>
  <si>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</si>
  <si>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</si>
  <si>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</si>
  <si>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</si>
  <si>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</si>
  <si>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</si>
  <si>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</si>
  <si>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</si>
  <si>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</si>
  <si>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</si>
  <si>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</si>
  <si>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</si>
  <si>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</si>
  <si>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</si>
  <si>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</si>
  <si>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</si>
  <si>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</si>
  <si>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</si>
  <si>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</si>
  <si>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</si>
  <si>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</si>
  <si>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</si>
  <si>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</si>
  <si>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</si>
  <si>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</si>
  <si>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</si>
  <si>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</si>
  <si>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</si>
  <si>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</si>
  <si>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</si>
  <si>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</si>
  <si>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</si>
  <si>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</si>
  <si>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</si>
  <si>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</si>
  <si>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</si>
  <si>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</si>
  <si>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</si>
  <si>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</si>
  <si>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</si>
  <si>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</si>
  <si>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</si>
  <si>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</si>
  <si>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</si>
  <si>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</si>
  <si>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</si>
  <si>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</si>
  <si>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</si>
  <si>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</si>
  <si>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</si>
  <si>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</si>
  <si>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</si>
  <si>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</si>
  <si>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</si>
  <si>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</si>
  <si>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</si>
  <si>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</si>
  <si>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</si>
  <si>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</si>
  <si>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</si>
  <si>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</si>
  <si>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</si>
  <si>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</si>
  <si>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</si>
  <si>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</si>
  <si>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</si>
  <si>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</si>
  <si>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</si>
  <si>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</si>
  <si>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</si>
  <si>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</si>
  <si>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</si>
  <si>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</si>
  <si>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</si>
  <si>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</si>
  <si>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</si>
  <si>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</si>
  <si>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</si>
  <si>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</si>
  <si>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</si>
  <si>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</si>
  <si>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</si>
  <si>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</si>
  <si>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</si>
  <si>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</si>
  <si>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</si>
  <si>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</si>
  <si>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</si>
  <si>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</si>
  <si>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</si>
  <si>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</si>
  <si>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</si>
  <si>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</si>
  <si>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</si>
  <si>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</si>
  <si>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</si>
  <si>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</si>
  <si>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</si>
  <si>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</si>
  <si>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</si>
  <si>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</si>
  <si>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</si>
  <si>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</si>
  <si>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</si>
  <si>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</si>
  <si>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</si>
  <si>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</si>
  <si>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</si>
  <si>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</si>
  <si>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</si>
  <si>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</si>
  <si>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</si>
  <si>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</si>
  <si>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</si>
  <si>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</si>
  <si>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</si>
  <si>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</si>
  <si>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</si>
  <si>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</si>
  <si>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</si>
  <si>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</si>
  <si>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</si>
  <si>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</si>
  <si>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</si>
  <si>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</si>
  <si>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</si>
  <si>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</si>
  <si>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</si>
  <si>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</si>
  <si>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</si>
  <si>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</si>
  <si>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</si>
  <si>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</si>
  <si>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</si>
  <si>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</si>
  <si>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</si>
  <si>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</si>
  <si>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</si>
  <si>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</si>
  <si>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</si>
  <si>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</si>
  <si>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</si>
  <si>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</si>
  <si>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</si>
  <si>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</si>
  <si>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</si>
  <si>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</si>
  <si>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</si>
  <si>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</si>
  <si>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</si>
  <si>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</si>
  <si>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</si>
  <si>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</si>
  <si>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</si>
  <si>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</si>
  <si>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</si>
  <si>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</si>
  <si>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</si>
  <si>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</si>
  <si>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</si>
  <si>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</si>
  <si>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</si>
  <si>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</si>
  <si>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</si>
  <si>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</si>
  <si>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</si>
  <si>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</si>
  <si>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</si>
  <si>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</si>
  <si>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</si>
  <si>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</si>
  <si>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</si>
  <si>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</si>
  <si>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</si>
  <si>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</si>
  <si>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</si>
  <si>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</si>
  <si>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</si>
  <si>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</si>
  <si>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</si>
  <si>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</si>
  <si>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</si>
  <si>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</si>
  <si>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</si>
  <si>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</si>
  <si>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</si>
  <si>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</si>
  <si>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</si>
  <si>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</si>
  <si>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</si>
  <si>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</si>
  <si>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</si>
  <si>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</si>
  <si>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</si>
  <si>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</si>
  <si>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</si>
  <si>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</si>
  <si>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</si>
  <si>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</si>
  <si>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</si>
  <si>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</si>
  <si>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</si>
  <si>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</si>
  <si>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</si>
  <si>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</si>
  <si>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</si>
  <si>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</si>
  <si>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</si>
  <si>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</si>
  <si>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</si>
  <si>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</si>
  <si>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</si>
  <si>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</si>
  <si>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</si>
  <si>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</si>
  <si>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</si>
  <si>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</si>
  <si>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</si>
  <si>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</si>
  <si>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</si>
  <si>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</si>
  <si>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</si>
  <si>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</si>
  <si>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</si>
  <si>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</si>
  <si>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</si>
  <si>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</si>
  <si>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</si>
  <si>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</si>
  <si>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</si>
  <si>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</si>
  <si>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</si>
  <si>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</si>
  <si>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</si>
  <si>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</si>
  <si>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</si>
  <si>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</si>
  <si>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</si>
  <si>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</si>
  <si>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</si>
  <si>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</si>
  <si>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</si>
  <si>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</si>
  <si>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</si>
  <si>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</si>
  <si>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</si>
  <si>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</si>
  <si>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</si>
  <si>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</si>
  <si>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</si>
  <si>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</si>
  <si>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</si>
  <si>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</si>
  <si>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</si>
  <si>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</si>
  <si>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</si>
  <si>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</si>
  <si>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</si>
  <si>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</si>
  <si>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</si>
  <si>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</si>
  <si>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</si>
  <si>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</si>
  <si>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</si>
  <si>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</si>
  <si>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</si>
  <si>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</si>
  <si>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</si>
  <si>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</si>
  <si>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</si>
  <si>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</si>
  <si>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</si>
  <si>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</si>
  <si>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</si>
  <si>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</si>
  <si>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</si>
  <si>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</si>
  <si>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</si>
  <si>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</si>
  <si>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</si>
  <si>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</si>
  <si>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</si>
  <si>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</si>
  <si>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</si>
  <si>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</si>
  <si>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</si>
  <si>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</si>
  <si>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</si>
  <si>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</si>
  <si>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</si>
  <si>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</si>
  <si>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</si>
  <si>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</si>
  <si>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</si>
  <si>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</si>
  <si>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</si>
  <si>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</si>
  <si>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</si>
  <si>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</si>
  <si>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</si>
  <si>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</si>
  <si>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</si>
  <si>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</si>
  <si>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</si>
  <si>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</si>
  <si>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</si>
  <si>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</si>
  <si>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</si>
  <si>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</si>
  <si>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</si>
  <si>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</si>
  <si>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</si>
  <si>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</si>
  <si>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</si>
  <si>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</si>
  <si>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</si>
  <si>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</si>
  <si>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</si>
  <si>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</si>
  <si>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</si>
  <si>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</si>
  <si>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</si>
  <si>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</si>
  <si>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</si>
  <si>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</si>
  <si>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</si>
  <si>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</si>
  <si>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</si>
  <si>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</si>
  <si>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</si>
  <si>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</si>
  <si>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</si>
  <si>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</si>
  <si>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</si>
  <si>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</si>
  <si>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</si>
  <si>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</si>
  <si>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</si>
  <si>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</si>
  <si>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</si>
  <si>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</si>
  <si>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</si>
  <si>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</si>
  <si>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</si>
  <si>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</si>
  <si>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</si>
  <si>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</si>
  <si>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</si>
  <si>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</si>
  <si>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</si>
  <si>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</si>
  <si>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</si>
  <si>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</si>
  <si>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</si>
  <si>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</si>
  <si>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</si>
  <si>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</si>
  <si>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</si>
  <si>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</si>
  <si>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</si>
  <si>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</si>
  <si>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</si>
  <si>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</si>
  <si>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</si>
  <si>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</si>
  <si>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</si>
  <si>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</si>
  <si>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</si>
  <si>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</si>
  <si>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</si>
  <si>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</si>
  <si>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</si>
  <si>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</si>
  <si>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</si>
  <si>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</si>
  <si>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</si>
  <si>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</si>
  <si>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</si>
  <si>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</si>
  <si>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</si>
  <si>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</si>
  <si>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</si>
  <si>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</si>
  <si>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</si>
  <si>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</si>
  <si>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</si>
  <si>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</si>
  <si>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</si>
  <si>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</si>
  <si>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</si>
  <si>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</si>
  <si>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</si>
  <si>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</si>
  <si>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</si>
  <si>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</si>
  <si>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</si>
  <si>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</si>
  <si>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</si>
  <si>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</si>
  <si>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</si>
  <si>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</si>
  <si>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</si>
  <si>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</si>
  <si>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</si>
  <si>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</si>
  <si>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</si>
  <si>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</si>
  <si>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</si>
  <si>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</si>
  <si>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</si>
  <si>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</si>
  <si>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</si>
  <si>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</si>
  <si>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</si>
  <si>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</si>
  <si>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</si>
  <si>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</si>
  <si>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</si>
  <si>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</si>
  <si>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</si>
  <si>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</si>
  <si>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</si>
  <si>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</si>
  <si>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</si>
  <si>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</si>
  <si>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</si>
  <si>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</si>
  <si>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</si>
  <si>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</si>
  <si>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</si>
  <si>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</si>
  <si>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</si>
  <si>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</si>
  <si>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</si>
  <si>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</si>
  <si>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</si>
  <si>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</si>
  <si>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</si>
  <si>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</si>
  <si>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</si>
  <si>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</si>
  <si>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</si>
  <si>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</si>
  <si>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</si>
  <si>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</si>
  <si>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</si>
  <si>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</si>
  <si>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</si>
  <si>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</si>
  <si>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</si>
  <si>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</si>
  <si>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</si>
  <si>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</si>
  <si>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</si>
  <si>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</si>
  <si>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</si>
  <si>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</si>
  <si>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</si>
  <si>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</si>
  <si>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</si>
  <si>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</si>
  <si>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</si>
  <si>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</si>
  <si>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</si>
  <si>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</si>
  <si>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</si>
  <si>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</si>
  <si>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</si>
  <si>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</si>
  <si>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</si>
  <si>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</si>
  <si>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</si>
  <si>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</si>
  <si>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</si>
  <si>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</si>
  <si>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</si>
  <si>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</si>
  <si>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</si>
  <si>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</si>
  <si>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</si>
  <si>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</si>
  <si>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</si>
  <si>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</si>
  <si>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</si>
  <si>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</si>
  <si>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</si>
  <si>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</si>
  <si>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</si>
  <si>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</si>
  <si>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</si>
  <si>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</si>
  <si>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</si>
  <si>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</si>
  <si>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</si>
  <si>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</si>
  <si>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</si>
  <si>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</si>
  <si>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</si>
  <si>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</si>
  <si>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</si>
  <si>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</si>
  <si>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</si>
  <si>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</si>
  <si>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</si>
  <si>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</si>
  <si>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</si>
  <si>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</si>
  <si>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</si>
  <si>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</si>
  <si>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</si>
  <si>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</si>
  <si>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</si>
  <si>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</si>
  <si>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</si>
  <si>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</si>
  <si>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</si>
  <si>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</si>
  <si>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</si>
  <si>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</si>
  <si>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</si>
  <si>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</si>
  <si>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</si>
  <si>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</si>
  <si>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</si>
  <si>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</si>
  <si>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</si>
  <si>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</si>
  <si>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</si>
  <si>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</si>
  <si>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</si>
  <si>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</si>
  <si>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</si>
  <si>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</si>
  <si>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</si>
  <si>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</si>
  <si>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</si>
  <si>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</si>
  <si>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</si>
  <si>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</si>
  <si>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</si>
  <si>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</si>
  <si>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</si>
  <si>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</si>
  <si>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</si>
  <si>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</si>
  <si>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</si>
  <si>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</si>
  <si>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</si>
  <si>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</si>
  <si>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</si>
  <si>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</si>
  <si>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</si>
  <si>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</si>
  <si>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</si>
  <si>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</si>
  <si>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</si>
  <si>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</si>
  <si>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</si>
  <si>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</si>
  <si>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</si>
  <si>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</si>
  <si>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</si>
  <si>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</si>
  <si>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</si>
  <si>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</si>
  <si>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</si>
  <si>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</si>
  <si>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</si>
  <si>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</si>
  <si>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</si>
  <si>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</si>
  <si>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</si>
  <si>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</si>
  <si>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</si>
  <si>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</si>
  <si>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</si>
  <si>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</si>
  <si>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</si>
  <si>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</si>
  <si>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</si>
  <si>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</si>
  <si>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</si>
  <si>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</si>
  <si>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</si>
  <si>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</si>
  <si>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</si>
  <si>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</si>
  <si>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</si>
  <si>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</si>
  <si>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</si>
  <si>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</si>
  <si>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</si>
  <si>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</si>
  <si>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</si>
  <si>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</si>
  <si>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</si>
  <si>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</si>
  <si>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</si>
  <si>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</si>
  <si>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</si>
  <si>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</si>
  <si>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</si>
  <si>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</si>
  <si>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</si>
  <si>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</si>
  <si>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</si>
  <si>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</si>
  <si>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</si>
  <si>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</si>
  <si>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</si>
  <si>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</si>
  <si>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</si>
  <si>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</si>
  <si>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</si>
  <si>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</si>
  <si>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</si>
  <si>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</si>
  <si>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</si>
  <si>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</si>
  <si>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</si>
  <si>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</si>
  <si>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</si>
  <si>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</si>
  <si>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</si>
  <si>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</si>
  <si>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</si>
  <si>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</si>
  <si>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</si>
  <si>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</si>
  <si>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</si>
  <si>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</si>
  <si>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</si>
  <si>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</si>
  <si>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</si>
  <si>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</si>
  <si>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</si>
  <si>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</si>
  <si>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</si>
  <si>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</si>
  <si>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</si>
  <si>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</si>
  <si>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</si>
  <si>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</si>
  <si>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</si>
  <si>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</si>
  <si>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</si>
  <si>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</si>
  <si>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</si>
  <si>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</si>
  <si>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</si>
  <si>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</si>
  <si>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</si>
  <si>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</si>
  <si>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</si>
  <si>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</si>
  <si>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</si>
  <si>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</si>
  <si>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</si>
  <si>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</si>
  <si>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</si>
  <si>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</si>
  <si>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</si>
  <si>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</si>
  <si>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</si>
  <si>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</si>
  <si>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</si>
  <si>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</si>
  <si>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</si>
  <si>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</si>
  <si>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</si>
  <si>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</si>
  <si>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</si>
  <si>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</si>
  <si>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</si>
  <si>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</si>
  <si>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</si>
  <si>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</si>
  <si>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</si>
  <si>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</si>
  <si>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</si>
  <si>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</si>
  <si>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</si>
  <si>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</si>
  <si>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</si>
  <si>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</si>
  <si>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</si>
  <si>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</si>
  <si>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</si>
  <si>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</si>
  <si>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</si>
  <si>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</si>
  <si>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</si>
  <si>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</si>
  <si>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</si>
  <si>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</si>
  <si>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</si>
  <si>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</si>
  <si>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</si>
  <si>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</si>
  <si>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</si>
  <si>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</si>
  <si>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</si>
  <si>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</si>
  <si>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</si>
  <si>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</si>
  <si>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</si>
  <si>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</si>
  <si>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</si>
  <si>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</si>
  <si>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</si>
  <si>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</si>
  <si>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</si>
  <si>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</si>
  <si>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</si>
  <si>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</si>
  <si>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</si>
  <si>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</si>
  <si>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</si>
  <si>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</si>
  <si>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</si>
  <si>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</si>
  <si>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</si>
  <si>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</si>
  <si>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</si>
  <si>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</si>
  <si>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</si>
  <si>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</si>
  <si>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</si>
  <si>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</si>
  <si>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</si>
  <si>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</si>
  <si>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</si>
  <si>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</si>
  <si>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</si>
  <si>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</si>
  <si>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</si>
  <si>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</si>
  <si>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</si>
  <si>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</si>
  <si>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</si>
  <si>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</si>
  <si>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</si>
  <si>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</si>
  <si>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</si>
  <si>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</si>
  <si>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</si>
  <si>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</si>
  <si>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</si>
  <si>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</si>
  <si>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</si>
  <si>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</si>
  <si>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</si>
  <si>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</si>
  <si>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</si>
  <si>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</si>
  <si>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</si>
  <si>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</si>
  <si>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</si>
  <si>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</si>
  <si>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</si>
  <si>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</si>
  <si>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</si>
  <si>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</si>
  <si>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</si>
  <si>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</si>
  <si>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</si>
  <si>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</si>
  <si>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</si>
  <si>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</si>
  <si>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</si>
  <si>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</si>
  <si>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</si>
  <si>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</si>
  <si>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</si>
  <si>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</si>
  <si>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</si>
  <si>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</si>
  <si>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</si>
  <si>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</si>
  <si>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</si>
  <si>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</si>
  <si>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</si>
  <si>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</si>
  <si>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</si>
  <si>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</si>
  <si>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</si>
  <si>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</si>
  <si>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</si>
  <si>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</si>
  <si>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</si>
  <si>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</si>
  <si>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</si>
  <si>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</si>
  <si>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</si>
  <si>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</si>
  <si>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</si>
  <si>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</si>
  <si>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</si>
  <si>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</si>
  <si>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</si>
  <si>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</si>
  <si>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</si>
  <si>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</si>
  <si>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</si>
  <si>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</si>
  <si>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</si>
  <si>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</si>
  <si>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</si>
  <si>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</si>
  <si>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</si>
  <si>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</si>
  <si>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</si>
  <si>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</si>
  <si>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</si>
  <si>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</si>
  <si>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</si>
  <si>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</si>
  <si>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</si>
  <si>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</si>
  <si>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</si>
  <si>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</si>
  <si>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</si>
  <si>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</si>
  <si>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</si>
  <si>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</si>
  <si>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</si>
  <si>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</si>
  <si>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</si>
  <si>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</si>
  <si>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</si>
  <si>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</si>
  <si>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</si>
  <si>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</si>
  <si>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</si>
  <si>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</si>
  <si>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</si>
  <si>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</si>
  <si>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</si>
  <si>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</si>
  <si>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</si>
  <si>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</si>
  <si>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</si>
  <si>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</si>
  <si>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</si>
  <si>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</si>
  <si>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</si>
  <si>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</si>
  <si>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</si>
  <si>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</si>
  <si>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</si>
  <si>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</si>
  <si>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</si>
  <si>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</si>
  <si>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</si>
  <si>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</si>
  <si>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</si>
  <si>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</si>
  <si>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</si>
  <si>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</si>
  <si>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</si>
  <si>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</si>
  <si>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</si>
  <si>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</si>
  <si>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</si>
  <si>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</si>
  <si>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</si>
  <si>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</si>
  <si>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</si>
  <si>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</si>
  <si>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</si>
  <si>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</si>
  <si>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</si>
  <si>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</si>
  <si>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</si>
  <si>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</si>
  <si>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</si>
  <si>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</si>
  <si>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</si>
  <si>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</si>
  <si>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</si>
  <si>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</si>
  <si>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</si>
  <si>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</si>
  <si>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</si>
  <si>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</si>
  <si>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</si>
  <si>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</si>
  <si>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</si>
  <si>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</si>
  <si>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</si>
  <si>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</si>
  <si>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</si>
  <si>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</si>
  <si>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</si>
  <si>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</si>
  <si>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</si>
  <si>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</si>
  <si>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</si>
  <si>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</si>
  <si>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</si>
  <si>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</si>
  <si>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</si>
  <si>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</si>
  <si>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</si>
  <si>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</si>
  <si>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</si>
  <si>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</si>
  <si>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</si>
  <si>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</si>
  <si>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</si>
  <si>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</si>
  <si>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</si>
  <si>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</si>
  <si>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</si>
  <si>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</si>
  <si>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</si>
  <si>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</si>
  <si>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</si>
  <si>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</si>
  <si>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</si>
  <si>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</si>
  <si>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</si>
  <si>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</si>
  <si>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</si>
  <si>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</si>
  <si>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</si>
  <si>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</si>
  <si>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</si>
  <si>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</si>
  <si>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</si>
  <si>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</si>
  <si>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</si>
  <si>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</si>
  <si>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</si>
  <si>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</si>
  <si>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</si>
  <si>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</si>
  <si>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</si>
  <si>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</si>
  <si>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</si>
  <si>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</si>
  <si>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</si>
  <si>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</si>
  <si>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</si>
  <si>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</si>
  <si>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</si>
  <si>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</si>
  <si>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</si>
  <si>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</si>
  <si>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</si>
  <si>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</si>
  <si>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</si>
  <si>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</si>
  <si>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</si>
  <si>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</si>
  <si>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</si>
  <si>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</si>
  <si>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</si>
  <si>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HIO(2)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</si>
  <si>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</si>
  <si>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</si>
  <si>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</si>
  <si>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</si>
  <si>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</si>
  <si>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</si>
  <si>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</si>
  <si>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</si>
  <si>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</si>
  <si>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</si>
  <si>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</si>
  <si>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</si>
  <si>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</si>
  <si>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</si>
  <si>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</si>
  <si>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</si>
  <si>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</si>
  <si>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</si>
  <si>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</si>
  <si>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</si>
  <si>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</si>
  <si>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</si>
  <si>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</si>
  <si>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</si>
  <si>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</si>
  <si>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</si>
  <si>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</si>
  <si>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</si>
  <si>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</si>
  <si>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</si>
  <si>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</si>
  <si>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</si>
  <si>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</si>
  <si>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</si>
  <si>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범양(1)</t>
    <phoneticPr fontId="2" type="noConversion"/>
  </si>
  <si>
    <t>슬립링 결선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</si>
  <si>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</si>
  <si>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</si>
  <si>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</si>
  <si>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</si>
  <si>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</si>
  <si>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</si>
  <si>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</si>
  <si>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</si>
  <si>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HIO(1)</t>
    <phoneticPr fontId="2" type="noConversion"/>
  </si>
  <si>
    <t>김동명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</si>
  <si>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</si>
  <si>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</si>
  <si>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</si>
  <si>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엔코더 교체</t>
    <phoneticPr fontId="2" type="noConversion"/>
  </si>
  <si>
    <t>개인차량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</si>
  <si>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</si>
  <si>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</si>
  <si>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</si>
  <si>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</si>
  <si>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</si>
  <si>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</si>
  <si>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</si>
  <si>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</si>
  <si>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검사 입회</t>
    <phoneticPr fontId="2" type="noConversion"/>
  </si>
  <si>
    <t>시운전 / 자체</t>
    <phoneticPr fontId="2" type="noConversion"/>
  </si>
  <si>
    <t xml:space="preserve">격벽 설치 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</si>
  <si>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</si>
  <si>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</si>
  <si>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</si>
  <si>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</si>
  <si>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</si>
  <si>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</si>
  <si>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</si>
  <si>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</si>
  <si>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</si>
  <si>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</si>
  <si>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</si>
  <si>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</si>
  <si>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</si>
  <si>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</si>
  <si>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검사 입회</t>
    <phoneticPr fontId="2" type="noConversion"/>
  </si>
  <si>
    <t>박주성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</si>
  <si>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</si>
  <si>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</si>
  <si>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</si>
  <si>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</si>
  <si>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</si>
  <si>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</si>
  <si>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-</t>
    <phoneticPr fontId="2" type="noConversion"/>
  </si>
  <si>
    <t>YN07</t>
    <phoneticPr fontId="2" type="noConversion"/>
  </si>
  <si>
    <t>HH,PV,ER</t>
    <phoneticPr fontId="2" type="noConversion"/>
  </si>
  <si>
    <t>해체</t>
    <phoneticPr fontId="2" type="noConversion"/>
  </si>
  <si>
    <t>이광형</t>
    <phoneticPr fontId="2" type="noConversion"/>
  </si>
  <si>
    <t>범양(2)</t>
    <phoneticPr fontId="2" type="noConversion"/>
  </si>
  <si>
    <t>ML</t>
    <phoneticPr fontId="2" type="noConversion"/>
  </si>
  <si>
    <t>설치 / 시운전</t>
    <phoneticPr fontId="2" type="noConversion"/>
  </si>
  <si>
    <t>W308</t>
    <phoneticPr fontId="2" type="noConversion"/>
  </si>
  <si>
    <t>HT</t>
    <phoneticPr fontId="2" type="noConversion"/>
  </si>
  <si>
    <t>박해식</t>
    <phoneticPr fontId="2" type="noConversion"/>
  </si>
  <si>
    <t>범양(1)</t>
    <phoneticPr fontId="2" type="noConversion"/>
  </si>
  <si>
    <t>P174</t>
    <phoneticPr fontId="2" type="noConversion"/>
  </si>
  <si>
    <t>ML</t>
    <phoneticPr fontId="2" type="noConversion"/>
  </si>
  <si>
    <t>FAT</t>
    <phoneticPr fontId="2" type="noConversion"/>
  </si>
  <si>
    <t>이광형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</si>
  <si>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</si>
  <si>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</si>
  <si>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</si>
  <si>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HIO(3)</t>
    <phoneticPr fontId="2" type="noConversion"/>
  </si>
  <si>
    <t>CS</t>
    <phoneticPr fontId="2" type="noConversion"/>
  </si>
  <si>
    <t>S207</t>
    <phoneticPr fontId="2" type="noConversion"/>
  </si>
  <si>
    <t>원인분석예정</t>
    <phoneticPr fontId="2" type="noConversion"/>
  </si>
  <si>
    <t>계약사항</t>
    <phoneticPr fontId="2" type="noConversion"/>
  </si>
  <si>
    <t>보증수리</t>
    <phoneticPr fontId="2" type="noConversion"/>
  </si>
  <si>
    <t>보증수리</t>
    <phoneticPr fontId="2" type="noConversion"/>
  </si>
  <si>
    <t>계약사항</t>
    <phoneticPr fontId="2" type="noConversion"/>
  </si>
  <si>
    <t>도면불량</t>
    <phoneticPr fontId="2" type="noConversion"/>
  </si>
  <si>
    <t>계약사항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</si>
  <si>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</si>
  <si>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</si>
  <si>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</si>
  <si>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</si>
  <si>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초기 작동 (스토퍼 16개)</t>
    <phoneticPr fontId="2" type="noConversion"/>
  </si>
  <si>
    <t>시운전</t>
    <phoneticPr fontId="2" type="noConversion"/>
  </si>
  <si>
    <t>ML</t>
    <phoneticPr fontId="2" type="noConversion"/>
  </si>
  <si>
    <t>동아(2)</t>
    <phoneticPr fontId="2" type="noConversion"/>
  </si>
  <si>
    <t>박성용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</si>
  <si>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</si>
  <si>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</si>
  <si>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범양(1)</t>
    <phoneticPr fontId="2" type="noConversion"/>
  </si>
  <si>
    <t>미정</t>
    <phoneticPr fontId="2" type="noConversion"/>
  </si>
  <si>
    <t>김은영(오후반차)</t>
    <phoneticPr fontId="2" type="noConversion"/>
  </si>
  <si>
    <t>김은영(오후반차)</t>
    <phoneticPr fontId="2" type="noConversion"/>
  </si>
  <si>
    <t>김유신사장님 출근 불가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</si>
  <si>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</si>
  <si>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</si>
  <si>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</si>
  <si>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</si>
  <si>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</si>
  <si>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</si>
  <si>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</si>
  <si>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</si>
  <si>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</si>
  <si>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</si>
  <si>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</si>
  <si>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</si>
  <si>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</si>
  <si>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</si>
  <si>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</si>
  <si>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</si>
  <si>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</si>
  <si>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</si>
  <si>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</si>
  <si>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</si>
  <si>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</si>
  <si>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</si>
  <si>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</si>
  <si>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</si>
  <si>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</si>
  <si>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</si>
  <si>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</si>
  <si>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</si>
  <si>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</si>
  <si>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</si>
  <si>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</si>
  <si>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</si>
  <si>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</si>
  <si>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</si>
  <si>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</si>
  <si>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</si>
  <si>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</si>
  <si>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</si>
  <si>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</si>
  <si>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</si>
  <si>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</si>
  <si>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</si>
  <si>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</si>
  <si>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</si>
  <si>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</si>
  <si>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</si>
  <si>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</si>
  <si>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</si>
  <si>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</si>
  <si>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</si>
  <si>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</si>
  <si>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</si>
  <si>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</si>
  <si>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</si>
  <si>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</si>
  <si>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</si>
  <si>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</si>
  <si>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</si>
  <si>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</si>
  <si>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</si>
  <si>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</si>
  <si>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</si>
  <si>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</si>
  <si>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</si>
  <si>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</si>
  <si>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</si>
  <si>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</si>
  <si>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</si>
  <si>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BR</t>
    <phoneticPr fontId="2" type="noConversion"/>
  </si>
  <si>
    <t>엔코더 교체</t>
    <phoneticPr fontId="2" type="noConversion"/>
  </si>
  <si>
    <t>동아(2)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</si>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</sst>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7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24" fillId="0" borderId="34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62"/>
  <sheetViews>
    <sheetView showGridLines="0" tabSelected="1" topLeftCell="A398" zoomScaleNormal="100" workbookViewId="0">
      <selection activeCell="H401" sqref="H40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89"/>
      <c r="Q22" s="790"/>
      <c r="R22" s="790"/>
      <c r="S22" s="790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89"/>
      <c r="Q27" s="790"/>
      <c r="R27" s="790"/>
      <c r="S27" s="790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89"/>
      <c r="Q36" s="790"/>
      <c r="R36" s="790"/>
      <c r="S36" s="790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89"/>
      <c r="Q37" s="790"/>
      <c r="R37" s="790"/>
      <c r="S37" s="790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89"/>
      <c r="Q40" s="790"/>
      <c r="R40" s="790"/>
      <c r="S40" s="790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89"/>
      <c r="Q41" s="790"/>
      <c r="R41" s="790"/>
      <c r="S41" s="790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89" t="s">
        <v>4390</v>
      </c>
      <c r="Q43" s="790"/>
      <c r="R43" s="790"/>
      <c r="S43" s="790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89"/>
      <c r="Q61" s="790"/>
      <c r="R61" s="790"/>
      <c r="S61" s="790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89"/>
      <c r="Q64" s="790"/>
      <c r="R64" s="790"/>
      <c r="S64" s="790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89"/>
      <c r="Q67" s="790"/>
      <c r="R67" s="790"/>
      <c r="S67" s="790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89"/>
      <c r="Q74" s="790"/>
      <c r="R74" s="790"/>
      <c r="S74" s="790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89"/>
      <c r="Q83" s="790"/>
      <c r="R83" s="790"/>
      <c r="S83" s="790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89"/>
      <c r="Q85" s="790"/>
      <c r="R85" s="790"/>
      <c r="S85" s="790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89" t="s">
        <v>4390</v>
      </c>
      <c r="Q93" s="790"/>
      <c r="R93" s="790"/>
      <c r="S93" s="790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87"/>
      <c r="Q169" s="788"/>
      <c r="R169" s="788"/>
      <c r="S169" s="788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85" t="s">
        <v>4688</v>
      </c>
      <c r="Q182" s="786"/>
      <c r="R182" s="786"/>
      <c r="S182" s="786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5739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5774</v>
      </c>
      <c r="I312" s="624"/>
      <c r="J312" s="624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5772</v>
      </c>
      <c r="I314" s="668" t="s">
        <v>202</v>
      </c>
      <c r="J314" s="668" t="s">
        <v>5773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5730</v>
      </c>
      <c r="G315" s="468" t="s">
        <v>5697</v>
      </c>
      <c r="H315" s="462" t="s">
        <v>5698</v>
      </c>
      <c r="I315" s="462" t="s">
        <v>5731</v>
      </c>
      <c r="J315" s="462"/>
      <c r="K315" s="136" t="s">
        <v>4508</v>
      </c>
      <c r="L315" s="468" t="s">
        <v>5737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5756</v>
      </c>
      <c r="G316" s="468" t="s">
        <v>5758</v>
      </c>
      <c r="H316" s="462" t="s">
        <v>5757</v>
      </c>
      <c r="I316" s="463" t="s">
        <v>5742</v>
      </c>
      <c r="J316" s="462"/>
      <c r="K316" s="136" t="s">
        <v>4508</v>
      </c>
      <c r="L316" s="468" t="s">
        <v>5737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5732</v>
      </c>
      <c r="E317" s="463" t="s">
        <v>5733</v>
      </c>
      <c r="F317" s="463" t="s">
        <v>5734</v>
      </c>
      <c r="G317" s="468" t="s">
        <v>5735</v>
      </c>
      <c r="H317" s="462" t="s">
        <v>5736</v>
      </c>
      <c r="I317" s="462" t="s">
        <v>5718</v>
      </c>
      <c r="J317" s="462" t="s">
        <v>5749</v>
      </c>
      <c r="K317" s="136" t="s">
        <v>181</v>
      </c>
      <c r="L317" s="468" t="s">
        <v>5720</v>
      </c>
      <c r="M317" s="464">
        <v>3</v>
      </c>
      <c r="N317" s="463" t="s">
        <v>5738</v>
      </c>
      <c r="O317" s="582" t="s">
        <v>5750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5784</v>
      </c>
      <c r="I318" s="463" t="s">
        <v>5785</v>
      </c>
      <c r="J318" s="462" t="s">
        <v>5786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5751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5778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5753</v>
      </c>
      <c r="I323" s="463"/>
      <c r="J323" s="463" t="s">
        <v>5740</v>
      </c>
      <c r="K323" s="136" t="s">
        <v>5724</v>
      </c>
      <c r="L323" s="468" t="s">
        <v>5725</v>
      </c>
      <c r="M323" s="464">
        <v>2</v>
      </c>
      <c r="N323" s="668"/>
      <c r="O323" s="436" t="s">
        <v>5752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5787</v>
      </c>
      <c r="H327" s="462" t="s">
        <v>5788</v>
      </c>
      <c r="I327" s="462" t="s">
        <v>5792</v>
      </c>
      <c r="J327" s="462"/>
      <c r="K327" s="136" t="s">
        <v>5789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5741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5794</v>
      </c>
      <c r="G329" s="16" t="s">
        <v>5726</v>
      </c>
      <c r="H329" s="722" t="s">
        <v>5820</v>
      </c>
      <c r="I329" s="668" t="s">
        <v>5779</v>
      </c>
      <c r="J329" s="669"/>
      <c r="K329" s="125" t="s">
        <v>5780</v>
      </c>
      <c r="L329" s="16" t="s">
        <v>5781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5754</v>
      </c>
      <c r="G330" s="468" t="s">
        <v>18</v>
      </c>
      <c r="H330" s="462" t="s">
        <v>5777</v>
      </c>
      <c r="I330" s="463"/>
      <c r="J330" s="462" t="s">
        <v>5821</v>
      </c>
      <c r="K330" s="136"/>
      <c r="L330" s="468" t="s">
        <v>5838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5801</v>
      </c>
      <c r="D332" s="4" t="s">
        <v>5802</v>
      </c>
      <c r="E332" s="720" t="s">
        <v>5803</v>
      </c>
      <c r="F332" s="720" t="s">
        <v>5804</v>
      </c>
      <c r="G332" s="16" t="s">
        <v>5805</v>
      </c>
      <c r="H332" s="721" t="s">
        <v>5806</v>
      </c>
      <c r="I332" s="721" t="s">
        <v>5811</v>
      </c>
      <c r="J332" s="721" t="s">
        <v>5810</v>
      </c>
      <c r="K332" s="125" t="s">
        <v>15</v>
      </c>
      <c r="L332" s="16" t="s">
        <v>5809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5829</v>
      </c>
      <c r="I335" s="720"/>
      <c r="J335" s="721" t="s">
        <v>5825</v>
      </c>
      <c r="K335" s="125" t="s">
        <v>5818</v>
      </c>
      <c r="L335" s="16" t="s">
        <v>5800</v>
      </c>
      <c r="M335" s="8">
        <v>3</v>
      </c>
      <c r="N335" s="720"/>
      <c r="O335" s="439" t="s">
        <v>5837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1"/>
      <c r="J336" s="193" t="s">
        <v>5817</v>
      </c>
      <c r="K336" s="125" t="s">
        <v>5812</v>
      </c>
      <c r="L336" s="16" t="s">
        <v>5831</v>
      </c>
      <c r="M336" s="8">
        <v>2</v>
      </c>
      <c r="N336" s="430"/>
      <c r="O336" s="445" t="s">
        <v>5836</v>
      </c>
      <c r="P336" s="572"/>
    </row>
    <row r="337" spans="1:16" s="17" customFormat="1" ht="33" customHeight="1">
      <c r="A337" s="432"/>
      <c r="B337" s="370">
        <v>46168</v>
      </c>
      <c r="C337" s="4" t="s">
        <v>5801</v>
      </c>
      <c r="D337" s="4" t="s">
        <v>5802</v>
      </c>
      <c r="E337" s="720" t="s">
        <v>5803</v>
      </c>
      <c r="F337" s="720" t="s">
        <v>5804</v>
      </c>
      <c r="G337" s="16" t="s">
        <v>5805</v>
      </c>
      <c r="H337" s="721" t="s">
        <v>5813</v>
      </c>
      <c r="I337" s="720" t="s">
        <v>5808</v>
      </c>
      <c r="J337" s="721" t="s">
        <v>5816</v>
      </c>
      <c r="K337" s="125" t="s">
        <v>5814</v>
      </c>
      <c r="L337" s="16" t="s">
        <v>5800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5795</v>
      </c>
      <c r="D338" s="3" t="s">
        <v>5796</v>
      </c>
      <c r="E338" s="462" t="s">
        <v>5815</v>
      </c>
      <c r="F338" s="463" t="s">
        <v>5797</v>
      </c>
      <c r="G338" s="468" t="s">
        <v>5798</v>
      </c>
      <c r="H338" s="462" t="s">
        <v>5927</v>
      </c>
      <c r="I338" s="463" t="s">
        <v>5878</v>
      </c>
      <c r="J338" s="462"/>
      <c r="K338" s="136" t="s">
        <v>5799</v>
      </c>
      <c r="L338" s="468" t="s">
        <v>5800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5886</v>
      </c>
      <c r="I339" s="721"/>
      <c r="J339" s="721" t="s">
        <v>5817</v>
      </c>
      <c r="K339" s="125" t="s">
        <v>5812</v>
      </c>
      <c r="L339" s="16" t="s">
        <v>5809</v>
      </c>
      <c r="M339" s="8">
        <v>2</v>
      </c>
      <c r="N339" s="720"/>
      <c r="O339" s="445" t="s">
        <v>5836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5887</v>
      </c>
      <c r="I340" s="721" t="s">
        <v>5811</v>
      </c>
      <c r="J340" s="721"/>
      <c r="K340" s="125" t="s">
        <v>5812</v>
      </c>
      <c r="L340" s="16" t="s">
        <v>5809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5748</v>
      </c>
      <c r="E341" s="463" t="s">
        <v>5755</v>
      </c>
      <c r="F341" s="462" t="s">
        <v>5747</v>
      </c>
      <c r="G341" s="468" t="s">
        <v>5822</v>
      </c>
      <c r="H341" s="462" t="s">
        <v>5824</v>
      </c>
      <c r="I341" s="463" t="s">
        <v>202</v>
      </c>
      <c r="J341" s="463" t="s">
        <v>5823</v>
      </c>
      <c r="K341" s="125" t="s">
        <v>5812</v>
      </c>
      <c r="L341" s="468" t="s">
        <v>5720</v>
      </c>
      <c r="M341" s="8">
        <v>2</v>
      </c>
      <c r="N341" s="31"/>
      <c r="O341" s="440" t="s">
        <v>5835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5815</v>
      </c>
      <c r="F342" s="463" t="s">
        <v>5797</v>
      </c>
      <c r="G342" s="468" t="s">
        <v>4091</v>
      </c>
      <c r="H342" s="462" t="s">
        <v>442</v>
      </c>
      <c r="I342" s="463" t="s">
        <v>5883</v>
      </c>
      <c r="J342" s="462" t="s">
        <v>5884</v>
      </c>
      <c r="K342" s="136" t="s">
        <v>3265</v>
      </c>
      <c r="L342" s="468" t="s">
        <v>4550</v>
      </c>
      <c r="M342" s="8">
        <v>3</v>
      </c>
      <c r="N342" s="726"/>
      <c r="O342" s="440" t="s">
        <v>5885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5815</v>
      </c>
      <c r="F344" s="463" t="s">
        <v>5797</v>
      </c>
      <c r="G344" s="468" t="s">
        <v>4091</v>
      </c>
      <c r="H344" s="462" t="s">
        <v>442</v>
      </c>
      <c r="I344" s="463" t="s">
        <v>5883</v>
      </c>
      <c r="J344" s="462" t="s">
        <v>5884</v>
      </c>
      <c r="K344" s="136" t="s">
        <v>3265</v>
      </c>
      <c r="L344" s="468" t="s">
        <v>4550</v>
      </c>
      <c r="M344" s="8">
        <v>3</v>
      </c>
      <c r="N344" s="724"/>
      <c r="O344" s="440" t="s">
        <v>5926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5879</v>
      </c>
      <c r="G345" s="468" t="s">
        <v>5880</v>
      </c>
      <c r="H345" s="462" t="s">
        <v>5881</v>
      </c>
      <c r="I345" s="463" t="s">
        <v>5830</v>
      </c>
      <c r="J345" s="462" t="s">
        <v>5882</v>
      </c>
      <c r="K345" s="125" t="s">
        <v>5812</v>
      </c>
      <c r="L345" s="468" t="s">
        <v>5819</v>
      </c>
      <c r="M345" s="464">
        <v>3</v>
      </c>
      <c r="N345" s="430"/>
      <c r="O345" s="445" t="s">
        <v>5925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5911</v>
      </c>
      <c r="I346" s="726" t="s">
        <v>202</v>
      </c>
      <c r="J346" s="728" t="s">
        <v>5912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5879</v>
      </c>
      <c r="G347" s="468" t="s">
        <v>5880</v>
      </c>
      <c r="H347" s="462" t="s">
        <v>5881</v>
      </c>
      <c r="I347" s="463" t="s">
        <v>3274</v>
      </c>
      <c r="J347" s="462" t="s">
        <v>5924</v>
      </c>
      <c r="K347" s="125" t="s">
        <v>3265</v>
      </c>
      <c r="L347" s="468" t="s">
        <v>4379</v>
      </c>
      <c r="M347" s="464">
        <v>3</v>
      </c>
      <c r="N347" s="727"/>
      <c r="O347" s="445" t="s">
        <v>5923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5891</v>
      </c>
      <c r="F348" s="463">
        <v>3307</v>
      </c>
      <c r="G348" s="468" t="s">
        <v>1328</v>
      </c>
      <c r="H348" s="462" t="s">
        <v>5892</v>
      </c>
      <c r="I348" s="462" t="s">
        <v>5893</v>
      </c>
      <c r="J348" s="462" t="s">
        <v>686</v>
      </c>
      <c r="K348" s="125" t="s">
        <v>5894</v>
      </c>
      <c r="L348" s="468" t="s">
        <v>5895</v>
      </c>
      <c r="M348" s="464">
        <v>4</v>
      </c>
      <c r="N348" s="726"/>
      <c r="O348" s="445" t="s">
        <v>5922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5891</v>
      </c>
      <c r="F349" s="463">
        <v>3307</v>
      </c>
      <c r="G349" s="468" t="s">
        <v>1328</v>
      </c>
      <c r="H349" s="462" t="s">
        <v>5892</v>
      </c>
      <c r="I349" s="462" t="s">
        <v>5893</v>
      </c>
      <c r="J349" s="462" t="s">
        <v>686</v>
      </c>
      <c r="K349" s="125" t="s">
        <v>5894</v>
      </c>
      <c r="L349" s="468" t="s">
        <v>5895</v>
      </c>
      <c r="M349" s="464">
        <v>4</v>
      </c>
      <c r="N349" s="31"/>
      <c r="O349" s="445" t="s">
        <v>5922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5834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5754</v>
      </c>
      <c r="G352" s="468" t="s">
        <v>5833</v>
      </c>
      <c r="H352" s="462" t="s">
        <v>5832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5879</v>
      </c>
      <c r="G353" s="468" t="s">
        <v>5880</v>
      </c>
      <c r="H353" s="462" t="s">
        <v>5888</v>
      </c>
      <c r="I353" s="463"/>
      <c r="J353" s="462" t="s">
        <v>3074</v>
      </c>
      <c r="K353" s="125" t="s">
        <v>15</v>
      </c>
      <c r="L353" s="468" t="s">
        <v>5909</v>
      </c>
      <c r="M353" s="464">
        <v>1</v>
      </c>
      <c r="N353" s="726"/>
      <c r="O353" s="436" t="s">
        <v>5910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5911</v>
      </c>
      <c r="I354" s="726" t="s">
        <v>202</v>
      </c>
      <c r="J354" s="728" t="s">
        <v>5913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5928</v>
      </c>
      <c r="D355" s="3" t="s">
        <v>5929</v>
      </c>
      <c r="E355" s="463" t="s">
        <v>5930</v>
      </c>
      <c r="F355" s="463">
        <v>7064</v>
      </c>
      <c r="G355" s="468" t="s">
        <v>5931</v>
      </c>
      <c r="H355" s="728" t="s">
        <v>5932</v>
      </c>
      <c r="I355" s="726"/>
      <c r="J355" s="728" t="s">
        <v>5933</v>
      </c>
      <c r="K355" s="125" t="s">
        <v>15</v>
      </c>
      <c r="L355" s="16" t="s">
        <v>5909</v>
      </c>
      <c r="M355" s="8">
        <v>4</v>
      </c>
      <c r="N355" s="726"/>
      <c r="O355" s="436" t="s">
        <v>5934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5891</v>
      </c>
      <c r="F356" s="463">
        <v>3307</v>
      </c>
      <c r="G356" s="468" t="s">
        <v>1328</v>
      </c>
      <c r="H356" s="462" t="s">
        <v>5892</v>
      </c>
      <c r="I356" s="462" t="s">
        <v>5893</v>
      </c>
      <c r="J356" s="462" t="s">
        <v>686</v>
      </c>
      <c r="K356" s="125" t="s">
        <v>5894</v>
      </c>
      <c r="L356" s="468" t="s">
        <v>5895</v>
      </c>
      <c r="M356" s="464">
        <v>4</v>
      </c>
      <c r="N356" s="430"/>
      <c r="O356" s="445" t="s">
        <v>5922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5791</v>
      </c>
      <c r="I357" s="463" t="s">
        <v>3274</v>
      </c>
      <c r="J357" s="462" t="s">
        <v>5897</v>
      </c>
      <c r="K357" s="125" t="s">
        <v>3265</v>
      </c>
      <c r="L357" s="468" t="s">
        <v>4379</v>
      </c>
      <c r="M357" s="464">
        <v>2</v>
      </c>
      <c r="N357" s="430"/>
      <c r="O357" s="436" t="s">
        <v>5898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5815</v>
      </c>
      <c r="F358" s="463" t="s">
        <v>5978</v>
      </c>
      <c r="G358" s="468" t="s">
        <v>4091</v>
      </c>
      <c r="H358" s="462" t="s">
        <v>5995</v>
      </c>
      <c r="I358" s="463" t="s">
        <v>5899</v>
      </c>
      <c r="J358" s="462" t="s">
        <v>5884</v>
      </c>
      <c r="K358" s="136" t="s">
        <v>3265</v>
      </c>
      <c r="L358" s="468" t="s">
        <v>4550</v>
      </c>
      <c r="M358" s="8">
        <v>2</v>
      </c>
      <c r="N358" s="726"/>
      <c r="O358" s="436" t="s">
        <v>5900</v>
      </c>
      <c r="P358" s="572"/>
    </row>
    <row r="359" spans="1:16" s="17" customFormat="1" ht="33" customHeight="1">
      <c r="A359" s="432"/>
      <c r="B359" s="370">
        <v>46175</v>
      </c>
      <c r="C359" s="3" t="s">
        <v>5928</v>
      </c>
      <c r="D359" s="3" t="s">
        <v>5929</v>
      </c>
      <c r="E359" s="463" t="s">
        <v>5930</v>
      </c>
      <c r="F359" s="463">
        <v>7064</v>
      </c>
      <c r="G359" s="468" t="s">
        <v>5931</v>
      </c>
      <c r="H359" s="728" t="s">
        <v>5932</v>
      </c>
      <c r="I359" s="726"/>
      <c r="J359" s="728" t="s">
        <v>5933</v>
      </c>
      <c r="K359" s="125" t="s">
        <v>15</v>
      </c>
      <c r="L359" s="16" t="s">
        <v>5909</v>
      </c>
      <c r="M359" s="8">
        <v>4</v>
      </c>
      <c r="N359" s="726"/>
      <c r="O359" s="436" t="s">
        <v>5934</v>
      </c>
      <c r="P359" s="572"/>
    </row>
    <row r="360" spans="1:16" s="17" customFormat="1" ht="33" customHeight="1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6034</v>
      </c>
      <c r="I360" s="773" t="s">
        <v>6035</v>
      </c>
      <c r="J360" s="775" t="s">
        <v>6036</v>
      </c>
      <c r="K360" s="125" t="s">
        <v>6032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>
      <c r="A362" s="432"/>
      <c r="B362" s="401">
        <v>46176</v>
      </c>
      <c r="C362" s="3" t="s">
        <v>24</v>
      </c>
      <c r="D362" s="3" t="s">
        <v>31</v>
      </c>
      <c r="E362" s="463" t="s">
        <v>5891</v>
      </c>
      <c r="F362" s="463">
        <v>3307</v>
      </c>
      <c r="G362" s="468" t="s">
        <v>1328</v>
      </c>
      <c r="H362" s="462" t="s">
        <v>5892</v>
      </c>
      <c r="I362" s="462" t="s">
        <v>5893</v>
      </c>
      <c r="J362" s="462" t="s">
        <v>686</v>
      </c>
      <c r="K362" s="125" t="s">
        <v>5894</v>
      </c>
      <c r="L362" s="468" t="s">
        <v>5895</v>
      </c>
      <c r="M362" s="464">
        <v>4</v>
      </c>
      <c r="N362" s="726"/>
      <c r="O362" s="445" t="s">
        <v>5922</v>
      </c>
      <c r="P362" s="572"/>
    </row>
    <row r="363" spans="1:16" s="17" customFormat="1" ht="33" customHeight="1">
      <c r="A363" s="432"/>
      <c r="B363" s="401">
        <v>46177</v>
      </c>
      <c r="C363" s="3" t="s">
        <v>5901</v>
      </c>
      <c r="D363" s="3" t="s">
        <v>14</v>
      </c>
      <c r="E363" s="463" t="s">
        <v>5902</v>
      </c>
      <c r="F363" s="463" t="s">
        <v>5903</v>
      </c>
      <c r="G363" s="468" t="s">
        <v>6015</v>
      </c>
      <c r="H363" s="462" t="s">
        <v>5905</v>
      </c>
      <c r="I363" s="463" t="s">
        <v>5906</v>
      </c>
      <c r="J363" s="463" t="s">
        <v>5992</v>
      </c>
      <c r="K363" s="125" t="s">
        <v>5894</v>
      </c>
      <c r="L363" s="468" t="s">
        <v>5908</v>
      </c>
      <c r="M363" s="464">
        <v>4</v>
      </c>
      <c r="N363" s="31"/>
      <c r="O363" s="440" t="s">
        <v>5993</v>
      </c>
      <c r="P363" s="572"/>
    </row>
    <row r="364" spans="1:16" s="17" customFormat="1" ht="33" customHeight="1">
      <c r="A364" s="432"/>
      <c r="B364" s="401">
        <v>46177</v>
      </c>
      <c r="C364" s="3" t="s">
        <v>24</v>
      </c>
      <c r="D364" s="3" t="s">
        <v>31</v>
      </c>
      <c r="E364" s="463" t="s">
        <v>5891</v>
      </c>
      <c r="F364" s="463">
        <v>3307</v>
      </c>
      <c r="G364" s="468" t="s">
        <v>1328</v>
      </c>
      <c r="H364" s="462" t="s">
        <v>5892</v>
      </c>
      <c r="I364" s="462" t="s">
        <v>5893</v>
      </c>
      <c r="J364" s="462" t="s">
        <v>686</v>
      </c>
      <c r="K364" s="125" t="s">
        <v>5894</v>
      </c>
      <c r="L364" s="468" t="s">
        <v>5895</v>
      </c>
      <c r="M364" s="464">
        <v>4</v>
      </c>
      <c r="N364" s="31"/>
      <c r="O364" s="445" t="s">
        <v>5922</v>
      </c>
      <c r="P364" s="572"/>
    </row>
    <row r="365" spans="1:16" s="17" customFormat="1" ht="33" customHeight="1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6017</v>
      </c>
      <c r="H365" s="775" t="s">
        <v>6037</v>
      </c>
      <c r="I365" s="773" t="s">
        <v>6035</v>
      </c>
      <c r="J365" s="775" t="s">
        <v>6038</v>
      </c>
      <c r="K365" s="125" t="s">
        <v>6032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6039</v>
      </c>
      <c r="I366" s="773" t="s">
        <v>6035</v>
      </c>
      <c r="J366" s="775" t="s">
        <v>6040</v>
      </c>
      <c r="K366" s="125" t="s">
        <v>6041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>
      <c r="A367" s="432"/>
      <c r="B367" s="401">
        <v>46178</v>
      </c>
      <c r="C367" s="3" t="s">
        <v>24</v>
      </c>
      <c r="D367" s="3" t="s">
        <v>31</v>
      </c>
      <c r="E367" s="463" t="s">
        <v>5891</v>
      </c>
      <c r="F367" s="463">
        <v>3307</v>
      </c>
      <c r="G367" s="468" t="s">
        <v>1328</v>
      </c>
      <c r="H367" s="462" t="s">
        <v>5892</v>
      </c>
      <c r="I367" s="462" t="s">
        <v>5893</v>
      </c>
      <c r="J367" s="462" t="s">
        <v>686</v>
      </c>
      <c r="K367" s="125" t="s">
        <v>5894</v>
      </c>
      <c r="L367" s="468" t="s">
        <v>5895</v>
      </c>
      <c r="M367" s="464">
        <v>4</v>
      </c>
      <c r="N367" s="31"/>
      <c r="O367" s="445" t="s">
        <v>5922</v>
      </c>
      <c r="P367" s="572"/>
    </row>
    <row r="368" spans="1:16" s="17" customFormat="1" ht="33" customHeight="1">
      <c r="A368" s="432"/>
      <c r="B368" s="370">
        <v>46178</v>
      </c>
      <c r="C368" s="4" t="s">
        <v>5914</v>
      </c>
      <c r="D368" s="4" t="s">
        <v>5915</v>
      </c>
      <c r="E368" s="31" t="s">
        <v>5916</v>
      </c>
      <c r="F368" s="31" t="s">
        <v>5917</v>
      </c>
      <c r="G368" s="16" t="s">
        <v>553</v>
      </c>
      <c r="H368" s="193" t="s">
        <v>5975</v>
      </c>
      <c r="I368" s="31"/>
      <c r="J368" s="728" t="s">
        <v>5921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>
      <c r="A369" s="432"/>
      <c r="B369" s="370">
        <v>46178</v>
      </c>
      <c r="C369" s="4" t="s">
        <v>5914</v>
      </c>
      <c r="D369" s="4" t="s">
        <v>5915</v>
      </c>
      <c r="E369" s="726" t="s">
        <v>5916</v>
      </c>
      <c r="F369" s="726" t="s">
        <v>5917</v>
      </c>
      <c r="G369" s="16" t="s">
        <v>5918</v>
      </c>
      <c r="H369" s="728" t="s">
        <v>5920</v>
      </c>
      <c r="I369" s="726"/>
      <c r="J369" s="728" t="s">
        <v>5921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6015</v>
      </c>
      <c r="H370" s="462" t="s">
        <v>5905</v>
      </c>
      <c r="I370" s="463" t="s">
        <v>90</v>
      </c>
      <c r="J370" s="463" t="s">
        <v>6014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>
      <c r="A371" s="432"/>
      <c r="B371" s="370">
        <v>46178</v>
      </c>
      <c r="C371" s="4" t="s">
        <v>21</v>
      </c>
      <c r="D371" s="4" t="s">
        <v>6003</v>
      </c>
      <c r="E371" s="757" t="s">
        <v>6004</v>
      </c>
      <c r="F371" s="463" t="s">
        <v>4939</v>
      </c>
      <c r="G371" s="16" t="s">
        <v>6017</v>
      </c>
      <c r="H371" s="758" t="s">
        <v>6005</v>
      </c>
      <c r="I371" s="757" t="s">
        <v>6042</v>
      </c>
      <c r="J371" s="758" t="s">
        <v>6016</v>
      </c>
      <c r="K371" s="125" t="s">
        <v>6006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>
      <c r="A372" s="433"/>
      <c r="B372" s="401">
        <v>46179</v>
      </c>
      <c r="C372" s="3" t="s">
        <v>24</v>
      </c>
      <c r="D372" s="3" t="s">
        <v>31</v>
      </c>
      <c r="E372" s="463" t="s">
        <v>5891</v>
      </c>
      <c r="F372" s="463">
        <v>3307</v>
      </c>
      <c r="G372" s="468" t="s">
        <v>1328</v>
      </c>
      <c r="H372" s="462" t="s">
        <v>5892</v>
      </c>
      <c r="I372" s="462" t="s">
        <v>5893</v>
      </c>
      <c r="J372" s="462" t="s">
        <v>686</v>
      </c>
      <c r="K372" s="125" t="s">
        <v>5894</v>
      </c>
      <c r="L372" s="468" t="s">
        <v>5895</v>
      </c>
      <c r="M372" s="464">
        <v>4</v>
      </c>
      <c r="N372" s="31"/>
      <c r="O372" s="445" t="s">
        <v>5922</v>
      </c>
      <c r="P372" s="572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>
      <c r="A374" s="617" t="s">
        <v>4505</v>
      </c>
      <c r="B374" s="401">
        <v>46181</v>
      </c>
      <c r="C374" s="3" t="s">
        <v>6009</v>
      </c>
      <c r="D374" s="3" t="s">
        <v>6010</v>
      </c>
      <c r="E374" s="463" t="s">
        <v>6011</v>
      </c>
      <c r="F374" s="462" t="s">
        <v>6020</v>
      </c>
      <c r="G374" s="468" t="s">
        <v>6008</v>
      </c>
      <c r="H374" s="462" t="s">
        <v>6018</v>
      </c>
      <c r="I374" s="773" t="s">
        <v>90</v>
      </c>
      <c r="J374" s="608" t="s">
        <v>6012</v>
      </c>
      <c r="K374" s="136" t="s">
        <v>15</v>
      </c>
      <c r="L374" s="16" t="s">
        <v>6013</v>
      </c>
      <c r="M374" s="8">
        <v>2</v>
      </c>
      <c r="N374" s="608" t="s">
        <v>6087</v>
      </c>
      <c r="O374" s="439" t="s">
        <v>6019</v>
      </c>
      <c r="P374" s="572"/>
    </row>
    <row r="375" spans="1:16" s="17" customFormat="1" ht="33" customHeight="1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6020</v>
      </c>
      <c r="G375" s="16" t="s">
        <v>37</v>
      </c>
      <c r="H375" s="775" t="s">
        <v>6001</v>
      </c>
      <c r="I375" s="773" t="s">
        <v>90</v>
      </c>
      <c r="J375" s="773" t="s">
        <v>6012</v>
      </c>
      <c r="K375" s="136" t="s">
        <v>15</v>
      </c>
      <c r="L375" s="16" t="s">
        <v>6013</v>
      </c>
      <c r="M375" s="8">
        <v>2</v>
      </c>
      <c r="N375" s="773"/>
      <c r="O375" s="439" t="s">
        <v>6019</v>
      </c>
      <c r="P375" s="572"/>
    </row>
    <row r="376" spans="1:16" s="484" customFormat="1" ht="33" customHeight="1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5998</v>
      </c>
      <c r="G376" s="468" t="s">
        <v>5999</v>
      </c>
      <c r="H376" s="462" t="s">
        <v>6089</v>
      </c>
      <c r="I376" s="463" t="s">
        <v>6007</v>
      </c>
      <c r="J376" s="463" t="s">
        <v>6088</v>
      </c>
      <c r="K376" s="136" t="s">
        <v>5982</v>
      </c>
      <c r="L376" s="468" t="s">
        <v>5895</v>
      </c>
      <c r="M376" s="464">
        <v>3</v>
      </c>
      <c r="N376" s="463"/>
      <c r="O376" s="466" t="s">
        <v>6092</v>
      </c>
      <c r="P376" s="763"/>
    </row>
    <row r="377" spans="1:16" s="17" customFormat="1" ht="33" customHeight="1">
      <c r="A377" s="618"/>
      <c r="B377" s="370">
        <v>46181</v>
      </c>
      <c r="C377" s="3" t="s">
        <v>24</v>
      </c>
      <c r="D377" s="3" t="s">
        <v>31</v>
      </c>
      <c r="E377" s="463" t="s">
        <v>5891</v>
      </c>
      <c r="F377" s="463">
        <v>3307</v>
      </c>
      <c r="G377" s="468" t="s">
        <v>1328</v>
      </c>
      <c r="H377" s="462" t="s">
        <v>5892</v>
      </c>
      <c r="I377" s="462" t="s">
        <v>5893</v>
      </c>
      <c r="J377" s="462" t="s">
        <v>686</v>
      </c>
      <c r="K377" s="125" t="s">
        <v>5894</v>
      </c>
      <c r="L377" s="468" t="s">
        <v>5895</v>
      </c>
      <c r="M377" s="464">
        <v>4</v>
      </c>
      <c r="N377" s="609"/>
      <c r="O377" s="438"/>
      <c r="P377" s="572"/>
    </row>
    <row r="378" spans="1:16" s="17" customFormat="1" ht="33" customHeight="1">
      <c r="A378" s="432"/>
      <c r="B378" s="370">
        <v>46181</v>
      </c>
      <c r="C378" s="3" t="s">
        <v>6025</v>
      </c>
      <c r="D378" s="3" t="s">
        <v>6026</v>
      </c>
      <c r="E378" s="463" t="s">
        <v>6027</v>
      </c>
      <c r="F378" s="463" t="s">
        <v>6028</v>
      </c>
      <c r="G378" s="468" t="s">
        <v>6029</v>
      </c>
      <c r="H378" s="462" t="s">
        <v>6030</v>
      </c>
      <c r="I378" s="463"/>
      <c r="J378" s="462" t="s">
        <v>6031</v>
      </c>
      <c r="K378" s="125" t="s">
        <v>6032</v>
      </c>
      <c r="L378" s="468" t="s">
        <v>5262</v>
      </c>
      <c r="M378" s="464">
        <v>1</v>
      </c>
      <c r="N378" s="773"/>
      <c r="O378" s="445" t="s">
        <v>6033</v>
      </c>
      <c r="P378" s="572"/>
    </row>
    <row r="379" spans="1:16" s="17" customFormat="1" ht="33" customHeight="1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6043</v>
      </c>
      <c r="I379" s="463" t="s">
        <v>6044</v>
      </c>
      <c r="J379" s="462" t="s">
        <v>6045</v>
      </c>
      <c r="K379" s="125" t="s">
        <v>6046</v>
      </c>
      <c r="L379" s="468">
        <v>9080</v>
      </c>
      <c r="M379" s="464">
        <v>2</v>
      </c>
      <c r="N379" s="773"/>
      <c r="O379" s="445" t="s">
        <v>6059</v>
      </c>
      <c r="P379" s="572"/>
    </row>
    <row r="380" spans="1:16" s="484" customFormat="1" ht="33" customHeight="1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5998</v>
      </c>
      <c r="G380" s="468" t="s">
        <v>5999</v>
      </c>
      <c r="H380" s="462" t="s">
        <v>6090</v>
      </c>
      <c r="I380" s="463" t="s">
        <v>6007</v>
      </c>
      <c r="J380" s="463" t="s">
        <v>6091</v>
      </c>
      <c r="K380" s="136" t="s">
        <v>15</v>
      </c>
      <c r="L380" s="468" t="s">
        <v>5262</v>
      </c>
      <c r="M380" s="464">
        <v>2</v>
      </c>
      <c r="N380" s="465"/>
      <c r="O380" s="445" t="s">
        <v>6059</v>
      </c>
      <c r="P380" s="763"/>
    </row>
    <row r="381" spans="1:16" s="17" customFormat="1" ht="33" customHeight="1">
      <c r="A381" s="432"/>
      <c r="B381" s="401">
        <v>46182</v>
      </c>
      <c r="C381" s="3" t="s">
        <v>24</v>
      </c>
      <c r="D381" s="3" t="s">
        <v>31</v>
      </c>
      <c r="E381" s="463" t="s">
        <v>5891</v>
      </c>
      <c r="F381" s="463">
        <v>3307</v>
      </c>
      <c r="G381" s="468" t="s">
        <v>1328</v>
      </c>
      <c r="H381" s="462" t="s">
        <v>5892</v>
      </c>
      <c r="I381" s="462" t="s">
        <v>5893</v>
      </c>
      <c r="J381" s="462" t="s">
        <v>686</v>
      </c>
      <c r="K381" s="125" t="s">
        <v>5894</v>
      </c>
      <c r="L381" s="468" t="s">
        <v>5895</v>
      </c>
      <c r="M381" s="464">
        <v>4</v>
      </c>
      <c r="N381" s="726"/>
      <c r="O381" s="438"/>
      <c r="P381" s="572"/>
    </row>
    <row r="382" spans="1:16" s="17" customFormat="1" ht="33" customHeight="1">
      <c r="A382" s="432"/>
      <c r="B382" s="370">
        <v>46182</v>
      </c>
      <c r="C382" s="3" t="s">
        <v>21</v>
      </c>
      <c r="D382" s="3" t="s">
        <v>14</v>
      </c>
      <c r="E382" s="463" t="s">
        <v>107</v>
      </c>
      <c r="F382" s="463" t="s">
        <v>3386</v>
      </c>
      <c r="G382" s="468" t="s">
        <v>6015</v>
      </c>
      <c r="H382" s="775" t="s">
        <v>6048</v>
      </c>
      <c r="I382" s="773" t="s">
        <v>6054</v>
      </c>
      <c r="J382" s="775" t="s">
        <v>6053</v>
      </c>
      <c r="K382" s="125" t="s">
        <v>6049</v>
      </c>
      <c r="L382" s="16" t="s">
        <v>6050</v>
      </c>
      <c r="M382" s="8">
        <v>2</v>
      </c>
      <c r="N382" s="773"/>
      <c r="O382" s="438"/>
      <c r="P382" s="572"/>
    </row>
    <row r="383" spans="1:16" s="17" customFormat="1" ht="33" customHeight="1">
      <c r="A383" s="432"/>
      <c r="B383" s="401">
        <v>46183</v>
      </c>
      <c r="C383" s="3" t="s">
        <v>21</v>
      </c>
      <c r="D383" s="3" t="s">
        <v>14</v>
      </c>
      <c r="E383" s="482" t="s">
        <v>149</v>
      </c>
      <c r="F383" s="463" t="s">
        <v>4090</v>
      </c>
      <c r="G383" s="468" t="s">
        <v>4091</v>
      </c>
      <c r="H383" s="462" t="s">
        <v>6090</v>
      </c>
      <c r="I383" s="463" t="s">
        <v>6007</v>
      </c>
      <c r="J383" s="463" t="s">
        <v>6091</v>
      </c>
      <c r="K383" s="136" t="s">
        <v>15</v>
      </c>
      <c r="L383" s="468" t="s">
        <v>5262</v>
      </c>
      <c r="M383" s="464">
        <v>2</v>
      </c>
      <c r="N383" s="773" t="s">
        <v>6086</v>
      </c>
      <c r="O383" s="438"/>
      <c r="P383" s="572"/>
    </row>
    <row r="384" spans="1:16" s="17" customFormat="1" ht="33" customHeight="1">
      <c r="A384" s="432"/>
      <c r="B384" s="401">
        <v>46183</v>
      </c>
      <c r="C384" s="3" t="s">
        <v>21</v>
      </c>
      <c r="D384" s="3" t="s">
        <v>14</v>
      </c>
      <c r="E384" s="463" t="s">
        <v>1893</v>
      </c>
      <c r="F384" s="463" t="s">
        <v>4939</v>
      </c>
      <c r="G384" s="468" t="s">
        <v>482</v>
      </c>
      <c r="H384" s="462" t="s">
        <v>6043</v>
      </c>
      <c r="I384" s="463" t="s">
        <v>6044</v>
      </c>
      <c r="J384" s="462" t="s">
        <v>6047</v>
      </c>
      <c r="K384" s="125" t="s">
        <v>6046</v>
      </c>
      <c r="L384" s="468">
        <v>9080</v>
      </c>
      <c r="M384" s="464">
        <v>4</v>
      </c>
      <c r="N384" s="773" t="s">
        <v>6204</v>
      </c>
      <c r="O384" s="438"/>
      <c r="P384" s="572"/>
    </row>
    <row r="385" spans="1:16" s="17" customFormat="1" ht="33" customHeight="1">
      <c r="A385" s="618"/>
      <c r="B385" s="401">
        <v>46183</v>
      </c>
      <c r="C385" s="3" t="s">
        <v>24</v>
      </c>
      <c r="D385" s="3" t="s">
        <v>31</v>
      </c>
      <c r="E385" s="463" t="s">
        <v>5996</v>
      </c>
      <c r="F385" s="463">
        <v>3306</v>
      </c>
      <c r="G385" s="468" t="s">
        <v>1328</v>
      </c>
      <c r="H385" s="462" t="s">
        <v>5892</v>
      </c>
      <c r="I385" s="462" t="s">
        <v>5893</v>
      </c>
      <c r="J385" s="462" t="s">
        <v>686</v>
      </c>
      <c r="K385" s="125" t="s">
        <v>5894</v>
      </c>
      <c r="L385" s="468" t="s">
        <v>5895</v>
      </c>
      <c r="M385" s="464">
        <v>4</v>
      </c>
      <c r="N385" s="609"/>
      <c r="O385" s="438"/>
      <c r="P385" s="572"/>
    </row>
    <row r="386" spans="1:16" s="17" customFormat="1" ht="33" customHeight="1">
      <c r="A386" s="618"/>
      <c r="B386" s="401">
        <v>46183</v>
      </c>
      <c r="C386" s="3" t="s">
        <v>21</v>
      </c>
      <c r="D386" s="3" t="s">
        <v>14</v>
      </c>
      <c r="E386" s="463" t="s">
        <v>2241</v>
      </c>
      <c r="F386" s="753" t="s">
        <v>5794</v>
      </c>
      <c r="G386" s="16" t="s">
        <v>2963</v>
      </c>
      <c r="H386" s="612" t="s">
        <v>6002</v>
      </c>
      <c r="I386" s="608" t="s">
        <v>5984</v>
      </c>
      <c r="J386" s="773"/>
      <c r="K386" s="136" t="s">
        <v>15</v>
      </c>
      <c r="L386" s="16" t="s">
        <v>6013</v>
      </c>
      <c r="M386" s="8">
        <v>1</v>
      </c>
      <c r="N386" s="608"/>
      <c r="O386" s="440"/>
      <c r="P386" s="572"/>
    </row>
    <row r="387" spans="1:16" s="17" customFormat="1" ht="33" customHeight="1">
      <c r="A387" s="432"/>
      <c r="B387" s="370">
        <v>46184</v>
      </c>
      <c r="C387" s="3" t="s">
        <v>21</v>
      </c>
      <c r="D387" s="3" t="s">
        <v>14</v>
      </c>
      <c r="E387" s="463" t="s">
        <v>1893</v>
      </c>
      <c r="F387" s="463" t="s">
        <v>4939</v>
      </c>
      <c r="G387" s="468" t="s">
        <v>482</v>
      </c>
      <c r="H387" s="462" t="s">
        <v>6043</v>
      </c>
      <c r="I387" s="463" t="s">
        <v>6044</v>
      </c>
      <c r="J387" s="462" t="s">
        <v>6047</v>
      </c>
      <c r="K387" s="125" t="s">
        <v>6046</v>
      </c>
      <c r="L387" s="468">
        <v>9080</v>
      </c>
      <c r="M387" s="464">
        <v>4</v>
      </c>
      <c r="N387" s="773"/>
      <c r="O387" s="440"/>
      <c r="P387" s="572"/>
    </row>
    <row r="388" spans="1:16" s="17" customFormat="1" ht="33" customHeight="1">
      <c r="A388" s="618"/>
      <c r="B388" s="370">
        <v>46184</v>
      </c>
      <c r="C388" s="3" t="s">
        <v>24</v>
      </c>
      <c r="D388" s="3" t="s">
        <v>31</v>
      </c>
      <c r="E388" s="463" t="s">
        <v>5896</v>
      </c>
      <c r="F388" s="463">
        <v>3306</v>
      </c>
      <c r="G388" s="468" t="s">
        <v>1328</v>
      </c>
      <c r="H388" s="462" t="s">
        <v>5892</v>
      </c>
      <c r="I388" s="462" t="s">
        <v>5893</v>
      </c>
      <c r="J388" s="462" t="s">
        <v>686</v>
      </c>
      <c r="K388" s="125" t="s">
        <v>5894</v>
      </c>
      <c r="L388" s="468" t="s">
        <v>5895</v>
      </c>
      <c r="M388" s="464">
        <v>4</v>
      </c>
      <c r="N388" s="609"/>
      <c r="O388" s="438"/>
      <c r="P388" s="572"/>
    </row>
    <row r="389" spans="1:16" s="17" customFormat="1" ht="33" customHeight="1">
      <c r="A389" s="618"/>
      <c r="B389" s="401">
        <v>46185</v>
      </c>
      <c r="C389" s="3" t="s">
        <v>24</v>
      </c>
      <c r="D389" s="3" t="s">
        <v>31</v>
      </c>
      <c r="E389" s="463" t="s">
        <v>5896</v>
      </c>
      <c r="F389" s="463">
        <v>3306</v>
      </c>
      <c r="G389" s="468" t="s">
        <v>1328</v>
      </c>
      <c r="H389" s="462" t="s">
        <v>5892</v>
      </c>
      <c r="I389" s="462" t="s">
        <v>5893</v>
      </c>
      <c r="J389" s="462" t="s">
        <v>686</v>
      </c>
      <c r="K389" s="125" t="s">
        <v>5894</v>
      </c>
      <c r="L389" s="468" t="s">
        <v>5895</v>
      </c>
      <c r="M389" s="464">
        <v>4</v>
      </c>
      <c r="N389" s="608" t="s">
        <v>6085</v>
      </c>
      <c r="O389" s="437"/>
      <c r="P389" s="572"/>
    </row>
    <row r="390" spans="1:16" s="17" customFormat="1" ht="33" customHeight="1">
      <c r="A390" s="432"/>
      <c r="B390" s="370">
        <v>46185</v>
      </c>
      <c r="C390" s="4" t="s">
        <v>29</v>
      </c>
      <c r="D390" s="4" t="s">
        <v>17</v>
      </c>
      <c r="E390" s="291" t="s">
        <v>1893</v>
      </c>
      <c r="F390" s="773" t="s">
        <v>5889</v>
      </c>
      <c r="G390" s="16" t="s">
        <v>207</v>
      </c>
      <c r="H390" s="775" t="s">
        <v>5890</v>
      </c>
      <c r="I390" s="773" t="s">
        <v>6145</v>
      </c>
      <c r="J390" s="773"/>
      <c r="K390" s="125" t="s">
        <v>15</v>
      </c>
      <c r="L390" s="16" t="s">
        <v>6021</v>
      </c>
      <c r="M390" s="8">
        <v>2</v>
      </c>
      <c r="N390" s="773"/>
      <c r="O390" s="437"/>
      <c r="P390" s="572"/>
    </row>
    <row r="391" spans="1:16" s="17" customFormat="1" ht="33" customHeight="1">
      <c r="A391" s="432"/>
      <c r="B391" s="370">
        <v>46185</v>
      </c>
      <c r="C391" s="3" t="s">
        <v>21</v>
      </c>
      <c r="D391" s="3" t="s">
        <v>17</v>
      </c>
      <c r="E391" s="463" t="s">
        <v>78</v>
      </c>
      <c r="F391" s="463" t="s">
        <v>3833</v>
      </c>
      <c r="G391" s="468" t="s">
        <v>207</v>
      </c>
      <c r="H391" s="462" t="s">
        <v>5793</v>
      </c>
      <c r="I391" s="463" t="s">
        <v>6191</v>
      </c>
      <c r="J391" s="462"/>
      <c r="K391" s="136" t="s">
        <v>15</v>
      </c>
      <c r="L391" s="468" t="s">
        <v>4550</v>
      </c>
      <c r="M391" s="8">
        <v>1</v>
      </c>
      <c r="N391" s="773"/>
      <c r="O391" s="437"/>
      <c r="P391" s="572"/>
    </row>
    <row r="392" spans="1:16" s="17" customFormat="1" ht="33" customHeight="1">
      <c r="A392" s="618"/>
      <c r="B392" s="401">
        <v>46185</v>
      </c>
      <c r="C392" s="4" t="s">
        <v>6093</v>
      </c>
      <c r="D392" s="4" t="s">
        <v>6026</v>
      </c>
      <c r="E392" s="773" t="s">
        <v>6094</v>
      </c>
      <c r="F392" s="773" t="s">
        <v>6095</v>
      </c>
      <c r="G392" s="16" t="s">
        <v>6096</v>
      </c>
      <c r="H392" s="775" t="s">
        <v>6097</v>
      </c>
      <c r="I392" s="463" t="s">
        <v>6024</v>
      </c>
      <c r="J392" s="468" t="s">
        <v>6023</v>
      </c>
      <c r="K392" s="468" t="s">
        <v>6046</v>
      </c>
      <c r="L392" s="468" t="s">
        <v>6118</v>
      </c>
      <c r="M392" s="468">
        <v>2</v>
      </c>
      <c r="N392" s="608"/>
      <c r="O392" s="436" t="s">
        <v>6136</v>
      </c>
      <c r="P392" s="572"/>
    </row>
    <row r="393" spans="1:16" s="17" customFormat="1" ht="33" customHeight="1">
      <c r="A393" s="619"/>
      <c r="B393" s="370">
        <v>46186</v>
      </c>
      <c r="C393" s="4"/>
      <c r="D393" s="4"/>
      <c r="E393" s="608"/>
      <c r="F393" s="608"/>
      <c r="G393" s="16"/>
      <c r="H393" s="612"/>
      <c r="I393" s="612"/>
      <c r="J393" s="612"/>
      <c r="K393" s="125"/>
      <c r="L393" s="16"/>
      <c r="M393" s="8"/>
      <c r="N393" s="612"/>
      <c r="O393" s="446"/>
      <c r="P393" s="572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5" t="s">
        <v>63</v>
      </c>
      <c r="P394" s="323" t="s">
        <v>123</v>
      </c>
    </row>
    <row r="395" spans="1:16" s="17" customFormat="1" ht="33" customHeight="1">
      <c r="A395" s="617" t="s">
        <v>5625</v>
      </c>
      <c r="B395" s="401">
        <v>46188</v>
      </c>
      <c r="C395" s="3" t="s">
        <v>21</v>
      </c>
      <c r="D395" s="3" t="s">
        <v>17</v>
      </c>
      <c r="E395" s="463" t="s">
        <v>4836</v>
      </c>
      <c r="F395" s="463">
        <v>3306</v>
      </c>
      <c r="G395" s="468" t="s">
        <v>1328</v>
      </c>
      <c r="H395" s="462" t="s">
        <v>5892</v>
      </c>
      <c r="I395" s="462" t="s">
        <v>5893</v>
      </c>
      <c r="J395" s="462" t="s">
        <v>686</v>
      </c>
      <c r="K395" s="125" t="s">
        <v>15</v>
      </c>
      <c r="L395" s="468" t="s">
        <v>5262</v>
      </c>
      <c r="M395" s="464">
        <v>4</v>
      </c>
      <c r="N395" s="608" t="s">
        <v>6035</v>
      </c>
      <c r="O395" s="439"/>
      <c r="P395" s="572"/>
    </row>
    <row r="396" spans="1:16" s="17" customFormat="1" ht="33" customHeight="1">
      <c r="A396" s="618"/>
      <c r="B396" s="401">
        <v>46188</v>
      </c>
      <c r="C396" s="3" t="s">
        <v>6140</v>
      </c>
      <c r="D396" s="3" t="s">
        <v>6026</v>
      </c>
      <c r="E396" s="463" t="s">
        <v>6141</v>
      </c>
      <c r="F396" s="463" t="s">
        <v>6142</v>
      </c>
      <c r="G396" s="468" t="s">
        <v>6143</v>
      </c>
      <c r="H396" s="462" t="s">
        <v>6144</v>
      </c>
      <c r="I396" s="462"/>
      <c r="J396" s="462" t="s">
        <v>5606</v>
      </c>
      <c r="K396" s="125" t="s">
        <v>6046</v>
      </c>
      <c r="L396" s="468" t="s">
        <v>6118</v>
      </c>
      <c r="M396" s="464">
        <v>2</v>
      </c>
      <c r="N396" s="773" t="s">
        <v>6205</v>
      </c>
      <c r="O396" s="439"/>
      <c r="P396" s="572"/>
    </row>
    <row r="397" spans="1:16" s="17" customFormat="1" ht="33" customHeight="1">
      <c r="A397" s="618"/>
      <c r="B397" s="401">
        <v>46188</v>
      </c>
      <c r="C397" s="3" t="s">
        <v>21</v>
      </c>
      <c r="D397" s="3" t="s">
        <v>14</v>
      </c>
      <c r="E397" s="463" t="s">
        <v>1893</v>
      </c>
      <c r="F397" s="463" t="s">
        <v>4939</v>
      </c>
      <c r="G397" s="468" t="s">
        <v>482</v>
      </c>
      <c r="H397" s="462" t="s">
        <v>271</v>
      </c>
      <c r="I397" s="462"/>
      <c r="J397" s="462" t="s">
        <v>999</v>
      </c>
      <c r="K397" s="125" t="s">
        <v>15</v>
      </c>
      <c r="L397" s="468">
        <v>9080</v>
      </c>
      <c r="M397" s="464">
        <v>1</v>
      </c>
      <c r="N397" s="776"/>
      <c r="O397" s="439"/>
      <c r="P397" s="572"/>
    </row>
    <row r="398" spans="1:16" s="17" customFormat="1" ht="33" customHeight="1">
      <c r="A398" s="618"/>
      <c r="B398" s="401">
        <v>46189</v>
      </c>
      <c r="C398" s="3" t="s">
        <v>21</v>
      </c>
      <c r="D398" s="3" t="s">
        <v>17</v>
      </c>
      <c r="E398" s="463" t="s">
        <v>4836</v>
      </c>
      <c r="F398" s="463">
        <v>3306</v>
      </c>
      <c r="G398" s="468" t="s">
        <v>1328</v>
      </c>
      <c r="H398" s="462" t="s">
        <v>5892</v>
      </c>
      <c r="I398" s="462" t="s">
        <v>5893</v>
      </c>
      <c r="J398" s="462" t="s">
        <v>686</v>
      </c>
      <c r="K398" s="125" t="s">
        <v>15</v>
      </c>
      <c r="L398" s="468" t="s">
        <v>5262</v>
      </c>
      <c r="M398" s="464">
        <v>4</v>
      </c>
      <c r="N398" s="773"/>
      <c r="O398" s="439"/>
      <c r="P398" s="572"/>
    </row>
    <row r="399" spans="1:16" s="17" customFormat="1" ht="33" customHeight="1">
      <c r="A399" s="618"/>
      <c r="B399" s="401">
        <v>46189</v>
      </c>
      <c r="C399" s="3" t="s">
        <v>21</v>
      </c>
      <c r="D399" s="3" t="s">
        <v>14</v>
      </c>
      <c r="E399" s="463" t="s">
        <v>1893</v>
      </c>
      <c r="F399" s="463" t="s">
        <v>4939</v>
      </c>
      <c r="G399" s="468" t="s">
        <v>482</v>
      </c>
      <c r="H399" s="462" t="s">
        <v>6043</v>
      </c>
      <c r="I399" s="462" t="s">
        <v>6155</v>
      </c>
      <c r="J399" s="462"/>
      <c r="K399" s="125" t="s">
        <v>6046</v>
      </c>
      <c r="L399" s="468">
        <v>9080</v>
      </c>
      <c r="M399" s="464">
        <v>1</v>
      </c>
      <c r="N399" s="463"/>
      <c r="O399" s="439"/>
      <c r="P399" s="572"/>
    </row>
    <row r="400" spans="1:16" s="17" customFormat="1" ht="33" customHeight="1">
      <c r="A400" s="618"/>
      <c r="B400" s="401">
        <v>46189</v>
      </c>
      <c r="C400" s="3" t="s">
        <v>6099</v>
      </c>
      <c r="D400" s="3" t="s">
        <v>6100</v>
      </c>
      <c r="E400" s="462" t="s">
        <v>6101</v>
      </c>
      <c r="F400" s="773" t="s">
        <v>6104</v>
      </c>
      <c r="G400" s="16" t="s">
        <v>6108</v>
      </c>
      <c r="H400" s="775" t="s">
        <v>6107</v>
      </c>
      <c r="I400" s="773"/>
      <c r="J400" s="775" t="s">
        <v>6102</v>
      </c>
      <c r="K400" s="125" t="s">
        <v>6041</v>
      </c>
      <c r="L400" s="16" t="s">
        <v>6098</v>
      </c>
      <c r="M400" s="8">
        <v>2</v>
      </c>
      <c r="N400" s="463"/>
      <c r="O400" s="439" t="s">
        <v>6109</v>
      </c>
      <c r="P400" s="572"/>
    </row>
    <row r="401" spans="1:16" s="17" customFormat="1" ht="33" customHeight="1">
      <c r="A401" s="618"/>
      <c r="B401" s="401">
        <v>46190</v>
      </c>
      <c r="C401" s="3" t="s">
        <v>6099</v>
      </c>
      <c r="D401" s="3" t="s">
        <v>6100</v>
      </c>
      <c r="E401" s="462" t="s">
        <v>6101</v>
      </c>
      <c r="F401" s="773" t="s">
        <v>6104</v>
      </c>
      <c r="G401" s="16" t="s">
        <v>6105</v>
      </c>
      <c r="H401" s="775" t="s">
        <v>6106</v>
      </c>
      <c r="I401" s="773"/>
      <c r="J401" s="775" t="s">
        <v>6102</v>
      </c>
      <c r="K401" s="125" t="s">
        <v>6041</v>
      </c>
      <c r="L401" s="16" t="s">
        <v>6098</v>
      </c>
      <c r="M401" s="8">
        <v>2</v>
      </c>
      <c r="N401" s="463"/>
      <c r="O401" s="445" t="s">
        <v>6110</v>
      </c>
      <c r="P401" s="572"/>
    </row>
    <row r="402" spans="1:16" s="17" customFormat="1" ht="33" customHeight="1">
      <c r="A402" s="618"/>
      <c r="B402" s="401">
        <v>46190</v>
      </c>
      <c r="C402" s="3" t="s">
        <v>21</v>
      </c>
      <c r="D402" s="3" t="s">
        <v>14</v>
      </c>
      <c r="E402" s="463" t="s">
        <v>1893</v>
      </c>
      <c r="F402" s="463" t="s">
        <v>4939</v>
      </c>
      <c r="G402" s="468" t="s">
        <v>482</v>
      </c>
      <c r="H402" s="462" t="s">
        <v>6043</v>
      </c>
      <c r="I402" s="462" t="s">
        <v>6155</v>
      </c>
      <c r="J402" s="462" t="s">
        <v>6016</v>
      </c>
      <c r="K402" s="125" t="s">
        <v>6046</v>
      </c>
      <c r="L402" s="468">
        <v>9080</v>
      </c>
      <c r="M402" s="464">
        <v>2</v>
      </c>
      <c r="N402" s="463"/>
      <c r="O402" s="438"/>
      <c r="P402" s="572"/>
    </row>
    <row r="403" spans="1:16" s="17" customFormat="1" ht="33" customHeight="1">
      <c r="A403" s="618"/>
      <c r="B403" s="401">
        <v>46191</v>
      </c>
      <c r="C403" s="3" t="s">
        <v>6025</v>
      </c>
      <c r="D403" s="3" t="s">
        <v>6129</v>
      </c>
      <c r="E403" s="462" t="s">
        <v>6130</v>
      </c>
      <c r="F403" s="773">
        <v>7060</v>
      </c>
      <c r="G403" s="16" t="s">
        <v>6131</v>
      </c>
      <c r="H403" s="775" t="s">
        <v>6132</v>
      </c>
      <c r="I403" s="773" t="s">
        <v>6054</v>
      </c>
      <c r="J403" s="775" t="s">
        <v>6133</v>
      </c>
      <c r="K403" s="125" t="s">
        <v>6046</v>
      </c>
      <c r="L403" s="16" t="s">
        <v>6013</v>
      </c>
      <c r="M403" s="8">
        <v>2</v>
      </c>
      <c r="N403" s="774"/>
      <c r="O403" s="438"/>
      <c r="P403" s="572"/>
    </row>
    <row r="404" spans="1:16" s="17" customFormat="1" ht="33" customHeight="1">
      <c r="A404" s="618"/>
      <c r="B404" s="401">
        <v>46191</v>
      </c>
      <c r="C404" s="3" t="s">
        <v>21</v>
      </c>
      <c r="D404" s="3" t="s">
        <v>14</v>
      </c>
      <c r="E404" s="463" t="s">
        <v>1893</v>
      </c>
      <c r="F404" s="463" t="s">
        <v>4939</v>
      </c>
      <c r="G404" s="468" t="s">
        <v>482</v>
      </c>
      <c r="H404" s="462" t="s">
        <v>6043</v>
      </c>
      <c r="I404" s="462" t="s">
        <v>6155</v>
      </c>
      <c r="J404" s="462" t="s">
        <v>6016</v>
      </c>
      <c r="K404" s="125" t="s">
        <v>6046</v>
      </c>
      <c r="L404" s="468">
        <v>9080</v>
      </c>
      <c r="M404" s="464">
        <v>2</v>
      </c>
      <c r="N404" s="774"/>
      <c r="O404" s="438"/>
      <c r="P404" s="572"/>
    </row>
    <row r="405" spans="1:16" s="17" customFormat="1" ht="33" customHeight="1">
      <c r="A405" s="618"/>
      <c r="B405" s="401">
        <v>46192</v>
      </c>
      <c r="C405" s="3" t="s">
        <v>6280</v>
      </c>
      <c r="D405" s="3" t="s">
        <v>6281</v>
      </c>
      <c r="E405" s="463" t="s">
        <v>6282</v>
      </c>
      <c r="F405" s="463">
        <v>7064</v>
      </c>
      <c r="G405" s="468" t="s">
        <v>6275</v>
      </c>
      <c r="H405" s="462" t="s">
        <v>6276</v>
      </c>
      <c r="I405" s="773"/>
      <c r="J405" s="773" t="s">
        <v>6277</v>
      </c>
      <c r="K405" s="125" t="s">
        <v>6278</v>
      </c>
      <c r="L405" s="16" t="s">
        <v>6279</v>
      </c>
      <c r="M405" s="8">
        <v>2</v>
      </c>
      <c r="N405" s="774"/>
      <c r="O405" s="438"/>
      <c r="P405" s="572"/>
    </row>
    <row r="406" spans="1:16" s="17" customFormat="1" ht="33" customHeight="1">
      <c r="A406" s="618"/>
      <c r="B406" s="401">
        <v>46192</v>
      </c>
      <c r="C406" s="3" t="s">
        <v>21</v>
      </c>
      <c r="D406" s="3" t="s">
        <v>14</v>
      </c>
      <c r="E406" s="463" t="s">
        <v>1893</v>
      </c>
      <c r="F406" s="463" t="s">
        <v>4939</v>
      </c>
      <c r="G406" s="468" t="s">
        <v>482</v>
      </c>
      <c r="H406" s="462" t="s">
        <v>6043</v>
      </c>
      <c r="I406" s="462" t="s">
        <v>6155</v>
      </c>
      <c r="J406" s="462" t="s">
        <v>6016</v>
      </c>
      <c r="K406" s="125" t="s">
        <v>6046</v>
      </c>
      <c r="L406" s="468">
        <v>9080</v>
      </c>
      <c r="M406" s="464">
        <v>2</v>
      </c>
      <c r="N406" s="609"/>
      <c r="O406" s="438"/>
      <c r="P406" s="572"/>
    </row>
    <row r="407" spans="1:16" s="17" customFormat="1" ht="33" customHeight="1">
      <c r="A407" s="618"/>
      <c r="B407" s="401">
        <v>46193</v>
      </c>
      <c r="C407" s="4"/>
      <c r="D407" s="4"/>
      <c r="E407" s="291"/>
      <c r="F407" s="608"/>
      <c r="G407" s="16"/>
      <c r="H407" s="612"/>
      <c r="I407" s="608"/>
      <c r="J407" s="608"/>
      <c r="K407" s="125"/>
      <c r="L407" s="16"/>
      <c r="M407" s="8"/>
      <c r="N407" s="608"/>
      <c r="O407" s="440"/>
      <c r="P407" s="572"/>
    </row>
    <row r="408" spans="1:16" s="17" customFormat="1" ht="33" customHeight="1">
      <c r="A408" s="323" t="s">
        <v>0</v>
      </c>
      <c r="B408" s="324" t="s">
        <v>1</v>
      </c>
      <c r="C408" s="323" t="s">
        <v>2</v>
      </c>
      <c r="D408" s="323" t="s">
        <v>3</v>
      </c>
      <c r="E408" s="323" t="s">
        <v>4</v>
      </c>
      <c r="F408" s="323" t="s">
        <v>5</v>
      </c>
      <c r="G408" s="323" t="s">
        <v>6</v>
      </c>
      <c r="H408" s="325" t="s">
        <v>7</v>
      </c>
      <c r="I408" s="323" t="s">
        <v>8</v>
      </c>
      <c r="J408" s="323" t="s">
        <v>9</v>
      </c>
      <c r="K408" s="326" t="s">
        <v>10</v>
      </c>
      <c r="L408" s="327" t="s">
        <v>11</v>
      </c>
      <c r="M408" s="323" t="s">
        <v>12</v>
      </c>
      <c r="N408" s="328" t="s">
        <v>13</v>
      </c>
      <c r="O408" s="435" t="s">
        <v>63</v>
      </c>
      <c r="P408" s="323" t="s">
        <v>123</v>
      </c>
    </row>
    <row r="409" spans="1:16" s="17" customFormat="1" ht="33" customHeight="1">
      <c r="A409" s="617" t="s">
        <v>5626</v>
      </c>
      <c r="B409" s="401">
        <v>46195</v>
      </c>
      <c r="C409" s="3" t="s">
        <v>21</v>
      </c>
      <c r="D409" s="3" t="s">
        <v>17</v>
      </c>
      <c r="E409" s="463" t="s">
        <v>6192</v>
      </c>
      <c r="F409" s="463" t="s">
        <v>6193</v>
      </c>
      <c r="G409" s="468" t="s">
        <v>109</v>
      </c>
      <c r="H409" s="462" t="s">
        <v>6195</v>
      </c>
      <c r="I409" s="463"/>
      <c r="J409" s="462" t="s">
        <v>6194</v>
      </c>
      <c r="K409" s="136" t="s">
        <v>15</v>
      </c>
      <c r="L409" s="468" t="s">
        <v>4550</v>
      </c>
      <c r="M409" s="464">
        <v>2</v>
      </c>
      <c r="N409" s="608"/>
      <c r="O409" s="439"/>
      <c r="P409" s="572"/>
    </row>
    <row r="410" spans="1:16" s="17" customFormat="1" ht="33" customHeight="1">
      <c r="A410" s="618"/>
      <c r="B410" s="401"/>
      <c r="C410" s="3"/>
      <c r="D410" s="3"/>
      <c r="E410" s="463"/>
      <c r="F410" s="463"/>
      <c r="G410" s="468"/>
      <c r="H410" s="462"/>
      <c r="I410" s="463"/>
      <c r="J410" s="462"/>
      <c r="K410" s="136"/>
      <c r="L410" s="468"/>
      <c r="M410" s="464"/>
      <c r="N410" s="776"/>
      <c r="O410" s="439"/>
      <c r="P410" s="572"/>
    </row>
    <row r="411" spans="1:16" s="17" customFormat="1" ht="33" customHeight="1">
      <c r="A411" s="618"/>
      <c r="B411" s="401">
        <v>46196</v>
      </c>
      <c r="C411" s="3" t="s">
        <v>21</v>
      </c>
      <c r="D411" s="3" t="s">
        <v>17</v>
      </c>
      <c r="E411" s="463" t="s">
        <v>6192</v>
      </c>
      <c r="F411" s="463" t="s">
        <v>6193</v>
      </c>
      <c r="G411" s="468" t="s">
        <v>109</v>
      </c>
      <c r="H411" s="462" t="s">
        <v>6196</v>
      </c>
      <c r="I411" s="463"/>
      <c r="J411" s="462" t="s">
        <v>6194</v>
      </c>
      <c r="K411" s="136" t="s">
        <v>15</v>
      </c>
      <c r="L411" s="468" t="s">
        <v>4550</v>
      </c>
      <c r="M411" s="464">
        <v>2</v>
      </c>
      <c r="N411" s="773"/>
      <c r="O411" s="439"/>
      <c r="P411" s="572"/>
    </row>
    <row r="412" spans="1:16" s="17" customFormat="1" ht="33" customHeight="1">
      <c r="A412" s="618"/>
      <c r="B412" s="401">
        <v>46196</v>
      </c>
      <c r="C412" s="3" t="s">
        <v>21</v>
      </c>
      <c r="D412" s="3" t="s">
        <v>14</v>
      </c>
      <c r="E412" s="463" t="s">
        <v>211</v>
      </c>
      <c r="F412" s="463" t="s">
        <v>5754</v>
      </c>
      <c r="G412" s="468" t="s">
        <v>5833</v>
      </c>
      <c r="H412" s="462" t="s">
        <v>6120</v>
      </c>
      <c r="I412" s="776" t="s">
        <v>120</v>
      </c>
      <c r="J412" s="776" t="s">
        <v>2828</v>
      </c>
      <c r="K412" s="125" t="s">
        <v>15</v>
      </c>
      <c r="L412" s="16" t="s">
        <v>33</v>
      </c>
      <c r="M412" s="8">
        <v>2</v>
      </c>
      <c r="N412" s="726"/>
      <c r="O412" s="439"/>
      <c r="P412" s="572"/>
    </row>
    <row r="413" spans="1:16" s="17" customFormat="1" ht="33" customHeight="1">
      <c r="A413" s="618"/>
      <c r="B413" s="401"/>
      <c r="C413" s="4"/>
      <c r="D413" s="4"/>
      <c r="E413" s="778"/>
      <c r="F413" s="776"/>
      <c r="G413" s="16"/>
      <c r="H413" s="778"/>
      <c r="I413" s="776"/>
      <c r="J413" s="776"/>
      <c r="K413" s="125"/>
      <c r="L413" s="16"/>
      <c r="M413" s="8"/>
      <c r="N413" s="776"/>
      <c r="O413" s="439"/>
      <c r="P413" s="572"/>
    </row>
    <row r="414" spans="1:16" s="17" customFormat="1" ht="40.5">
      <c r="A414" s="618"/>
      <c r="B414" s="401">
        <v>46197</v>
      </c>
      <c r="C414" s="4" t="s">
        <v>21</v>
      </c>
      <c r="D414" s="4" t="s">
        <v>14</v>
      </c>
      <c r="E414" s="291" t="s">
        <v>149</v>
      </c>
      <c r="F414" s="776" t="s">
        <v>4090</v>
      </c>
      <c r="G414" s="16" t="s">
        <v>4091</v>
      </c>
      <c r="H414" s="778" t="s">
        <v>6135</v>
      </c>
      <c r="I414" s="776"/>
      <c r="J414" s="778" t="s">
        <v>6202</v>
      </c>
      <c r="K414" s="125" t="s">
        <v>15</v>
      </c>
      <c r="L414" s="16" t="s">
        <v>4550</v>
      </c>
      <c r="M414" s="8">
        <v>1</v>
      </c>
      <c r="N414" s="776"/>
      <c r="O414" s="439"/>
      <c r="P414" s="572"/>
    </row>
    <row r="415" spans="1:16" s="17" customFormat="1" ht="33" customHeight="1">
      <c r="A415" s="618"/>
      <c r="B415" s="401">
        <v>46197</v>
      </c>
      <c r="C415" s="3"/>
      <c r="D415" s="3"/>
      <c r="E415" s="463"/>
      <c r="F415" s="463"/>
      <c r="G415" s="468"/>
      <c r="H415" s="462"/>
      <c r="I415" s="776"/>
      <c r="J415" s="776"/>
      <c r="K415" s="125"/>
      <c r="L415" s="16"/>
      <c r="M415" s="8"/>
      <c r="N415" s="609"/>
      <c r="O415" s="438"/>
      <c r="P415" s="572"/>
    </row>
    <row r="416" spans="1:16" s="17" customFormat="1" ht="33" customHeight="1">
      <c r="A416" s="618"/>
      <c r="B416" s="401">
        <v>46197</v>
      </c>
      <c r="C416" s="3" t="s">
        <v>24</v>
      </c>
      <c r="D416" s="3" t="s">
        <v>31</v>
      </c>
      <c r="E416" s="462" t="s">
        <v>6101</v>
      </c>
      <c r="F416" s="776" t="s">
        <v>2713</v>
      </c>
      <c r="G416" s="16" t="s">
        <v>115</v>
      </c>
      <c r="H416" s="778" t="s">
        <v>6273</v>
      </c>
      <c r="I416" s="776"/>
      <c r="J416" s="778" t="s">
        <v>6102</v>
      </c>
      <c r="K416" s="125" t="s">
        <v>15</v>
      </c>
      <c r="L416" s="16" t="s">
        <v>6274</v>
      </c>
      <c r="M416" s="8">
        <v>2</v>
      </c>
      <c r="N416" s="777"/>
      <c r="O416" s="438"/>
      <c r="P416" s="572"/>
    </row>
    <row r="417" spans="1:16" s="17" customFormat="1" ht="33" customHeight="1">
      <c r="A417" s="618"/>
      <c r="B417" s="401">
        <v>46198</v>
      </c>
      <c r="C417" s="4"/>
      <c r="D417" s="4"/>
      <c r="E417" s="778"/>
      <c r="F417" s="776"/>
      <c r="G417" s="16"/>
      <c r="H417" s="778"/>
      <c r="I417" s="463"/>
      <c r="J417" s="462"/>
      <c r="K417" s="136"/>
      <c r="L417" s="468"/>
      <c r="M417" s="464"/>
      <c r="N417" s="609"/>
      <c r="O417" s="438" t="s">
        <v>6206</v>
      </c>
      <c r="P417" s="572"/>
    </row>
    <row r="418" spans="1:16" s="17" customFormat="1" ht="33" customHeight="1">
      <c r="A418" s="618"/>
      <c r="B418" s="401"/>
      <c r="C418" s="3"/>
      <c r="D418" s="3"/>
      <c r="E418" s="463"/>
      <c r="F418" s="463"/>
      <c r="G418" s="468"/>
      <c r="H418" s="462"/>
      <c r="I418" s="463"/>
      <c r="J418" s="462"/>
      <c r="K418" s="136"/>
      <c r="L418" s="468"/>
      <c r="M418" s="464"/>
      <c r="N418" s="777"/>
      <c r="O418" s="438"/>
      <c r="P418" s="572"/>
    </row>
    <row r="419" spans="1:16" s="17" customFormat="1" ht="33" customHeight="1">
      <c r="A419" s="618"/>
      <c r="B419" s="401">
        <v>46199</v>
      </c>
      <c r="C419" s="4" t="s">
        <v>24</v>
      </c>
      <c r="D419" s="4" t="s">
        <v>6268</v>
      </c>
      <c r="E419" s="778" t="s">
        <v>6269</v>
      </c>
      <c r="F419" s="776" t="s">
        <v>6270</v>
      </c>
      <c r="G419" s="16" t="s">
        <v>6271</v>
      </c>
      <c r="H419" s="778" t="s">
        <v>6272</v>
      </c>
      <c r="I419" s="463"/>
      <c r="J419" s="462" t="s">
        <v>641</v>
      </c>
      <c r="K419" s="136" t="s">
        <v>15</v>
      </c>
      <c r="L419" s="468" t="s">
        <v>4550</v>
      </c>
      <c r="M419" s="464">
        <v>2</v>
      </c>
      <c r="N419" s="777"/>
      <c r="O419" s="438"/>
      <c r="P419" s="572"/>
    </row>
    <row r="420" spans="1:16" s="17" customFormat="1" ht="33" customHeight="1">
      <c r="A420" s="618"/>
      <c r="B420" s="401">
        <v>46199</v>
      </c>
      <c r="C420" s="183" t="s">
        <v>21</v>
      </c>
      <c r="D420" s="183" t="s">
        <v>6124</v>
      </c>
      <c r="E420" s="316" t="s">
        <v>6125</v>
      </c>
      <c r="F420" s="316">
        <v>7064</v>
      </c>
      <c r="G420" s="387" t="s">
        <v>6126</v>
      </c>
      <c r="H420" s="238" t="s">
        <v>6127</v>
      </c>
      <c r="I420" s="316"/>
      <c r="J420" s="316" t="s">
        <v>6121</v>
      </c>
      <c r="K420" s="239" t="s">
        <v>6041</v>
      </c>
      <c r="L420" s="387" t="s">
        <v>6128</v>
      </c>
      <c r="M420" s="754">
        <v>2</v>
      </c>
      <c r="N420" s="609"/>
      <c r="O420" s="438"/>
      <c r="P420" s="572"/>
    </row>
    <row r="421" spans="1:16" s="17" customFormat="1" ht="33" customHeight="1">
      <c r="A421" s="619"/>
      <c r="B421" s="370">
        <v>46200</v>
      </c>
      <c r="C421" s="4"/>
      <c r="D421" s="4"/>
      <c r="E421" s="291"/>
      <c r="F421" s="608"/>
      <c r="G421" s="16"/>
      <c r="H421" s="612"/>
      <c r="I421" s="608"/>
      <c r="J421" s="608"/>
      <c r="K421" s="125"/>
      <c r="L421" s="16"/>
      <c r="M421" s="8"/>
      <c r="N421" s="608"/>
      <c r="O421" s="440"/>
      <c r="P421" s="572"/>
    </row>
    <row r="422" spans="1:16" s="17" customFormat="1" ht="33" customHeight="1">
      <c r="A422" s="323" t="s">
        <v>0</v>
      </c>
      <c r="B422" s="324" t="s">
        <v>1</v>
      </c>
      <c r="C422" s="323" t="s">
        <v>2</v>
      </c>
      <c r="D422" s="323" t="s">
        <v>3</v>
      </c>
      <c r="E422" s="323" t="s">
        <v>4</v>
      </c>
      <c r="F422" s="323" t="s">
        <v>5</v>
      </c>
      <c r="G422" s="323" t="s">
        <v>6</v>
      </c>
      <c r="H422" s="325" t="s">
        <v>7</v>
      </c>
      <c r="I422" s="323" t="s">
        <v>8</v>
      </c>
      <c r="J422" s="323" t="s">
        <v>9</v>
      </c>
      <c r="K422" s="326" t="s">
        <v>10</v>
      </c>
      <c r="L422" s="327" t="s">
        <v>11</v>
      </c>
      <c r="M422" s="323" t="s">
        <v>12</v>
      </c>
      <c r="N422" s="328" t="s">
        <v>13</v>
      </c>
      <c r="O422" s="435" t="s">
        <v>63</v>
      </c>
      <c r="P422" s="323" t="s">
        <v>123</v>
      </c>
    </row>
    <row r="423" spans="1:16" s="17" customFormat="1" ht="33" customHeight="1">
      <c r="A423" s="617" t="s">
        <v>5627</v>
      </c>
      <c r="B423" s="401">
        <v>46202</v>
      </c>
      <c r="C423" s="4" t="s">
        <v>21</v>
      </c>
      <c r="D423" s="4" t="s">
        <v>6114</v>
      </c>
      <c r="E423" s="773" t="s">
        <v>6117</v>
      </c>
      <c r="F423" s="773" t="s">
        <v>6115</v>
      </c>
      <c r="G423" s="16" t="s">
        <v>6116</v>
      </c>
      <c r="H423" s="775" t="s">
        <v>6201</v>
      </c>
      <c r="I423" s="773" t="s">
        <v>6024</v>
      </c>
      <c r="J423" s="773" t="s">
        <v>6121</v>
      </c>
      <c r="K423" s="125" t="s">
        <v>6041</v>
      </c>
      <c r="L423" s="16" t="s">
        <v>6118</v>
      </c>
      <c r="M423" s="8">
        <v>3</v>
      </c>
      <c r="N423" s="608"/>
      <c r="O423" s="439"/>
      <c r="P423" s="572"/>
    </row>
    <row r="424" spans="1:16" s="17" customFormat="1" ht="33" customHeight="1">
      <c r="A424" s="618"/>
      <c r="B424" s="401">
        <v>46202</v>
      </c>
      <c r="C424" s="3" t="s">
        <v>21</v>
      </c>
      <c r="D424" s="3" t="s">
        <v>17</v>
      </c>
      <c r="E424" s="463" t="s">
        <v>6192</v>
      </c>
      <c r="F424" s="463" t="s">
        <v>6193</v>
      </c>
      <c r="G424" s="468" t="s">
        <v>6197</v>
      </c>
      <c r="H424" s="462" t="s">
        <v>146</v>
      </c>
      <c r="I424" s="463"/>
      <c r="J424" s="462" t="s">
        <v>6194</v>
      </c>
      <c r="K424" s="136" t="s">
        <v>15</v>
      </c>
      <c r="L424" s="468" t="s">
        <v>4550</v>
      </c>
      <c r="M424" s="464">
        <v>2</v>
      </c>
      <c r="N424" s="773"/>
      <c r="O424" s="439"/>
      <c r="P424" s="572"/>
    </row>
    <row r="425" spans="1:16" s="17" customFormat="1" ht="33" customHeight="1">
      <c r="A425" s="618"/>
      <c r="B425" s="401">
        <v>46203</v>
      </c>
      <c r="C425" s="3" t="s">
        <v>21</v>
      </c>
      <c r="D425" s="3" t="s">
        <v>17</v>
      </c>
      <c r="E425" s="463" t="s">
        <v>6192</v>
      </c>
      <c r="F425" s="463" t="s">
        <v>6193</v>
      </c>
      <c r="G425" s="468" t="s">
        <v>6197</v>
      </c>
      <c r="H425" s="462" t="s">
        <v>3390</v>
      </c>
      <c r="I425" s="463"/>
      <c r="J425" s="462" t="s">
        <v>6194</v>
      </c>
      <c r="K425" s="136" t="s">
        <v>15</v>
      </c>
      <c r="L425" s="468" t="s">
        <v>4550</v>
      </c>
      <c r="M425" s="464">
        <v>2</v>
      </c>
      <c r="N425" s="773"/>
      <c r="O425" s="439"/>
      <c r="P425" s="572"/>
    </row>
    <row r="426" spans="1:16" s="17" customFormat="1" ht="33" customHeight="1">
      <c r="A426" s="618"/>
      <c r="B426" s="401">
        <v>46203</v>
      </c>
      <c r="C426" s="4" t="s">
        <v>21</v>
      </c>
      <c r="D426" s="4" t="s">
        <v>6114</v>
      </c>
      <c r="E426" s="773" t="s">
        <v>6117</v>
      </c>
      <c r="F426" s="773" t="s">
        <v>6115</v>
      </c>
      <c r="G426" s="16" t="s">
        <v>6116</v>
      </c>
      <c r="H426" s="775" t="s">
        <v>6139</v>
      </c>
      <c r="I426" s="773"/>
      <c r="J426" s="773" t="s">
        <v>6119</v>
      </c>
      <c r="K426" s="125" t="s">
        <v>6041</v>
      </c>
      <c r="L426" s="16" t="s">
        <v>6118</v>
      </c>
      <c r="M426" s="8">
        <v>3</v>
      </c>
      <c r="N426" s="608"/>
      <c r="O426" s="439"/>
      <c r="P426" s="572"/>
    </row>
    <row r="427" spans="1:16" s="17" customFormat="1" ht="33" customHeight="1">
      <c r="A427" s="618"/>
      <c r="B427" s="401">
        <v>46203</v>
      </c>
      <c r="C427" s="4" t="s">
        <v>29</v>
      </c>
      <c r="D427" s="4" t="s">
        <v>31</v>
      </c>
      <c r="E427" s="778" t="s">
        <v>78</v>
      </c>
      <c r="F427" s="776" t="s">
        <v>5979</v>
      </c>
      <c r="G427" s="16" t="s">
        <v>145</v>
      </c>
      <c r="H427" s="778" t="s">
        <v>5980</v>
      </c>
      <c r="I427" s="776" t="s">
        <v>5983</v>
      </c>
      <c r="J427" s="776" t="s">
        <v>5981</v>
      </c>
      <c r="K427" s="125" t="s">
        <v>15</v>
      </c>
      <c r="L427" s="16" t="s">
        <v>4550</v>
      </c>
      <c r="M427" s="8">
        <v>4</v>
      </c>
      <c r="N427" s="776"/>
      <c r="O427" s="439"/>
      <c r="P427" s="572"/>
    </row>
    <row r="428" spans="1:16" s="17" customFormat="1" ht="33" customHeight="1">
      <c r="A428" s="618"/>
      <c r="B428" s="401">
        <v>46204</v>
      </c>
      <c r="C428" s="3" t="s">
        <v>21</v>
      </c>
      <c r="D428" s="3" t="s">
        <v>14</v>
      </c>
      <c r="E428" s="463" t="s">
        <v>211</v>
      </c>
      <c r="F428" s="463" t="s">
        <v>5754</v>
      </c>
      <c r="G428" s="468" t="s">
        <v>5833</v>
      </c>
      <c r="H428" s="462" t="s">
        <v>6120</v>
      </c>
      <c r="I428" s="776" t="s">
        <v>120</v>
      </c>
      <c r="J428" s="776" t="s">
        <v>6203</v>
      </c>
      <c r="K428" s="125" t="s">
        <v>15</v>
      </c>
      <c r="L428" s="16" t="s">
        <v>33</v>
      </c>
      <c r="M428" s="8">
        <v>2</v>
      </c>
      <c r="N428" s="776"/>
      <c r="O428" s="439"/>
      <c r="P428" s="572"/>
    </row>
    <row r="429" spans="1:16" s="17" customFormat="1" ht="33" customHeight="1">
      <c r="A429" s="618"/>
      <c r="B429" s="401">
        <v>46204</v>
      </c>
      <c r="C429" s="4" t="s">
        <v>21</v>
      </c>
      <c r="D429" s="4" t="s">
        <v>6114</v>
      </c>
      <c r="E429" s="773" t="s">
        <v>6117</v>
      </c>
      <c r="F429" s="773" t="s">
        <v>6115</v>
      </c>
      <c r="G429" s="16" t="s">
        <v>6116</v>
      </c>
      <c r="H429" s="775" t="s">
        <v>6200</v>
      </c>
      <c r="I429" s="773"/>
      <c r="J429" s="773" t="s">
        <v>6198</v>
      </c>
      <c r="K429" s="125" t="s">
        <v>6041</v>
      </c>
      <c r="L429" s="16" t="s">
        <v>6118</v>
      </c>
      <c r="M429" s="8">
        <v>2</v>
      </c>
      <c r="N429" s="609"/>
      <c r="O429" s="438"/>
      <c r="P429" s="572"/>
    </row>
    <row r="430" spans="1:16" s="17" customFormat="1" ht="33" customHeight="1">
      <c r="A430" s="618"/>
      <c r="B430" s="401">
        <v>46205</v>
      </c>
      <c r="C430" s="4" t="s">
        <v>21</v>
      </c>
      <c r="D430" s="4" t="s">
        <v>14</v>
      </c>
      <c r="E430" s="608" t="s">
        <v>1787</v>
      </c>
      <c r="F430" s="608" t="s">
        <v>2978</v>
      </c>
      <c r="G430" s="16" t="s">
        <v>4108</v>
      </c>
      <c r="H430" s="612" t="s">
        <v>900</v>
      </c>
      <c r="I430" s="608" t="s">
        <v>6199</v>
      </c>
      <c r="J430" s="612" t="s">
        <v>3074</v>
      </c>
      <c r="K430" s="125" t="s">
        <v>105</v>
      </c>
      <c r="L430" s="16" t="s">
        <v>4379</v>
      </c>
      <c r="M430" s="8">
        <v>2</v>
      </c>
      <c r="N430" s="609"/>
      <c r="O430" s="438"/>
      <c r="P430" s="572"/>
    </row>
    <row r="431" spans="1:16" s="17" customFormat="1" ht="33" customHeight="1">
      <c r="A431" s="618"/>
      <c r="B431" s="401">
        <v>46205</v>
      </c>
      <c r="C431" s="4" t="s">
        <v>21</v>
      </c>
      <c r="D431" s="4" t="s">
        <v>6114</v>
      </c>
      <c r="E431" s="773" t="s">
        <v>6117</v>
      </c>
      <c r="F431" s="773" t="s">
        <v>6115</v>
      </c>
      <c r="G431" s="16" t="s">
        <v>6116</v>
      </c>
      <c r="H431" s="775" t="s">
        <v>6200</v>
      </c>
      <c r="I431" s="773"/>
      <c r="J431" s="773" t="s">
        <v>6198</v>
      </c>
      <c r="K431" s="125" t="s">
        <v>6041</v>
      </c>
      <c r="L431" s="16" t="s">
        <v>6118</v>
      </c>
      <c r="M431" s="8">
        <v>2</v>
      </c>
      <c r="N431" s="774"/>
      <c r="O431" s="438"/>
      <c r="P431" s="572"/>
    </row>
    <row r="432" spans="1:16" s="17" customFormat="1" ht="33" customHeight="1">
      <c r="A432" s="618"/>
      <c r="B432" s="401">
        <v>46206</v>
      </c>
      <c r="C432" s="4" t="s">
        <v>21</v>
      </c>
      <c r="D432" s="4" t="s">
        <v>14</v>
      </c>
      <c r="E432" s="608" t="s">
        <v>1787</v>
      </c>
      <c r="F432" s="608" t="s">
        <v>2978</v>
      </c>
      <c r="G432" s="16" t="s">
        <v>843</v>
      </c>
      <c r="H432" s="612" t="s">
        <v>900</v>
      </c>
      <c r="I432" s="773" t="s">
        <v>6199</v>
      </c>
      <c r="J432" s="612" t="s">
        <v>3074</v>
      </c>
      <c r="K432" s="125" t="s">
        <v>15</v>
      </c>
      <c r="L432" s="16" t="s">
        <v>4379</v>
      </c>
      <c r="M432" s="8">
        <v>2</v>
      </c>
      <c r="N432" s="609"/>
      <c r="O432" s="438"/>
      <c r="P432" s="572"/>
    </row>
    <row r="433" spans="1:16" s="17" customFormat="1" ht="33" customHeight="1">
      <c r="A433" s="618"/>
      <c r="B433" s="401">
        <v>46206</v>
      </c>
      <c r="C433" s="4" t="s">
        <v>21</v>
      </c>
      <c r="D433" s="4" t="s">
        <v>14</v>
      </c>
      <c r="E433" s="608" t="s">
        <v>1787</v>
      </c>
      <c r="F433" s="608" t="s">
        <v>2978</v>
      </c>
      <c r="G433" s="16" t="s">
        <v>142</v>
      </c>
      <c r="H433" s="612" t="s">
        <v>900</v>
      </c>
      <c r="I433" s="773" t="s">
        <v>6199</v>
      </c>
      <c r="J433" s="612" t="s">
        <v>3074</v>
      </c>
      <c r="K433" s="125" t="s">
        <v>105</v>
      </c>
      <c r="L433" s="16" t="s">
        <v>4379</v>
      </c>
      <c r="M433" s="8">
        <v>2</v>
      </c>
      <c r="N433" s="609"/>
      <c r="O433" s="438"/>
      <c r="P433" s="572"/>
    </row>
    <row r="434" spans="1:16" s="17" customFormat="1" ht="33" customHeight="1">
      <c r="A434" s="619"/>
      <c r="B434" s="370">
        <v>46207</v>
      </c>
      <c r="C434" s="4"/>
      <c r="D434" s="4"/>
      <c r="E434" s="291"/>
      <c r="F434" s="608"/>
      <c r="G434" s="16"/>
      <c r="H434" s="612"/>
      <c r="I434" s="608"/>
      <c r="J434" s="608"/>
      <c r="K434" s="125"/>
      <c r="L434" s="16"/>
      <c r="M434" s="8"/>
      <c r="N434" s="608"/>
      <c r="O434" s="440"/>
      <c r="P434" s="572"/>
    </row>
    <row r="435" spans="1:16" s="17" customFormat="1" ht="33" customHeight="1">
      <c r="A435" s="323" t="s">
        <v>0</v>
      </c>
      <c r="B435" s="324" t="s">
        <v>1</v>
      </c>
      <c r="C435" s="323" t="s">
        <v>2</v>
      </c>
      <c r="D435" s="323" t="s">
        <v>3</v>
      </c>
      <c r="E435" s="323" t="s">
        <v>4</v>
      </c>
      <c r="F435" s="323" t="s">
        <v>5</v>
      </c>
      <c r="G435" s="323" t="s">
        <v>6</v>
      </c>
      <c r="H435" s="325" t="s">
        <v>7</v>
      </c>
      <c r="I435" s="323" t="s">
        <v>8</v>
      </c>
      <c r="J435" s="323" t="s">
        <v>9</v>
      </c>
      <c r="K435" s="326" t="s">
        <v>10</v>
      </c>
      <c r="L435" s="327" t="s">
        <v>11</v>
      </c>
      <c r="M435" s="323" t="s">
        <v>12</v>
      </c>
      <c r="N435" s="328" t="s">
        <v>13</v>
      </c>
      <c r="O435" s="435" t="s">
        <v>63</v>
      </c>
      <c r="P435" s="323" t="s">
        <v>123</v>
      </c>
    </row>
    <row r="436" spans="1:16" s="17" customFormat="1" ht="33" customHeight="1">
      <c r="A436" s="617" t="s">
        <v>5628</v>
      </c>
      <c r="B436" s="401">
        <v>46209</v>
      </c>
      <c r="C436" s="4"/>
      <c r="D436" s="4"/>
      <c r="E436" s="608"/>
      <c r="F436" s="608"/>
      <c r="G436" s="16"/>
      <c r="H436" s="612"/>
      <c r="I436" s="608"/>
      <c r="J436" s="608"/>
      <c r="K436" s="125"/>
      <c r="L436" s="16"/>
      <c r="M436" s="8"/>
      <c r="N436" s="608"/>
      <c r="O436" s="439"/>
      <c r="P436" s="572"/>
    </row>
    <row r="437" spans="1:16" s="17" customFormat="1" ht="33" customHeight="1">
      <c r="A437" s="618"/>
      <c r="B437" s="401">
        <v>46210</v>
      </c>
      <c r="C437" s="4"/>
      <c r="D437" s="4"/>
      <c r="E437" s="291"/>
      <c r="F437" s="608"/>
      <c r="G437" s="16"/>
      <c r="H437" s="612"/>
      <c r="I437" s="608"/>
      <c r="J437" s="608"/>
      <c r="K437" s="125"/>
      <c r="L437" s="16"/>
      <c r="M437" s="8"/>
      <c r="N437" s="608"/>
      <c r="O437" s="439"/>
      <c r="P437" s="572"/>
    </row>
    <row r="438" spans="1:16" s="17" customFormat="1" ht="33" customHeight="1">
      <c r="A438" s="618"/>
      <c r="B438" s="401">
        <v>46211</v>
      </c>
      <c r="C438" s="4"/>
      <c r="D438" s="4"/>
      <c r="E438" s="608"/>
      <c r="F438" s="608"/>
      <c r="G438" s="16"/>
      <c r="H438" s="612"/>
      <c r="I438" s="608"/>
      <c r="J438" s="612"/>
      <c r="K438" s="125"/>
      <c r="L438" s="16"/>
      <c r="M438" s="8"/>
      <c r="N438" s="609"/>
      <c r="O438" s="438"/>
      <c r="P438" s="572"/>
    </row>
    <row r="439" spans="1:16" s="17" customFormat="1" ht="33" customHeight="1">
      <c r="A439" s="618"/>
      <c r="B439" s="401">
        <v>46212</v>
      </c>
      <c r="C439" s="4"/>
      <c r="D439" s="4"/>
      <c r="E439" s="608"/>
      <c r="F439" s="608"/>
      <c r="G439" s="16"/>
      <c r="H439" s="612"/>
      <c r="I439" s="608"/>
      <c r="J439" s="612"/>
      <c r="K439" s="125"/>
      <c r="L439" s="16"/>
      <c r="M439" s="8"/>
      <c r="N439" s="609"/>
      <c r="O439" s="438"/>
      <c r="P439" s="572"/>
    </row>
    <row r="440" spans="1:16" s="17" customFormat="1" ht="33" customHeight="1">
      <c r="A440" s="618"/>
      <c r="B440" s="401">
        <v>46213</v>
      </c>
      <c r="C440" s="4"/>
      <c r="D440" s="4"/>
      <c r="E440" s="608"/>
      <c r="F440" s="608"/>
      <c r="G440" s="16"/>
      <c r="H440" s="612"/>
      <c r="I440" s="608"/>
      <c r="J440" s="612"/>
      <c r="K440" s="125"/>
      <c r="L440" s="16"/>
      <c r="M440" s="8"/>
      <c r="N440" s="609"/>
      <c r="O440" s="438"/>
      <c r="P440" s="572"/>
    </row>
    <row r="441" spans="1:16" s="17" customFormat="1" ht="33" customHeight="1">
      <c r="A441" s="619"/>
      <c r="B441" s="370">
        <v>46214</v>
      </c>
      <c r="C441" s="4"/>
      <c r="D441" s="4"/>
      <c r="E441" s="291"/>
      <c r="F441" s="608"/>
      <c r="G441" s="16"/>
      <c r="H441" s="612"/>
      <c r="I441" s="608"/>
      <c r="J441" s="608"/>
      <c r="K441" s="125"/>
      <c r="L441" s="16"/>
      <c r="M441" s="8"/>
      <c r="N441" s="608"/>
      <c r="O441" s="440"/>
      <c r="P441" s="572"/>
    </row>
    <row r="442" spans="1:16" s="17" customFormat="1" ht="33" customHeight="1">
      <c r="A442" s="323" t="s">
        <v>0</v>
      </c>
      <c r="B442" s="324" t="s">
        <v>1</v>
      </c>
      <c r="C442" s="323" t="s">
        <v>2</v>
      </c>
      <c r="D442" s="323" t="s">
        <v>3</v>
      </c>
      <c r="E442" s="323" t="s">
        <v>4</v>
      </c>
      <c r="F442" s="323" t="s">
        <v>5</v>
      </c>
      <c r="G442" s="323" t="s">
        <v>6</v>
      </c>
      <c r="H442" s="325" t="s">
        <v>7</v>
      </c>
      <c r="I442" s="323" t="s">
        <v>8</v>
      </c>
      <c r="J442" s="323" t="s">
        <v>9</v>
      </c>
      <c r="K442" s="326" t="s">
        <v>10</v>
      </c>
      <c r="L442" s="327" t="s">
        <v>11</v>
      </c>
      <c r="M442" s="323" t="s">
        <v>12</v>
      </c>
      <c r="N442" s="328" t="s">
        <v>13</v>
      </c>
      <c r="O442" s="435" t="s">
        <v>63</v>
      </c>
      <c r="P442" s="323" t="s">
        <v>123</v>
      </c>
    </row>
    <row r="443" spans="1:16" s="17" customFormat="1" ht="33" customHeight="1">
      <c r="A443" s="617" t="s">
        <v>5629</v>
      </c>
      <c r="B443" s="401">
        <v>46216</v>
      </c>
      <c r="C443" s="4"/>
      <c r="D443" s="4"/>
      <c r="E443" s="608"/>
      <c r="F443" s="608"/>
      <c r="G443" s="16"/>
      <c r="H443" s="612"/>
      <c r="I443" s="608"/>
      <c r="J443" s="608"/>
      <c r="K443" s="125"/>
      <c r="L443" s="16"/>
      <c r="M443" s="8"/>
      <c r="N443" s="608"/>
      <c r="O443" s="439"/>
      <c r="P443" s="572"/>
    </row>
    <row r="444" spans="1:16" s="17" customFormat="1" ht="33" customHeight="1">
      <c r="A444" s="618"/>
      <c r="B444" s="401">
        <v>46217</v>
      </c>
      <c r="C444" s="4"/>
      <c r="D444" s="4"/>
      <c r="E444" s="291"/>
      <c r="F444" s="608"/>
      <c r="G444" s="16"/>
      <c r="H444" s="612"/>
      <c r="I444" s="608"/>
      <c r="J444" s="608"/>
      <c r="K444" s="125"/>
      <c r="L444" s="16"/>
      <c r="M444" s="8"/>
      <c r="N444" s="608"/>
      <c r="O444" s="439"/>
      <c r="P444" s="572"/>
    </row>
    <row r="445" spans="1:16" s="17" customFormat="1" ht="33" customHeight="1">
      <c r="A445" s="618"/>
      <c r="B445" s="401">
        <v>46218</v>
      </c>
      <c r="C445" s="4"/>
      <c r="D445" s="4"/>
      <c r="E445" s="608"/>
      <c r="F445" s="608"/>
      <c r="G445" s="16"/>
      <c r="H445" s="612"/>
      <c r="I445" s="608"/>
      <c r="J445" s="612"/>
      <c r="K445" s="125"/>
      <c r="L445" s="16"/>
      <c r="M445" s="8"/>
      <c r="N445" s="609"/>
      <c r="O445" s="438"/>
      <c r="P445" s="572"/>
    </row>
    <row r="446" spans="1:16" s="17" customFormat="1" ht="33" customHeight="1">
      <c r="A446" s="618"/>
      <c r="B446" s="401">
        <v>46219</v>
      </c>
      <c r="C446" s="4"/>
      <c r="D446" s="4"/>
      <c r="E446" s="608"/>
      <c r="F446" s="608"/>
      <c r="G446" s="16"/>
      <c r="H446" s="612"/>
      <c r="I446" s="608"/>
      <c r="J446" s="612"/>
      <c r="K446" s="125"/>
      <c r="L446" s="16"/>
      <c r="M446" s="8"/>
      <c r="N446" s="609"/>
      <c r="O446" s="438"/>
      <c r="P446" s="572"/>
    </row>
    <row r="447" spans="1:16" s="17" customFormat="1" ht="33" customHeight="1">
      <c r="A447" s="618"/>
      <c r="B447" s="401">
        <v>46220</v>
      </c>
      <c r="C447" s="4"/>
      <c r="D447" s="4"/>
      <c r="E447" s="608"/>
      <c r="F447" s="608"/>
      <c r="G447" s="16"/>
      <c r="H447" s="612"/>
      <c r="I447" s="608"/>
      <c r="J447" s="612"/>
      <c r="K447" s="125"/>
      <c r="L447" s="16"/>
      <c r="M447" s="8"/>
      <c r="N447" s="609"/>
      <c r="O447" s="438"/>
      <c r="P447" s="572"/>
    </row>
    <row r="448" spans="1:16" s="17" customFormat="1" ht="33" customHeight="1">
      <c r="A448" s="619"/>
      <c r="B448" s="370">
        <v>46221</v>
      </c>
      <c r="C448" s="4"/>
      <c r="D448" s="4"/>
      <c r="E448" s="291"/>
      <c r="F448" s="608"/>
      <c r="G448" s="16"/>
      <c r="H448" s="612"/>
      <c r="I448" s="608"/>
      <c r="J448" s="608"/>
      <c r="K448" s="125"/>
      <c r="L448" s="16"/>
      <c r="M448" s="8"/>
      <c r="N448" s="608"/>
      <c r="O448" s="440"/>
      <c r="P448" s="572"/>
    </row>
    <row r="449" spans="1:16" s="17" customFormat="1" ht="33" customHeight="1">
      <c r="A449" s="323" t="s">
        <v>0</v>
      </c>
      <c r="B449" s="324" t="s">
        <v>1</v>
      </c>
      <c r="C449" s="323" t="s">
        <v>2</v>
      </c>
      <c r="D449" s="323" t="s">
        <v>3</v>
      </c>
      <c r="E449" s="323" t="s">
        <v>4</v>
      </c>
      <c r="F449" s="323" t="s">
        <v>5</v>
      </c>
      <c r="G449" s="323" t="s">
        <v>6</v>
      </c>
      <c r="H449" s="325" t="s">
        <v>7</v>
      </c>
      <c r="I449" s="323" t="s">
        <v>8</v>
      </c>
      <c r="J449" s="323" t="s">
        <v>9</v>
      </c>
      <c r="K449" s="326" t="s">
        <v>10</v>
      </c>
      <c r="L449" s="327" t="s">
        <v>11</v>
      </c>
      <c r="M449" s="323" t="s">
        <v>12</v>
      </c>
      <c r="N449" s="328" t="s">
        <v>13</v>
      </c>
      <c r="O449" s="435" t="s">
        <v>63</v>
      </c>
      <c r="P449" s="323" t="s">
        <v>123</v>
      </c>
    </row>
    <row r="450" spans="1:16" s="17" customFormat="1" ht="33" customHeight="1">
      <c r="A450" s="617" t="s">
        <v>5630</v>
      </c>
      <c r="B450" s="401">
        <v>46223</v>
      </c>
      <c r="C450" s="4" t="s">
        <v>113</v>
      </c>
      <c r="D450" s="4" t="s">
        <v>2202</v>
      </c>
      <c r="E450" s="668" t="s">
        <v>899</v>
      </c>
      <c r="F450" s="668" t="s">
        <v>1968</v>
      </c>
      <c r="G450" s="16" t="s">
        <v>376</v>
      </c>
      <c r="H450" s="669" t="s">
        <v>4109</v>
      </c>
      <c r="I450" s="608"/>
      <c r="J450" s="608"/>
      <c r="K450" s="125"/>
      <c r="L450" s="16"/>
      <c r="M450" s="8"/>
      <c r="N450" s="608"/>
      <c r="O450" s="439"/>
      <c r="P450" s="572"/>
    </row>
    <row r="451" spans="1:16" s="17" customFormat="1" ht="33" customHeight="1">
      <c r="A451" s="618"/>
      <c r="B451" s="401">
        <v>46224</v>
      </c>
      <c r="C451" s="4" t="s">
        <v>113</v>
      </c>
      <c r="D451" s="4" t="s">
        <v>2202</v>
      </c>
      <c r="E451" s="668" t="s">
        <v>899</v>
      </c>
      <c r="F451" s="668" t="s">
        <v>1968</v>
      </c>
      <c r="G451" s="16" t="s">
        <v>5358</v>
      </c>
      <c r="H451" s="669" t="s">
        <v>4109</v>
      </c>
      <c r="I451" s="608"/>
      <c r="J451" s="608"/>
      <c r="K451" s="125"/>
      <c r="L451" s="16"/>
      <c r="M451" s="8"/>
      <c r="N451" s="608"/>
      <c r="O451" s="439"/>
      <c r="P451" s="572"/>
    </row>
    <row r="452" spans="1:16" s="17" customFormat="1" ht="33" customHeight="1">
      <c r="A452" s="618"/>
      <c r="B452" s="401">
        <v>46225</v>
      </c>
      <c r="C452" s="4"/>
      <c r="D452" s="4"/>
      <c r="E452" s="608"/>
      <c r="F452" s="608"/>
      <c r="G452" s="16"/>
      <c r="H452" s="612"/>
      <c r="I452" s="608"/>
      <c r="J452" s="612"/>
      <c r="K452" s="125"/>
      <c r="L452" s="16"/>
      <c r="M452" s="8"/>
      <c r="N452" s="609"/>
      <c r="O452" s="438"/>
      <c r="P452" s="572"/>
    </row>
    <row r="453" spans="1:16" s="17" customFormat="1" ht="33" customHeight="1">
      <c r="A453" s="618"/>
      <c r="B453" s="401">
        <v>46226</v>
      </c>
      <c r="C453" s="4"/>
      <c r="D453" s="4"/>
      <c r="E453" s="608"/>
      <c r="F453" s="608"/>
      <c r="G453" s="16"/>
      <c r="H453" s="612"/>
      <c r="I453" s="608"/>
      <c r="J453" s="612"/>
      <c r="K453" s="125"/>
      <c r="L453" s="16"/>
      <c r="M453" s="8"/>
      <c r="N453" s="609"/>
      <c r="O453" s="438"/>
      <c r="P453" s="572"/>
    </row>
    <row r="454" spans="1:16" s="17" customFormat="1" ht="33" customHeight="1">
      <c r="A454" s="618"/>
      <c r="B454" s="401">
        <v>46227</v>
      </c>
      <c r="C454" s="4"/>
      <c r="D454" s="4"/>
      <c r="E454" s="608"/>
      <c r="F454" s="608"/>
      <c r="G454" s="16"/>
      <c r="H454" s="612"/>
      <c r="I454" s="608"/>
      <c r="J454" s="612"/>
      <c r="K454" s="125"/>
      <c r="L454" s="16"/>
      <c r="M454" s="8"/>
      <c r="N454" s="609"/>
      <c r="O454" s="438"/>
      <c r="P454" s="572"/>
    </row>
    <row r="455" spans="1:16" s="17" customFormat="1" ht="33" customHeight="1">
      <c r="A455" s="619"/>
      <c r="B455" s="370">
        <v>46228</v>
      </c>
      <c r="C455" s="4"/>
      <c r="D455" s="4"/>
      <c r="E455" s="291"/>
      <c r="F455" s="608"/>
      <c r="G455" s="16"/>
      <c r="H455" s="612"/>
      <c r="I455" s="608"/>
      <c r="J455" s="608"/>
      <c r="K455" s="125"/>
      <c r="L455" s="16"/>
      <c r="M455" s="8"/>
      <c r="N455" s="608"/>
      <c r="O455" s="440"/>
      <c r="P455" s="572"/>
    </row>
    <row r="456" spans="1:16" s="17" customFormat="1" ht="33" customHeight="1">
      <c r="A456" s="323" t="s">
        <v>0</v>
      </c>
      <c r="B456" s="324" t="s">
        <v>1</v>
      </c>
      <c r="C456" s="323" t="s">
        <v>2</v>
      </c>
      <c r="D456" s="323" t="s">
        <v>3</v>
      </c>
      <c r="E456" s="323" t="s">
        <v>4</v>
      </c>
      <c r="F456" s="323" t="s">
        <v>5</v>
      </c>
      <c r="G456" s="323" t="s">
        <v>6</v>
      </c>
      <c r="H456" s="325" t="s">
        <v>7</v>
      </c>
      <c r="I456" s="323" t="s">
        <v>8</v>
      </c>
      <c r="J456" s="323" t="s">
        <v>9</v>
      </c>
      <c r="K456" s="326" t="s">
        <v>10</v>
      </c>
      <c r="L456" s="327" t="s">
        <v>11</v>
      </c>
      <c r="M456" s="323" t="s">
        <v>12</v>
      </c>
      <c r="N456" s="328" t="s">
        <v>13</v>
      </c>
      <c r="O456" s="435" t="s">
        <v>63</v>
      </c>
      <c r="P456" s="323" t="s">
        <v>123</v>
      </c>
    </row>
    <row r="457" spans="1:16" s="17" customFormat="1" ht="33" customHeight="1">
      <c r="A457" s="617" t="s">
        <v>5631</v>
      </c>
      <c r="B457" s="401">
        <v>46230</v>
      </c>
      <c r="C457" s="4"/>
      <c r="D457" s="4"/>
      <c r="E457" s="608" t="s">
        <v>6134</v>
      </c>
      <c r="F457" s="608"/>
      <c r="G457" s="16"/>
      <c r="H457" s="612"/>
      <c r="I457" s="608"/>
      <c r="J457" s="608"/>
      <c r="K457" s="125"/>
      <c r="L457" s="16"/>
      <c r="M457" s="8"/>
      <c r="N457" s="608"/>
      <c r="O457" s="439"/>
      <c r="P457" s="572"/>
    </row>
    <row r="458" spans="1:16" s="17" customFormat="1" ht="33" customHeight="1">
      <c r="A458" s="618"/>
      <c r="B458" s="401">
        <v>46231</v>
      </c>
      <c r="C458" s="4"/>
      <c r="D458" s="4"/>
      <c r="E458" s="291"/>
      <c r="F458" s="608"/>
      <c r="G458" s="16"/>
      <c r="H458" s="612"/>
      <c r="I458" s="608"/>
      <c r="J458" s="608"/>
      <c r="K458" s="125"/>
      <c r="L458" s="16"/>
      <c r="M458" s="8"/>
      <c r="N458" s="608"/>
      <c r="O458" s="439"/>
      <c r="P458" s="572"/>
    </row>
    <row r="459" spans="1:16" s="17" customFormat="1" ht="33" customHeight="1">
      <c r="A459" s="618"/>
      <c r="B459" s="401">
        <v>46232</v>
      </c>
      <c r="C459" s="4"/>
      <c r="D459" s="4"/>
      <c r="E459" s="608"/>
      <c r="F459" s="608"/>
      <c r="G459" s="16"/>
      <c r="H459" s="612"/>
      <c r="I459" s="608"/>
      <c r="J459" s="612"/>
      <c r="K459" s="125"/>
      <c r="L459" s="16"/>
      <c r="M459" s="8"/>
      <c r="N459" s="609"/>
      <c r="O459" s="438"/>
      <c r="P459" s="572"/>
    </row>
    <row r="460" spans="1:16" s="17" customFormat="1" ht="33" customHeight="1">
      <c r="A460" s="618"/>
      <c r="B460" s="401">
        <v>46233</v>
      </c>
      <c r="C460" s="4"/>
      <c r="D460" s="4"/>
      <c r="E460" s="608"/>
      <c r="F460" s="608"/>
      <c r="G460" s="16"/>
      <c r="H460" s="612"/>
      <c r="I460" s="608"/>
      <c r="J460" s="612"/>
      <c r="K460" s="125"/>
      <c r="L460" s="16"/>
      <c r="M460" s="8"/>
      <c r="N460" s="609"/>
      <c r="O460" s="438"/>
      <c r="P460" s="572"/>
    </row>
    <row r="461" spans="1:16" s="17" customFormat="1" ht="33" customHeight="1">
      <c r="A461" s="618"/>
      <c r="B461" s="401">
        <v>46234</v>
      </c>
      <c r="C461" s="4"/>
      <c r="D461" s="4"/>
      <c r="E461" s="608"/>
      <c r="F461" s="608"/>
      <c r="G461" s="16"/>
      <c r="H461" s="612"/>
      <c r="I461" s="608"/>
      <c r="J461" s="612"/>
      <c r="K461" s="125"/>
      <c r="L461" s="16"/>
      <c r="M461" s="8"/>
      <c r="N461" s="609"/>
      <c r="O461" s="438"/>
      <c r="P461" s="572"/>
    </row>
    <row r="462" spans="1:16" s="17" customFormat="1" ht="33" customHeight="1">
      <c r="A462" s="619"/>
      <c r="B462" s="370">
        <v>46235</v>
      </c>
      <c r="C462" s="4"/>
      <c r="D462" s="4"/>
      <c r="E462" s="291"/>
      <c r="F462" s="608"/>
      <c r="G462" s="16"/>
      <c r="H462" s="612"/>
      <c r="I462" s="608"/>
      <c r="J462" s="608"/>
      <c r="K462" s="125"/>
      <c r="L462" s="16"/>
      <c r="M462" s="8"/>
      <c r="N462" s="608"/>
      <c r="O462" s="440"/>
      <c r="P462" s="572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85"/>
  <sheetViews>
    <sheetView zoomScaleNormal="100" zoomScaleSheetLayoutView="115" workbookViewId="0">
      <pane ySplit="2" topLeftCell="A1460" activePane="bottomLeft" state="frozen"/>
      <selection pane="bottomLeft" activeCell="M1471" sqref="M1471:M14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10" t="s">
        <v>161</v>
      </c>
      <c r="B1" s="910" t="s">
        <v>162</v>
      </c>
      <c r="C1" s="908" t="s">
        <v>1</v>
      </c>
      <c r="D1" s="908" t="s">
        <v>2</v>
      </c>
      <c r="E1" s="908" t="s">
        <v>3</v>
      </c>
      <c r="F1" s="27" t="s">
        <v>54</v>
      </c>
      <c r="G1" s="908" t="s">
        <v>5</v>
      </c>
      <c r="H1" s="908" t="s">
        <v>6</v>
      </c>
      <c r="I1" s="908" t="s">
        <v>7</v>
      </c>
      <c r="J1" s="908" t="s">
        <v>55</v>
      </c>
      <c r="K1" s="912" t="s">
        <v>483</v>
      </c>
      <c r="L1" s="914" t="s">
        <v>56</v>
      </c>
      <c r="M1" s="906" t="s">
        <v>57</v>
      </c>
      <c r="N1" s="908" t="s">
        <v>58</v>
      </c>
    </row>
    <row r="2" spans="1:14">
      <c r="A2" s="911"/>
      <c r="B2" s="911"/>
      <c r="C2" s="909"/>
      <c r="D2" s="909"/>
      <c r="E2" s="909"/>
      <c r="F2" s="28" t="s">
        <v>59</v>
      </c>
      <c r="G2" s="909"/>
      <c r="H2" s="909"/>
      <c r="I2" s="909"/>
      <c r="J2" s="909"/>
      <c r="K2" s="913"/>
      <c r="L2" s="915"/>
      <c r="M2" s="907"/>
      <c r="N2" s="909"/>
    </row>
    <row r="3" spans="1:14" ht="27">
      <c r="A3" s="55">
        <v>1</v>
      </c>
      <c r="B3" s="88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9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9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0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0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8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90"/>
      <c r="C9" s="91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90"/>
      <c r="C10" s="91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9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90"/>
      <c r="C12" s="91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90"/>
      <c r="C13" s="91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90"/>
      <c r="C14" s="91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90"/>
      <c r="C15" s="91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90"/>
      <c r="C16" s="91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9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0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0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8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9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3"/>
    </row>
    <row r="24" spans="1:17" ht="27">
      <c r="A24" s="55">
        <v>4</v>
      </c>
      <c r="B24" s="889" t="s">
        <v>21</v>
      </c>
      <c r="C24" s="89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7" t="s">
        <v>85</v>
      </c>
      <c r="K24" s="892" t="s">
        <v>41</v>
      </c>
      <c r="L24" s="6" t="s">
        <v>15</v>
      </c>
      <c r="M24" s="919">
        <v>180000</v>
      </c>
      <c r="N24" s="45" t="s">
        <v>194</v>
      </c>
    </row>
    <row r="25" spans="1:17" ht="27">
      <c r="A25" s="55">
        <v>4</v>
      </c>
      <c r="B25" s="890"/>
      <c r="C25" s="89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78"/>
      <c r="K25" s="893"/>
      <c r="L25" s="6" t="s">
        <v>15</v>
      </c>
      <c r="M25" s="920"/>
      <c r="N25" s="45" t="s">
        <v>194</v>
      </c>
    </row>
    <row r="26" spans="1:17">
      <c r="A26" s="55">
        <v>4</v>
      </c>
      <c r="B26" s="890"/>
      <c r="C26" s="89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91"/>
      <c r="C27" s="89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7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8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9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90"/>
      <c r="C32" s="89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90"/>
      <c r="C33" s="89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9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89" t="s">
        <v>20</v>
      </c>
      <c r="C35" s="89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91"/>
      <c r="C36" s="89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89" t="s">
        <v>20</v>
      </c>
      <c r="C37" s="89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91"/>
      <c r="C38" s="89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2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26"/>
      <c r="C40" s="89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26"/>
      <c r="C41" s="89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2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8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84"/>
      <c r="C45" s="88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84"/>
      <c r="C46" s="92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2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2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2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2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8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9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9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8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8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89" t="s">
        <v>64</v>
      </c>
      <c r="C67" s="89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2" t="s">
        <v>435</v>
      </c>
      <c r="L67" s="6" t="s">
        <v>436</v>
      </c>
      <c r="M67" s="919">
        <v>750000</v>
      </c>
      <c r="N67" s="45" t="s">
        <v>446</v>
      </c>
    </row>
    <row r="68" spans="1:15" ht="27">
      <c r="A68" s="55">
        <v>19</v>
      </c>
      <c r="B68" s="890"/>
      <c r="C68" s="89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3"/>
      <c r="L68" s="6" t="s">
        <v>411</v>
      </c>
      <c r="M68" s="920"/>
      <c r="N68" s="45" t="s">
        <v>445</v>
      </c>
    </row>
    <row r="69" spans="1:15">
      <c r="A69" s="55">
        <v>19</v>
      </c>
      <c r="B69" s="890"/>
      <c r="C69" s="89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9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9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>
      <c r="A72" s="55">
        <v>20</v>
      </c>
      <c r="B72" s="88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9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9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9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9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>
      <c r="A77" s="55">
        <v>20</v>
      </c>
      <c r="B77" s="88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9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9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8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9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8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90"/>
      <c r="C83" s="89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90"/>
      <c r="C84" s="89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90"/>
      <c r="C85" s="89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90"/>
      <c r="C86" s="89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9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9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9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8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9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8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90"/>
      <c r="C93" s="89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90"/>
      <c r="C94" s="89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90"/>
      <c r="C95" s="89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9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9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89" t="s">
        <v>21</v>
      </c>
      <c r="C99" s="89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90"/>
      <c r="C100" s="89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9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9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9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8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9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9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9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8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9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57" t="s">
        <v>658</v>
      </c>
      <c r="C110" s="85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82"/>
      <c r="C111" s="90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82"/>
      <c r="C112" s="90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4"/>
      <c r="C113" s="90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82"/>
      <c r="C115" s="85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58"/>
      <c r="C116" s="90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89" t="s">
        <v>20</v>
      </c>
      <c r="C117" s="89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7" t="s">
        <v>168</v>
      </c>
      <c r="K117" s="892" t="s">
        <v>645</v>
      </c>
      <c r="L117" s="57" t="s">
        <v>209</v>
      </c>
      <c r="M117" s="879">
        <f>250000*5</f>
        <v>1250000</v>
      </c>
      <c r="N117" s="889" t="s">
        <v>121</v>
      </c>
    </row>
    <row r="118" spans="1:14">
      <c r="A118" s="101">
        <v>28</v>
      </c>
      <c r="B118" s="890"/>
      <c r="C118" s="89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01"/>
      <c r="K118" s="900"/>
      <c r="L118" s="57" t="s">
        <v>209</v>
      </c>
      <c r="M118" s="880"/>
      <c r="N118" s="890"/>
    </row>
    <row r="119" spans="1:14">
      <c r="A119" s="101">
        <v>28</v>
      </c>
      <c r="B119" s="890"/>
      <c r="C119" s="89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78"/>
      <c r="K119" s="893"/>
      <c r="L119" s="57" t="s">
        <v>209</v>
      </c>
      <c r="M119" s="881"/>
      <c r="N119" s="891"/>
    </row>
    <row r="120" spans="1:14">
      <c r="A120" s="101">
        <v>28</v>
      </c>
      <c r="B120" s="891"/>
      <c r="C120" s="89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57" t="s">
        <v>307</v>
      </c>
      <c r="C122" s="85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>
      <c r="A123" s="55">
        <v>29</v>
      </c>
      <c r="B123" s="882"/>
      <c r="C123" s="88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57" t="s">
        <v>664</v>
      </c>
      <c r="K123" s="883" t="s">
        <v>707</v>
      </c>
      <c r="L123" s="110" t="s">
        <v>324</v>
      </c>
      <c r="M123" s="886" t="s">
        <v>708</v>
      </c>
      <c r="N123" s="110"/>
    </row>
    <row r="124" spans="1:14">
      <c r="A124" s="55">
        <v>29</v>
      </c>
      <c r="B124" s="882"/>
      <c r="C124" s="88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2"/>
      <c r="K124" s="884"/>
      <c r="L124" s="110" t="s">
        <v>324</v>
      </c>
      <c r="M124" s="887"/>
      <c r="N124" s="110"/>
    </row>
    <row r="125" spans="1:14">
      <c r="A125" s="55">
        <v>29</v>
      </c>
      <c r="B125" s="882"/>
      <c r="C125" s="88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58"/>
      <c r="K125" s="885"/>
      <c r="L125" s="110" t="s">
        <v>324</v>
      </c>
      <c r="M125" s="888"/>
      <c r="N125" s="110"/>
    </row>
    <row r="126" spans="1:14">
      <c r="A126" s="55">
        <v>29</v>
      </c>
      <c r="B126" s="858"/>
      <c r="C126" s="85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>
      <c r="A127" s="55">
        <v>29</v>
      </c>
      <c r="B127" s="85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>
      <c r="A128" s="55">
        <v>29</v>
      </c>
      <c r="B128" s="88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>
      <c r="A129" s="55">
        <v>29</v>
      </c>
      <c r="B129" s="88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>
      <c r="A130" s="55">
        <v>29</v>
      </c>
      <c r="B130" s="882"/>
      <c r="C130" s="85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>
      <c r="A131" s="55">
        <v>29</v>
      </c>
      <c r="B131" s="882"/>
      <c r="C131" s="85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>
      <c r="A132" s="55">
        <v>29</v>
      </c>
      <c r="B132" s="882"/>
      <c r="C132" s="85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>
      <c r="A133" s="55">
        <v>29</v>
      </c>
      <c r="B133" s="882"/>
      <c r="C133" s="85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>
      <c r="A134" s="55">
        <v>29</v>
      </c>
      <c r="B134" s="85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>
      <c r="A135" s="55">
        <v>30</v>
      </c>
      <c r="B135" s="889" t="s">
        <v>618</v>
      </c>
      <c r="C135" s="89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90"/>
      <c r="C136" s="89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90"/>
      <c r="C137" s="89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91"/>
      <c r="C138" s="89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8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90"/>
      <c r="C140" s="89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90"/>
      <c r="C141" s="89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89" t="s">
        <v>735</v>
      </c>
    </row>
    <row r="142" spans="1:14">
      <c r="A142" s="55">
        <v>30</v>
      </c>
      <c r="B142" s="89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8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9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89" t="s">
        <v>20</v>
      </c>
      <c r="C146" s="896" t="s">
        <v>869</v>
      </c>
      <c r="D146" s="892" t="s">
        <v>19</v>
      </c>
      <c r="E146" s="89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91"/>
      <c r="C147" s="898"/>
      <c r="D147" s="893"/>
      <c r="E147" s="89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89" t="s">
        <v>123</v>
      </c>
      <c r="C148" s="896" t="s">
        <v>782</v>
      </c>
      <c r="D148" s="892" t="s">
        <v>19</v>
      </c>
      <c r="E148" s="89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91"/>
      <c r="C149" s="898"/>
      <c r="D149" s="893"/>
      <c r="E149" s="89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8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9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9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8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89" t="s">
        <v>247</v>
      </c>
    </row>
    <row r="154" spans="1:14" ht="27">
      <c r="A154" s="55">
        <v>34</v>
      </c>
      <c r="B154" s="890"/>
      <c r="C154" s="89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90"/>
    </row>
    <row r="155" spans="1:14" ht="27">
      <c r="A155" s="55">
        <v>34</v>
      </c>
      <c r="B155" s="890"/>
      <c r="C155" s="89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1"/>
    </row>
    <row r="156" spans="1:14" ht="27">
      <c r="A156" s="55">
        <v>34</v>
      </c>
      <c r="B156" s="890"/>
      <c r="C156" s="89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89" t="s">
        <v>825</v>
      </c>
    </row>
    <row r="157" spans="1:14" ht="27">
      <c r="A157" s="55">
        <v>34</v>
      </c>
      <c r="B157" s="890"/>
      <c r="C157" s="89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90"/>
    </row>
    <row r="158" spans="1:14" ht="27">
      <c r="A158" s="55">
        <v>34</v>
      </c>
      <c r="B158" s="890"/>
      <c r="C158" s="89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90"/>
    </row>
    <row r="159" spans="1:14" ht="27">
      <c r="A159" s="55">
        <v>34</v>
      </c>
      <c r="B159" s="890"/>
      <c r="C159" s="89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90"/>
    </row>
    <row r="160" spans="1:14" ht="27">
      <c r="A160" s="55">
        <v>34</v>
      </c>
      <c r="B160" s="89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90"/>
    </row>
    <row r="161" spans="1:15" ht="27">
      <c r="A161" s="55">
        <v>34</v>
      </c>
      <c r="B161" s="89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1"/>
    </row>
    <row r="162" spans="1:15" ht="27">
      <c r="A162" s="55">
        <v>34</v>
      </c>
      <c r="B162" s="89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8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9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9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9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10" t="s">
        <v>849</v>
      </c>
      <c r="C167" s="82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11"/>
      <c r="C168" s="82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11"/>
      <c r="C169" s="82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12"/>
      <c r="C170" s="83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1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1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1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1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1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1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1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11"/>
      <c r="C178" s="82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12"/>
      <c r="C179" s="83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1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11"/>
      <c r="C181" s="89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7" t="s">
        <v>838</v>
      </c>
      <c r="K181" s="892" t="s">
        <v>985</v>
      </c>
      <c r="L181" s="6" t="s">
        <v>910</v>
      </c>
      <c r="M181" s="879">
        <f>180000+200000+200000</f>
        <v>580000</v>
      </c>
      <c r="N181" s="45" t="s">
        <v>806</v>
      </c>
    </row>
    <row r="182" spans="1:14">
      <c r="A182" s="55">
        <v>36</v>
      </c>
      <c r="B182" s="811"/>
      <c r="C182" s="89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78"/>
      <c r="K182" s="893"/>
      <c r="L182" s="6" t="s">
        <v>911</v>
      </c>
      <c r="M182" s="881"/>
      <c r="N182" s="45" t="s">
        <v>806</v>
      </c>
    </row>
    <row r="183" spans="1:14">
      <c r="A183" s="55">
        <v>36</v>
      </c>
      <c r="B183" s="811"/>
      <c r="C183" s="89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1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1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1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11"/>
      <c r="C187" s="82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12"/>
      <c r="C188" s="83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1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1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1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10" t="s">
        <v>939</v>
      </c>
      <c r="C192" s="82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11"/>
      <c r="C193" s="83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1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1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11"/>
      <c r="C196" s="89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11"/>
      <c r="C197" s="89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11"/>
      <c r="C198" s="89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12"/>
      <c r="C199" s="89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10" t="s">
        <v>20</v>
      </c>
      <c r="C200" s="82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11"/>
      <c r="C201" s="83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11"/>
      <c r="C202" s="82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12"/>
      <c r="C203" s="83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1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1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1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10" t="s">
        <v>20</v>
      </c>
      <c r="C207" s="82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11"/>
      <c r="C208" s="83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1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1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1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1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1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1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1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1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1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10" t="s">
        <v>20</v>
      </c>
      <c r="C218" s="82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11"/>
      <c r="C219" s="83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1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1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1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1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1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1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89" t="s">
        <v>247</v>
      </c>
    </row>
    <row r="226" spans="1:14">
      <c r="A226" s="55">
        <v>44</v>
      </c>
      <c r="B226" s="81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90"/>
    </row>
    <row r="227" spans="1:14">
      <c r="A227" s="55">
        <v>44</v>
      </c>
      <c r="B227" s="81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1"/>
    </row>
    <row r="228" spans="1:14">
      <c r="A228" s="55">
        <v>44</v>
      </c>
      <c r="B228" s="81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1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1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1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1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1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1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1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1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1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1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1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1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1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1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1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1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1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1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11"/>
      <c r="C249" s="82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89" t="s">
        <v>247</v>
      </c>
    </row>
    <row r="250" spans="1:14">
      <c r="A250" s="55">
        <v>48</v>
      </c>
      <c r="B250" s="812"/>
      <c r="C250" s="83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1"/>
    </row>
    <row r="251" spans="1:14">
      <c r="A251" s="55">
        <v>48</v>
      </c>
      <c r="B251" s="81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1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1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1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1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11"/>
      <c r="C256" s="82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89" t="s">
        <v>247</v>
      </c>
    </row>
    <row r="257" spans="1:14">
      <c r="A257" s="55">
        <v>49</v>
      </c>
      <c r="B257" s="812"/>
      <c r="C257" s="83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1"/>
    </row>
    <row r="258" spans="1:14" ht="40.5">
      <c r="A258" s="55">
        <v>49</v>
      </c>
      <c r="B258" s="81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1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2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>
      <c r="A261" s="55">
        <v>49</v>
      </c>
      <c r="B261" s="92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06" t="s">
        <v>1103</v>
      </c>
    </row>
    <row r="262" spans="1:14" ht="25.5">
      <c r="A262" s="132">
        <v>49</v>
      </c>
      <c r="B262" s="93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07"/>
    </row>
    <row r="263" spans="1:14" ht="16.5" customHeight="1">
      <c r="A263" s="55">
        <v>50</v>
      </c>
      <c r="B263" s="810" t="s">
        <v>20</v>
      </c>
      <c r="C263" s="82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11"/>
      <c r="C264" s="82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11"/>
      <c r="C265" s="82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11"/>
      <c r="C266" s="82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12"/>
      <c r="C267" s="83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28" t="s">
        <v>658</v>
      </c>
      <c r="C268" s="80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>
      <c r="A269" s="55">
        <v>51</v>
      </c>
      <c r="B269" s="929"/>
      <c r="C269" s="82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>
      <c r="A270" s="55">
        <v>51</v>
      </c>
      <c r="B270" s="930"/>
      <c r="C270" s="80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>
      <c r="A271" s="55">
        <v>52</v>
      </c>
      <c r="B271" s="810" t="s">
        <v>20</v>
      </c>
      <c r="C271" s="82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11"/>
      <c r="C272" s="82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11"/>
      <c r="C273" s="83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1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11"/>
      <c r="C275" s="82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11"/>
      <c r="C276" s="83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1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35" t="s">
        <v>1196</v>
      </c>
      <c r="B278" s="936"/>
      <c r="C278" s="936"/>
      <c r="D278" s="936"/>
      <c r="E278" s="936"/>
      <c r="F278" s="936"/>
      <c r="G278" s="936"/>
      <c r="H278" s="936"/>
      <c r="I278" s="936"/>
      <c r="J278" s="936"/>
      <c r="K278" s="936"/>
      <c r="L278" s="936"/>
      <c r="M278" s="936"/>
      <c r="N278" s="937"/>
    </row>
    <row r="279" spans="1:15" ht="16.5" customHeight="1">
      <c r="A279" s="55">
        <v>1</v>
      </c>
      <c r="B279" s="810" t="s">
        <v>20</v>
      </c>
      <c r="C279" s="82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12"/>
      <c r="C280" s="83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10" t="s">
        <v>64</v>
      </c>
      <c r="C281" s="82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11"/>
      <c r="C282" s="83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11"/>
      <c r="C283" s="82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7" t="s">
        <v>1174</v>
      </c>
      <c r="K283" s="933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11"/>
      <c r="C284" s="83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78"/>
      <c r="K284" s="934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1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1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38" t="s">
        <v>123</v>
      </c>
      <c r="C287" s="80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>
      <c r="A288" s="55">
        <v>2</v>
      </c>
      <c r="B288" s="939"/>
      <c r="C288" s="80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>
      <c r="A289" s="55">
        <v>2</v>
      </c>
      <c r="B289" s="928" t="s">
        <v>64</v>
      </c>
      <c r="C289" s="80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29"/>
      <c r="C290" s="93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>
      <c r="A291" s="55">
        <v>2</v>
      </c>
      <c r="B291" s="929"/>
      <c r="C291" s="93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06" t="s">
        <v>638</v>
      </c>
      <c r="K291" s="867" t="s">
        <v>671</v>
      </c>
      <c r="L291" s="148" t="s">
        <v>309</v>
      </c>
      <c r="M291" s="816" t="s">
        <v>672</v>
      </c>
      <c r="N291" s="148" t="s">
        <v>723</v>
      </c>
    </row>
    <row r="292" spans="1:15">
      <c r="A292" s="55">
        <v>2</v>
      </c>
      <c r="B292" s="929"/>
      <c r="C292" s="93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07"/>
      <c r="K292" s="868"/>
      <c r="L292" s="148" t="s">
        <v>309</v>
      </c>
      <c r="M292" s="817"/>
      <c r="N292" s="148" t="s">
        <v>723</v>
      </c>
    </row>
    <row r="293" spans="1:15">
      <c r="A293" s="55">
        <v>2</v>
      </c>
      <c r="B293" s="929"/>
      <c r="C293" s="93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>
      <c r="A294" s="55">
        <v>2</v>
      </c>
      <c r="B294" s="929"/>
      <c r="C294" s="80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>
      <c r="A295" s="55">
        <v>2</v>
      </c>
      <c r="B295" s="93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>
      <c r="A296" s="55">
        <v>3</v>
      </c>
      <c r="B296" s="810" t="s">
        <v>20</v>
      </c>
      <c r="C296" s="82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11"/>
      <c r="C297" s="82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12"/>
      <c r="C298" s="83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1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1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1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10" t="s">
        <v>20</v>
      </c>
      <c r="C302" s="82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11"/>
      <c r="C303" s="82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11"/>
      <c r="C304" s="82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11"/>
      <c r="C305" s="82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12"/>
      <c r="C306" s="83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10" t="s">
        <v>20</v>
      </c>
      <c r="C308" s="82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12"/>
      <c r="C309" s="83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1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1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1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28" t="s">
        <v>307</v>
      </c>
      <c r="C313" s="80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>
      <c r="A314" s="55">
        <v>6</v>
      </c>
      <c r="B314" s="930"/>
      <c r="C314" s="80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>
      <c r="A316" s="55">
        <v>7</v>
      </c>
      <c r="B316" s="810" t="s">
        <v>20</v>
      </c>
      <c r="C316" s="82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11"/>
      <c r="C317" s="82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12"/>
      <c r="C318" s="83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1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1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1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10" t="s">
        <v>20</v>
      </c>
      <c r="C322" s="82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12"/>
      <c r="C323" s="83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1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1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1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1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1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10" t="s">
        <v>20</v>
      </c>
      <c r="C329" s="82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11"/>
      <c r="C330" s="82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12"/>
      <c r="C331" s="83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1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1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10" t="s">
        <v>20</v>
      </c>
      <c r="C334" s="82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11"/>
      <c r="C335" s="82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11"/>
      <c r="C336" s="82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12"/>
      <c r="C337" s="83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1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1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1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1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10" t="s">
        <v>20</v>
      </c>
      <c r="C342" s="82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11"/>
      <c r="C343" s="83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1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1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1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1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1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11"/>
      <c r="C349" s="89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12"/>
      <c r="C350" s="89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2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>
      <c r="A352" s="55">
        <v>12</v>
      </c>
      <c r="B352" s="92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>
      <c r="A353" s="55">
        <v>12</v>
      </c>
      <c r="B353" s="92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>
      <c r="A354" s="55">
        <v>12</v>
      </c>
      <c r="B354" s="92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>
      <c r="A355" s="55">
        <v>12</v>
      </c>
      <c r="B355" s="93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>
      <c r="A356" s="55">
        <v>12</v>
      </c>
      <c r="B356" s="92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>
      <c r="A357" s="55">
        <v>12</v>
      </c>
      <c r="B357" s="92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>
      <c r="A358" s="55">
        <v>12</v>
      </c>
      <c r="B358" s="92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>
      <c r="A359" s="55">
        <v>12</v>
      </c>
      <c r="B359" s="93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>
      <c r="A360" s="55">
        <v>13</v>
      </c>
      <c r="B360" s="81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1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1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1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1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1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1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1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1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1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1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1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1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1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1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28" t="s">
        <v>307</v>
      </c>
      <c r="C375" s="128" t="s">
        <v>1531</v>
      </c>
      <c r="D375" s="806" t="s">
        <v>306</v>
      </c>
      <c r="E375" s="806" t="s">
        <v>322</v>
      </c>
      <c r="F375" s="806" t="s">
        <v>307</v>
      </c>
      <c r="G375" s="808">
        <v>4266</v>
      </c>
      <c r="H375" s="806" t="s">
        <v>640</v>
      </c>
      <c r="I375" s="808" t="s">
        <v>1533</v>
      </c>
      <c r="J375" s="806" t="s">
        <v>1534</v>
      </c>
      <c r="K375" s="940" t="s">
        <v>692</v>
      </c>
      <c r="L375" s="806" t="s">
        <v>324</v>
      </c>
      <c r="M375" s="816" t="s">
        <v>1535</v>
      </c>
      <c r="N375" s="806" t="s">
        <v>425</v>
      </c>
    </row>
    <row r="376" spans="1:19">
      <c r="A376" s="199" t="s">
        <v>1539</v>
      </c>
      <c r="B376" s="929"/>
      <c r="C376" s="129" t="s">
        <v>1532</v>
      </c>
      <c r="D376" s="807"/>
      <c r="E376" s="807"/>
      <c r="F376" s="807"/>
      <c r="G376" s="809"/>
      <c r="H376" s="807"/>
      <c r="I376" s="809"/>
      <c r="J376" s="807"/>
      <c r="K376" s="941"/>
      <c r="L376" s="807"/>
      <c r="M376" s="817"/>
      <c r="N376" s="807"/>
    </row>
    <row r="377" spans="1:19">
      <c r="A377" s="199" t="s">
        <v>1539</v>
      </c>
      <c r="B377" s="929"/>
      <c r="C377" s="128" t="s">
        <v>1536</v>
      </c>
      <c r="D377" s="806" t="s">
        <v>306</v>
      </c>
      <c r="E377" s="806" t="s">
        <v>322</v>
      </c>
      <c r="F377" s="806" t="s">
        <v>307</v>
      </c>
      <c r="G377" s="808">
        <v>3306</v>
      </c>
      <c r="H377" s="806" t="s">
        <v>1153</v>
      </c>
      <c r="I377" s="808" t="s">
        <v>1538</v>
      </c>
      <c r="J377" s="806" t="s">
        <v>1534</v>
      </c>
      <c r="K377" s="940" t="s">
        <v>692</v>
      </c>
      <c r="L377" s="806" t="s">
        <v>324</v>
      </c>
      <c r="M377" s="816" t="s">
        <v>1535</v>
      </c>
      <c r="N377" s="806" t="s">
        <v>425</v>
      </c>
    </row>
    <row r="378" spans="1:19">
      <c r="A378" s="199" t="s">
        <v>1539</v>
      </c>
      <c r="B378" s="930"/>
      <c r="C378" s="129" t="s">
        <v>1537</v>
      </c>
      <c r="D378" s="807"/>
      <c r="E378" s="807"/>
      <c r="F378" s="807"/>
      <c r="G378" s="809"/>
      <c r="H378" s="807"/>
      <c r="I378" s="809"/>
      <c r="J378" s="807"/>
      <c r="K378" s="941"/>
      <c r="L378" s="807"/>
      <c r="M378" s="817"/>
      <c r="N378" s="807"/>
    </row>
    <row r="379" spans="1:19" ht="27" customHeight="1">
      <c r="A379" s="123">
        <v>15</v>
      </c>
      <c r="B379" s="81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1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1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1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1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1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1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1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1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1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1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1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1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1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1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1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1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1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1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1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1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1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1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1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00" t="s">
        <v>1782</v>
      </c>
      <c r="C403" s="226" t="s">
        <v>1748</v>
      </c>
      <c r="D403" s="865" t="s">
        <v>306</v>
      </c>
      <c r="E403" s="865" t="s">
        <v>322</v>
      </c>
      <c r="F403" s="865" t="s">
        <v>307</v>
      </c>
      <c r="G403" s="871">
        <v>3306</v>
      </c>
      <c r="H403" s="865" t="s">
        <v>1153</v>
      </c>
      <c r="I403" s="871" t="s">
        <v>1749</v>
      </c>
      <c r="J403" s="865" t="s">
        <v>664</v>
      </c>
      <c r="K403" s="942" t="s">
        <v>1288</v>
      </c>
      <c r="L403" s="865" t="s">
        <v>324</v>
      </c>
      <c r="M403" s="869" t="s">
        <v>1750</v>
      </c>
      <c r="N403" s="865" t="s">
        <v>665</v>
      </c>
    </row>
    <row r="404" spans="1:14">
      <c r="A404" s="123">
        <v>18</v>
      </c>
      <c r="B404" s="801"/>
      <c r="C404" s="226" t="s">
        <v>1751</v>
      </c>
      <c r="D404" s="866"/>
      <c r="E404" s="866"/>
      <c r="F404" s="866"/>
      <c r="G404" s="872"/>
      <c r="H404" s="866"/>
      <c r="I404" s="872"/>
      <c r="J404" s="866"/>
      <c r="K404" s="943"/>
      <c r="L404" s="866"/>
      <c r="M404" s="870"/>
      <c r="N404" s="866"/>
    </row>
    <row r="405" spans="1:14" ht="22.5">
      <c r="A405" s="123">
        <v>18</v>
      </c>
      <c r="B405" s="801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>
      <c r="A406" s="123">
        <v>18</v>
      </c>
      <c r="B406" s="801"/>
      <c r="C406" s="226" t="s">
        <v>1755</v>
      </c>
      <c r="D406" s="865" t="s">
        <v>306</v>
      </c>
      <c r="E406" s="865" t="s">
        <v>322</v>
      </c>
      <c r="F406" s="865" t="s">
        <v>307</v>
      </c>
      <c r="G406" s="871" t="s">
        <v>1756</v>
      </c>
      <c r="H406" s="865" t="s">
        <v>347</v>
      </c>
      <c r="I406" s="871" t="s">
        <v>1154</v>
      </c>
      <c r="J406" s="865" t="s">
        <v>664</v>
      </c>
      <c r="K406" s="865" t="s">
        <v>1757</v>
      </c>
      <c r="L406" s="865" t="s">
        <v>324</v>
      </c>
      <c r="M406" s="869" t="s">
        <v>1758</v>
      </c>
      <c r="N406" s="865" t="s">
        <v>665</v>
      </c>
    </row>
    <row r="407" spans="1:14">
      <c r="A407" s="123">
        <v>18</v>
      </c>
      <c r="B407" s="801"/>
      <c r="C407" s="226" t="s">
        <v>1759</v>
      </c>
      <c r="D407" s="866"/>
      <c r="E407" s="866"/>
      <c r="F407" s="866"/>
      <c r="G407" s="872"/>
      <c r="H407" s="866"/>
      <c r="I407" s="872"/>
      <c r="J407" s="866"/>
      <c r="K407" s="866"/>
      <c r="L407" s="866"/>
      <c r="M407" s="870"/>
      <c r="N407" s="866"/>
    </row>
    <row r="408" spans="1:14" ht="16.5" customHeight="1">
      <c r="A408" s="123">
        <v>18</v>
      </c>
      <c r="B408" s="801"/>
      <c r="C408" s="228" t="s">
        <v>1760</v>
      </c>
      <c r="D408" s="865" t="s">
        <v>306</v>
      </c>
      <c r="E408" s="865" t="s">
        <v>322</v>
      </c>
      <c r="F408" s="865" t="s">
        <v>307</v>
      </c>
      <c r="G408" s="871" t="s">
        <v>1761</v>
      </c>
      <c r="H408" s="865" t="s">
        <v>329</v>
      </c>
      <c r="I408" s="871" t="s">
        <v>1762</v>
      </c>
      <c r="J408" s="865" t="s">
        <v>664</v>
      </c>
      <c r="K408" s="865" t="s">
        <v>1763</v>
      </c>
      <c r="L408" s="865" t="s">
        <v>324</v>
      </c>
      <c r="M408" s="869" t="s">
        <v>1764</v>
      </c>
      <c r="N408" s="865" t="s">
        <v>1765</v>
      </c>
    </row>
    <row r="409" spans="1:14">
      <c r="A409" s="123">
        <v>18</v>
      </c>
      <c r="B409" s="802"/>
      <c r="C409" s="226" t="s">
        <v>1766</v>
      </c>
      <c r="D409" s="866"/>
      <c r="E409" s="866"/>
      <c r="F409" s="866"/>
      <c r="G409" s="872"/>
      <c r="H409" s="866"/>
      <c r="I409" s="872"/>
      <c r="J409" s="866"/>
      <c r="K409" s="866"/>
      <c r="L409" s="866"/>
      <c r="M409" s="870"/>
      <c r="N409" s="866"/>
    </row>
    <row r="410" spans="1:14" ht="16.5" customHeight="1">
      <c r="A410" s="123">
        <v>18</v>
      </c>
      <c r="B410" s="800" t="s">
        <v>253</v>
      </c>
      <c r="C410" s="873" t="s">
        <v>1767</v>
      </c>
      <c r="D410" s="865" t="s">
        <v>311</v>
      </c>
      <c r="E410" s="865" t="s">
        <v>320</v>
      </c>
      <c r="F410" s="865" t="s">
        <v>709</v>
      </c>
      <c r="G410" s="865" t="s">
        <v>1768</v>
      </c>
      <c r="H410" s="873" t="s">
        <v>1769</v>
      </c>
      <c r="I410" s="227" t="s">
        <v>1770</v>
      </c>
      <c r="J410" s="865"/>
      <c r="K410" s="875" t="s">
        <v>1771</v>
      </c>
      <c r="L410" s="865" t="s">
        <v>309</v>
      </c>
      <c r="M410" s="869" t="s">
        <v>1764</v>
      </c>
      <c r="N410" s="865" t="s">
        <v>1772</v>
      </c>
    </row>
    <row r="411" spans="1:14">
      <c r="A411" s="123">
        <v>18</v>
      </c>
      <c r="B411" s="801"/>
      <c r="C411" s="874"/>
      <c r="D411" s="866"/>
      <c r="E411" s="866"/>
      <c r="F411" s="866"/>
      <c r="G411" s="866"/>
      <c r="H411" s="874"/>
      <c r="I411" s="227" t="s">
        <v>1773</v>
      </c>
      <c r="J411" s="866"/>
      <c r="K411" s="876"/>
      <c r="L411" s="866"/>
      <c r="M411" s="870"/>
      <c r="N411" s="866"/>
    </row>
    <row r="412" spans="1:14" ht="22.5">
      <c r="A412" s="123">
        <v>18</v>
      </c>
      <c r="B412" s="801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>
      <c r="A413" s="123">
        <v>18</v>
      </c>
      <c r="B413" s="801"/>
      <c r="C413" s="873" t="s">
        <v>1776</v>
      </c>
      <c r="D413" s="873" t="s">
        <v>700</v>
      </c>
      <c r="E413" s="865" t="s">
        <v>675</v>
      </c>
      <c r="F413" s="873" t="s">
        <v>1777</v>
      </c>
      <c r="G413" s="873" t="s">
        <v>1778</v>
      </c>
      <c r="H413" s="873" t="s">
        <v>662</v>
      </c>
      <c r="I413" s="227" t="s">
        <v>1779</v>
      </c>
      <c r="J413" s="865" t="s">
        <v>638</v>
      </c>
      <c r="K413" s="865" t="s">
        <v>731</v>
      </c>
      <c r="L413" s="865" t="s">
        <v>309</v>
      </c>
      <c r="M413" s="869" t="s">
        <v>1780</v>
      </c>
      <c r="N413" s="865" t="s">
        <v>1781</v>
      </c>
    </row>
    <row r="414" spans="1:14">
      <c r="A414" s="123">
        <v>18</v>
      </c>
      <c r="B414" s="802"/>
      <c r="C414" s="874"/>
      <c r="D414" s="874"/>
      <c r="E414" s="866"/>
      <c r="F414" s="874"/>
      <c r="G414" s="874"/>
      <c r="H414" s="874"/>
      <c r="I414" s="26"/>
      <c r="J414" s="866"/>
      <c r="K414" s="866"/>
      <c r="L414" s="866"/>
      <c r="M414" s="870"/>
      <c r="N414" s="866"/>
    </row>
    <row r="415" spans="1:14" ht="16.5" customHeight="1">
      <c r="A415" s="123">
        <v>19</v>
      </c>
      <c r="B415" s="800" t="s">
        <v>20</v>
      </c>
      <c r="C415" s="148" t="s">
        <v>1794</v>
      </c>
      <c r="D415" s="806" t="s">
        <v>306</v>
      </c>
      <c r="E415" s="806" t="s">
        <v>322</v>
      </c>
      <c r="F415" s="806" t="s">
        <v>307</v>
      </c>
      <c r="G415" s="808" t="s">
        <v>1796</v>
      </c>
      <c r="H415" s="806" t="s">
        <v>1797</v>
      </c>
      <c r="I415" s="808" t="s">
        <v>1792</v>
      </c>
      <c r="J415" s="806" t="s">
        <v>664</v>
      </c>
      <c r="K415" s="148" t="s">
        <v>1520</v>
      </c>
      <c r="L415" s="806" t="s">
        <v>324</v>
      </c>
      <c r="M415" s="816" t="s">
        <v>1799</v>
      </c>
      <c r="N415" s="806" t="s">
        <v>665</v>
      </c>
    </row>
    <row r="416" spans="1:14">
      <c r="A416" s="123">
        <v>19</v>
      </c>
      <c r="B416" s="801"/>
      <c r="C416" s="148" t="s">
        <v>1795</v>
      </c>
      <c r="D416" s="807"/>
      <c r="E416" s="807"/>
      <c r="F416" s="807"/>
      <c r="G416" s="809"/>
      <c r="H416" s="807"/>
      <c r="I416" s="809"/>
      <c r="J416" s="807"/>
      <c r="K416" s="148" t="s">
        <v>1798</v>
      </c>
      <c r="L416" s="807"/>
      <c r="M416" s="817"/>
      <c r="N416" s="807"/>
    </row>
    <row r="417" spans="1:14">
      <c r="A417" s="123">
        <v>19</v>
      </c>
      <c r="B417" s="801"/>
      <c r="C417" s="148" t="s">
        <v>1800</v>
      </c>
      <c r="D417" s="806" t="s">
        <v>306</v>
      </c>
      <c r="E417" s="806" t="s">
        <v>322</v>
      </c>
      <c r="F417" s="806" t="s">
        <v>307</v>
      </c>
      <c r="G417" s="808" t="s">
        <v>1801</v>
      </c>
      <c r="H417" s="806" t="s">
        <v>1802</v>
      </c>
      <c r="I417" s="808" t="s">
        <v>1803</v>
      </c>
      <c r="J417" s="806" t="s">
        <v>664</v>
      </c>
      <c r="K417" s="867" t="s">
        <v>1155</v>
      </c>
      <c r="L417" s="806" t="s">
        <v>324</v>
      </c>
      <c r="M417" s="816" t="s">
        <v>1804</v>
      </c>
      <c r="N417" s="806" t="s">
        <v>665</v>
      </c>
    </row>
    <row r="418" spans="1:14">
      <c r="A418" s="123">
        <v>19</v>
      </c>
      <c r="B418" s="802"/>
      <c r="C418" s="148" t="s">
        <v>1795</v>
      </c>
      <c r="D418" s="807"/>
      <c r="E418" s="807"/>
      <c r="F418" s="807"/>
      <c r="G418" s="809"/>
      <c r="H418" s="807"/>
      <c r="I418" s="809"/>
      <c r="J418" s="807"/>
      <c r="K418" s="868"/>
      <c r="L418" s="807"/>
      <c r="M418" s="817"/>
      <c r="N418" s="807"/>
    </row>
    <row r="419" spans="1:14" ht="16.5" customHeight="1">
      <c r="A419" s="123">
        <v>19</v>
      </c>
      <c r="B419" s="800" t="s">
        <v>21</v>
      </c>
      <c r="C419" s="857" t="s">
        <v>1805</v>
      </c>
      <c r="D419" s="857" t="s">
        <v>700</v>
      </c>
      <c r="E419" s="806" t="s">
        <v>675</v>
      </c>
      <c r="F419" s="857" t="s">
        <v>1806</v>
      </c>
      <c r="G419" s="857" t="s">
        <v>1807</v>
      </c>
      <c r="H419" s="857" t="s">
        <v>662</v>
      </c>
      <c r="I419" s="808" t="s">
        <v>1808</v>
      </c>
      <c r="J419" s="806"/>
      <c r="K419" s="859" t="s">
        <v>1809</v>
      </c>
      <c r="L419" s="806" t="s">
        <v>309</v>
      </c>
      <c r="M419" s="816" t="s">
        <v>1810</v>
      </c>
      <c r="N419" s="149" t="s">
        <v>1811</v>
      </c>
    </row>
    <row r="420" spans="1:14">
      <c r="A420" s="123">
        <v>19</v>
      </c>
      <c r="B420" s="801"/>
      <c r="C420" s="858"/>
      <c r="D420" s="858"/>
      <c r="E420" s="807"/>
      <c r="F420" s="858"/>
      <c r="G420" s="858"/>
      <c r="H420" s="858"/>
      <c r="I420" s="809"/>
      <c r="J420" s="807"/>
      <c r="K420" s="860"/>
      <c r="L420" s="807"/>
      <c r="M420" s="817"/>
      <c r="N420" s="149" t="s">
        <v>1812</v>
      </c>
    </row>
    <row r="421" spans="1:14">
      <c r="A421" s="123">
        <v>19</v>
      </c>
      <c r="B421" s="801"/>
      <c r="C421" s="861" t="s">
        <v>1813</v>
      </c>
      <c r="D421" s="857" t="s">
        <v>700</v>
      </c>
      <c r="E421" s="806" t="s">
        <v>320</v>
      </c>
      <c r="F421" s="806" t="s">
        <v>337</v>
      </c>
      <c r="G421" s="857" t="s">
        <v>353</v>
      </c>
      <c r="H421" s="857" t="s">
        <v>1814</v>
      </c>
      <c r="I421" s="808" t="s">
        <v>1815</v>
      </c>
      <c r="J421" s="806" t="s">
        <v>638</v>
      </c>
      <c r="K421" s="863" t="s">
        <v>692</v>
      </c>
      <c r="L421" s="806" t="s">
        <v>309</v>
      </c>
      <c r="M421" s="816" t="s">
        <v>1816</v>
      </c>
      <c r="N421" s="148" t="s">
        <v>1817</v>
      </c>
    </row>
    <row r="422" spans="1:14">
      <c r="A422" s="123">
        <v>19</v>
      </c>
      <c r="B422" s="801"/>
      <c r="C422" s="862"/>
      <c r="D422" s="858"/>
      <c r="E422" s="807"/>
      <c r="F422" s="807"/>
      <c r="G422" s="858"/>
      <c r="H422" s="858"/>
      <c r="I422" s="809"/>
      <c r="J422" s="807"/>
      <c r="K422" s="864"/>
      <c r="L422" s="807"/>
      <c r="M422" s="817"/>
      <c r="N422" s="148" t="s">
        <v>1818</v>
      </c>
    </row>
    <row r="423" spans="1:14">
      <c r="A423" s="123">
        <v>19</v>
      </c>
      <c r="B423" s="801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>
      <c r="A424" s="123">
        <v>19</v>
      </c>
      <c r="B424" s="801"/>
      <c r="C424" s="857" t="s">
        <v>1820</v>
      </c>
      <c r="D424" s="857" t="s">
        <v>700</v>
      </c>
      <c r="E424" s="806" t="s">
        <v>320</v>
      </c>
      <c r="F424" s="806" t="s">
        <v>709</v>
      </c>
      <c r="G424" s="806" t="s">
        <v>1768</v>
      </c>
      <c r="H424" s="857" t="s">
        <v>1821</v>
      </c>
      <c r="I424" s="149" t="s">
        <v>1822</v>
      </c>
      <c r="J424" s="806" t="s">
        <v>638</v>
      </c>
      <c r="K424" s="806" t="s">
        <v>692</v>
      </c>
      <c r="L424" s="806" t="s">
        <v>309</v>
      </c>
      <c r="M424" s="816" t="s">
        <v>1535</v>
      </c>
      <c r="N424" s="808" t="s">
        <v>1824</v>
      </c>
    </row>
    <row r="425" spans="1:14">
      <c r="A425" s="123">
        <v>19</v>
      </c>
      <c r="B425" s="801"/>
      <c r="C425" s="858"/>
      <c r="D425" s="858"/>
      <c r="E425" s="807"/>
      <c r="F425" s="807"/>
      <c r="G425" s="807"/>
      <c r="H425" s="858"/>
      <c r="I425" s="149" t="s">
        <v>1823</v>
      </c>
      <c r="J425" s="807"/>
      <c r="K425" s="807"/>
      <c r="L425" s="807"/>
      <c r="M425" s="817"/>
      <c r="N425" s="809"/>
    </row>
    <row r="426" spans="1:14">
      <c r="A426" s="123">
        <v>19</v>
      </c>
      <c r="B426" s="802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>
      <c r="A427" s="123">
        <v>20</v>
      </c>
      <c r="B427" s="800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01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01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01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02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00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02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00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01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01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01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02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00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01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01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01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>
      <c r="A443" s="123">
        <v>21</v>
      </c>
      <c r="B443" s="802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00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01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01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01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02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00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01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02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00" t="s">
        <v>2078</v>
      </c>
      <c r="C452" s="243" t="s">
        <v>1906</v>
      </c>
      <c r="D452" s="837" t="s">
        <v>306</v>
      </c>
      <c r="E452" s="837" t="s">
        <v>322</v>
      </c>
      <c r="F452" s="837" t="s">
        <v>307</v>
      </c>
      <c r="G452" s="837">
        <v>3306</v>
      </c>
      <c r="H452" s="837" t="s">
        <v>1153</v>
      </c>
      <c r="I452" s="837" t="s">
        <v>1907</v>
      </c>
      <c r="J452" s="837" t="s">
        <v>1111</v>
      </c>
      <c r="K452" s="837" t="s">
        <v>692</v>
      </c>
      <c r="L452" s="837" t="s">
        <v>324</v>
      </c>
      <c r="M452" s="835" t="s">
        <v>1908</v>
      </c>
      <c r="N452" s="837" t="s">
        <v>665</v>
      </c>
    </row>
    <row r="453" spans="1:14">
      <c r="A453" s="123">
        <v>23</v>
      </c>
      <c r="B453" s="801"/>
      <c r="C453" s="243" t="s">
        <v>1909</v>
      </c>
      <c r="D453" s="838"/>
      <c r="E453" s="838"/>
      <c r="F453" s="838"/>
      <c r="G453" s="838"/>
      <c r="H453" s="838"/>
      <c r="I453" s="838"/>
      <c r="J453" s="838"/>
      <c r="K453" s="838"/>
      <c r="L453" s="838"/>
      <c r="M453" s="836"/>
      <c r="N453" s="838"/>
    </row>
    <row r="454" spans="1:14">
      <c r="A454" s="123">
        <v>23</v>
      </c>
      <c r="B454" s="801"/>
      <c r="C454" s="243" t="s">
        <v>1910</v>
      </c>
      <c r="D454" s="837" t="s">
        <v>306</v>
      </c>
      <c r="E454" s="837" t="s">
        <v>322</v>
      </c>
      <c r="F454" s="837" t="s">
        <v>307</v>
      </c>
      <c r="G454" s="839" t="s">
        <v>1418</v>
      </c>
      <c r="H454" s="837" t="s">
        <v>1911</v>
      </c>
      <c r="I454" s="839" t="s">
        <v>1154</v>
      </c>
      <c r="J454" s="837" t="s">
        <v>664</v>
      </c>
      <c r="K454" s="853" t="s">
        <v>1763</v>
      </c>
      <c r="L454" s="837" t="s">
        <v>324</v>
      </c>
      <c r="M454" s="835" t="s">
        <v>1535</v>
      </c>
      <c r="N454" s="837" t="s">
        <v>665</v>
      </c>
    </row>
    <row r="455" spans="1:14">
      <c r="A455" s="123">
        <v>23</v>
      </c>
      <c r="B455" s="801"/>
      <c r="C455" s="243" t="s">
        <v>1909</v>
      </c>
      <c r="D455" s="838"/>
      <c r="E455" s="838"/>
      <c r="F455" s="838"/>
      <c r="G455" s="840"/>
      <c r="H455" s="838"/>
      <c r="I455" s="840"/>
      <c r="J455" s="838"/>
      <c r="K455" s="854"/>
      <c r="L455" s="838"/>
      <c r="M455" s="836"/>
      <c r="N455" s="838"/>
    </row>
    <row r="456" spans="1:14">
      <c r="A456" s="123">
        <v>23</v>
      </c>
      <c r="B456" s="801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>
      <c r="A457" s="123">
        <v>23</v>
      </c>
      <c r="B457" s="801"/>
      <c r="C457" s="243" t="s">
        <v>1917</v>
      </c>
      <c r="D457" s="837" t="s">
        <v>306</v>
      </c>
      <c r="E457" s="837" t="s">
        <v>322</v>
      </c>
      <c r="F457" s="837" t="s">
        <v>307</v>
      </c>
      <c r="G457" s="839">
        <v>4267</v>
      </c>
      <c r="H457" s="837" t="s">
        <v>640</v>
      </c>
      <c r="I457" s="839" t="s">
        <v>1154</v>
      </c>
      <c r="J457" s="837" t="s">
        <v>664</v>
      </c>
      <c r="K457" s="853" t="s">
        <v>1763</v>
      </c>
      <c r="L457" s="837" t="s">
        <v>324</v>
      </c>
      <c r="M457" s="835" t="s">
        <v>1535</v>
      </c>
      <c r="N457" s="837" t="s">
        <v>665</v>
      </c>
    </row>
    <row r="458" spans="1:14">
      <c r="A458" s="123">
        <v>23</v>
      </c>
      <c r="B458" s="801"/>
      <c r="C458" s="243" t="s">
        <v>1918</v>
      </c>
      <c r="D458" s="838"/>
      <c r="E458" s="838"/>
      <c r="F458" s="838"/>
      <c r="G458" s="840"/>
      <c r="H458" s="838"/>
      <c r="I458" s="840"/>
      <c r="J458" s="838"/>
      <c r="K458" s="854"/>
      <c r="L458" s="838"/>
      <c r="M458" s="836"/>
      <c r="N458" s="838"/>
    </row>
    <row r="459" spans="1:14">
      <c r="A459" s="123">
        <v>23</v>
      </c>
      <c r="B459" s="801"/>
      <c r="C459" s="243" t="s">
        <v>1917</v>
      </c>
      <c r="D459" s="837" t="s">
        <v>306</v>
      </c>
      <c r="E459" s="837" t="s">
        <v>322</v>
      </c>
      <c r="F459" s="837" t="s">
        <v>307</v>
      </c>
      <c r="G459" s="839" t="s">
        <v>1919</v>
      </c>
      <c r="H459" s="837" t="s">
        <v>662</v>
      </c>
      <c r="I459" s="839" t="s">
        <v>1920</v>
      </c>
      <c r="J459" s="837" t="s">
        <v>349</v>
      </c>
      <c r="K459" s="855" t="s">
        <v>1916</v>
      </c>
      <c r="L459" s="837" t="s">
        <v>324</v>
      </c>
      <c r="M459" s="835" t="s">
        <v>1535</v>
      </c>
      <c r="N459" s="837" t="s">
        <v>425</v>
      </c>
    </row>
    <row r="460" spans="1:14">
      <c r="A460" s="123">
        <v>23</v>
      </c>
      <c r="B460" s="802"/>
      <c r="C460" s="244" t="s">
        <v>1918</v>
      </c>
      <c r="D460" s="838"/>
      <c r="E460" s="838"/>
      <c r="F460" s="838"/>
      <c r="G460" s="840"/>
      <c r="H460" s="838"/>
      <c r="I460" s="840"/>
      <c r="J460" s="838"/>
      <c r="K460" s="856"/>
      <c r="L460" s="838"/>
      <c r="M460" s="836"/>
      <c r="N460" s="838"/>
    </row>
    <row r="461" spans="1:14">
      <c r="A461" s="123">
        <v>23</v>
      </c>
      <c r="B461" s="800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>
      <c r="A462" s="123">
        <v>23</v>
      </c>
      <c r="B462" s="801"/>
      <c r="C462" s="837" t="s">
        <v>1921</v>
      </c>
      <c r="D462" s="837" t="s">
        <v>311</v>
      </c>
      <c r="E462" s="837" t="s">
        <v>675</v>
      </c>
      <c r="F462" s="837" t="s">
        <v>1926</v>
      </c>
      <c r="G462" s="837" t="s">
        <v>1927</v>
      </c>
      <c r="H462" s="944" t="s">
        <v>347</v>
      </c>
      <c r="I462" s="242" t="s">
        <v>1928</v>
      </c>
      <c r="J462" s="837"/>
      <c r="K462" s="839" t="s">
        <v>1924</v>
      </c>
      <c r="L462" s="837" t="s">
        <v>309</v>
      </c>
      <c r="M462" s="835" t="s">
        <v>1828</v>
      </c>
      <c r="N462" s="839" t="s">
        <v>1925</v>
      </c>
    </row>
    <row r="463" spans="1:14">
      <c r="A463" s="123">
        <v>23</v>
      </c>
      <c r="B463" s="801"/>
      <c r="C463" s="838"/>
      <c r="D463" s="838"/>
      <c r="E463" s="838"/>
      <c r="F463" s="838"/>
      <c r="G463" s="838"/>
      <c r="H463" s="945"/>
      <c r="I463" s="242" t="s">
        <v>1929</v>
      </c>
      <c r="J463" s="838"/>
      <c r="K463" s="840"/>
      <c r="L463" s="838"/>
      <c r="M463" s="836"/>
      <c r="N463" s="840"/>
    </row>
    <row r="464" spans="1:14" ht="24">
      <c r="A464" s="123">
        <v>23</v>
      </c>
      <c r="B464" s="801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>
      <c r="A465" s="123">
        <v>23</v>
      </c>
      <c r="B465" s="802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>
      <c r="A466" s="123">
        <v>24</v>
      </c>
      <c r="B466" s="800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01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01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02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00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01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01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01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02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00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01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01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02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00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01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02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>
      <c r="A482" s="123">
        <v>26</v>
      </c>
      <c r="B482" s="800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01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01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01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02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00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01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01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01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02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00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01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01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01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01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02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00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01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02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00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01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01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02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00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02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00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01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01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01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01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01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01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01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02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00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01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02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00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01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01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01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02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00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02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00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01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01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01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02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00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01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02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00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01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02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00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01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01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01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02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00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01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01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02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00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01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01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02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00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01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02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00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01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01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02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00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01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02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00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01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01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02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00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01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01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01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01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02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2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3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2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2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2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3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00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02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2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2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2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3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00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01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01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02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00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01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01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01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01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02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00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01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02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00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01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02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00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01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01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02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00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02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2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2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3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00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01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01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02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00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02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00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01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01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02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5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5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00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01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02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00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01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02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00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01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02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00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02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00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01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02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800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01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01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01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01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01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01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01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01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01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01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01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01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01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01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01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01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01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01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01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01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01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800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01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01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02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>
      <c r="A673" s="356">
        <v>6</v>
      </c>
      <c r="B673" s="849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01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02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00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02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800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01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01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01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02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00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02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800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>
      <c r="A686" s="123">
        <v>8</v>
      </c>
      <c r="B686" s="801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>
      <c r="A687" s="123">
        <v>8</v>
      </c>
      <c r="B687" s="801"/>
      <c r="C687" s="148" t="s">
        <v>2726</v>
      </c>
      <c r="D687" s="806" t="s">
        <v>306</v>
      </c>
      <c r="E687" s="806" t="s">
        <v>322</v>
      </c>
      <c r="F687" s="806" t="s">
        <v>307</v>
      </c>
      <c r="G687" s="808" t="s">
        <v>2719</v>
      </c>
      <c r="H687" s="806" t="s">
        <v>1047</v>
      </c>
      <c r="I687" s="808" t="s">
        <v>704</v>
      </c>
      <c r="J687" s="806" t="s">
        <v>664</v>
      </c>
      <c r="K687" s="845" t="s">
        <v>1763</v>
      </c>
      <c r="L687" s="806"/>
      <c r="M687" s="816" t="s">
        <v>458</v>
      </c>
      <c r="N687" s="806" t="s">
        <v>665</v>
      </c>
    </row>
    <row r="688" spans="1:14">
      <c r="A688" s="123">
        <v>8</v>
      </c>
      <c r="B688" s="801"/>
      <c r="C688" s="148" t="s">
        <v>2727</v>
      </c>
      <c r="D688" s="807"/>
      <c r="E688" s="807"/>
      <c r="F688" s="807"/>
      <c r="G688" s="809"/>
      <c r="H688" s="807"/>
      <c r="I688" s="809"/>
      <c r="J688" s="807"/>
      <c r="K688" s="846"/>
      <c r="L688" s="807"/>
      <c r="M688" s="817"/>
      <c r="N688" s="807"/>
    </row>
    <row r="689" spans="1:14">
      <c r="A689" s="123">
        <v>8</v>
      </c>
      <c r="B689" s="801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>
      <c r="A690" s="123">
        <v>8</v>
      </c>
      <c r="B690" s="801"/>
      <c r="C690" s="148" t="s">
        <v>2730</v>
      </c>
      <c r="D690" s="806" t="s">
        <v>306</v>
      </c>
      <c r="E690" s="806" t="s">
        <v>322</v>
      </c>
      <c r="F690" s="806" t="s">
        <v>307</v>
      </c>
      <c r="G690" s="808" t="s">
        <v>2731</v>
      </c>
      <c r="H690" s="806" t="s">
        <v>640</v>
      </c>
      <c r="I690" s="808" t="s">
        <v>668</v>
      </c>
      <c r="J690" s="806" t="s">
        <v>349</v>
      </c>
      <c r="K690" s="847" t="s">
        <v>2732</v>
      </c>
      <c r="L690" s="806"/>
      <c r="M690" s="816" t="s">
        <v>2769</v>
      </c>
      <c r="N690" s="806" t="s">
        <v>425</v>
      </c>
    </row>
    <row r="691" spans="1:14">
      <c r="A691" s="123">
        <v>8</v>
      </c>
      <c r="B691" s="802"/>
      <c r="C691" s="148" t="s">
        <v>2723</v>
      </c>
      <c r="D691" s="807"/>
      <c r="E691" s="807"/>
      <c r="F691" s="807"/>
      <c r="G691" s="809"/>
      <c r="H691" s="807"/>
      <c r="I691" s="809"/>
      <c r="J691" s="807"/>
      <c r="K691" s="848"/>
      <c r="L691" s="807"/>
      <c r="M691" s="817"/>
      <c r="N691" s="807"/>
    </row>
    <row r="692" spans="1:14">
      <c r="A692" s="123">
        <v>8</v>
      </c>
      <c r="B692" s="800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>
      <c r="A693" s="123">
        <v>8</v>
      </c>
      <c r="B693" s="801"/>
      <c r="C693" s="806" t="s">
        <v>2768</v>
      </c>
      <c r="D693" s="806" t="s">
        <v>311</v>
      </c>
      <c r="E693" s="806" t="s">
        <v>675</v>
      </c>
      <c r="F693" s="149" t="s">
        <v>1806</v>
      </c>
      <c r="G693" s="808" t="s">
        <v>689</v>
      </c>
      <c r="H693" s="808" t="s">
        <v>662</v>
      </c>
      <c r="I693" s="808" t="s">
        <v>2739</v>
      </c>
      <c r="J693" s="808"/>
      <c r="K693" s="808" t="s">
        <v>698</v>
      </c>
      <c r="L693" s="806" t="s">
        <v>309</v>
      </c>
      <c r="M693" s="816" t="s">
        <v>672</v>
      </c>
      <c r="N693" s="806" t="s">
        <v>2740</v>
      </c>
    </row>
    <row r="694" spans="1:14">
      <c r="A694" s="123">
        <v>8</v>
      </c>
      <c r="B694" s="802"/>
      <c r="C694" s="807"/>
      <c r="D694" s="807"/>
      <c r="E694" s="807"/>
      <c r="F694" s="149" t="s">
        <v>2738</v>
      </c>
      <c r="G694" s="809"/>
      <c r="H694" s="809"/>
      <c r="I694" s="809"/>
      <c r="J694" s="809"/>
      <c r="K694" s="809"/>
      <c r="L694" s="807"/>
      <c r="M694" s="817"/>
      <c r="N694" s="823"/>
    </row>
    <row r="695" spans="1:14">
      <c r="A695" s="123">
        <v>9</v>
      </c>
      <c r="B695" s="800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>
      <c r="A696" s="123">
        <v>9</v>
      </c>
      <c r="B696" s="801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>
      <c r="A697" s="123">
        <v>9</v>
      </c>
      <c r="B697" s="801"/>
      <c r="C697" s="243" t="s">
        <v>2745</v>
      </c>
      <c r="D697" s="837" t="s">
        <v>306</v>
      </c>
      <c r="E697" s="837" t="s">
        <v>322</v>
      </c>
      <c r="F697" s="837" t="s">
        <v>307</v>
      </c>
      <c r="G697" s="839" t="s">
        <v>2746</v>
      </c>
      <c r="H697" s="837" t="s">
        <v>405</v>
      </c>
      <c r="I697" s="839" t="s">
        <v>2747</v>
      </c>
      <c r="J697" s="837" t="s">
        <v>664</v>
      </c>
      <c r="K697" s="843" t="s">
        <v>1757</v>
      </c>
      <c r="L697" s="837"/>
      <c r="M697" s="835">
        <v>750000</v>
      </c>
      <c r="N697" s="837" t="s">
        <v>665</v>
      </c>
    </row>
    <row r="698" spans="1:14">
      <c r="A698" s="123">
        <v>9</v>
      </c>
      <c r="B698" s="801"/>
      <c r="C698" s="243" t="s">
        <v>2748</v>
      </c>
      <c r="D698" s="838"/>
      <c r="E698" s="838"/>
      <c r="F698" s="838"/>
      <c r="G698" s="840"/>
      <c r="H698" s="838"/>
      <c r="I698" s="840"/>
      <c r="J698" s="838"/>
      <c r="K698" s="844"/>
      <c r="L698" s="838"/>
      <c r="M698" s="836"/>
      <c r="N698" s="838"/>
    </row>
    <row r="699" spans="1:14">
      <c r="A699" s="123">
        <v>9</v>
      </c>
      <c r="B699" s="801"/>
      <c r="C699" s="243" t="s">
        <v>2745</v>
      </c>
      <c r="D699" s="837" t="s">
        <v>306</v>
      </c>
      <c r="E699" s="837" t="s">
        <v>322</v>
      </c>
      <c r="F699" s="837" t="s">
        <v>307</v>
      </c>
      <c r="G699" s="839" t="s">
        <v>2749</v>
      </c>
      <c r="H699" s="837" t="s">
        <v>662</v>
      </c>
      <c r="I699" s="839" t="s">
        <v>668</v>
      </c>
      <c r="J699" s="837" t="s">
        <v>349</v>
      </c>
      <c r="K699" s="841" t="s">
        <v>2732</v>
      </c>
      <c r="L699" s="837"/>
      <c r="M699" s="835">
        <v>1000000</v>
      </c>
      <c r="N699" s="837" t="s">
        <v>425</v>
      </c>
    </row>
    <row r="700" spans="1:14">
      <c r="A700" s="123">
        <v>9</v>
      </c>
      <c r="B700" s="801"/>
      <c r="C700" s="243" t="s">
        <v>2750</v>
      </c>
      <c r="D700" s="838"/>
      <c r="E700" s="838"/>
      <c r="F700" s="838"/>
      <c r="G700" s="840"/>
      <c r="H700" s="838"/>
      <c r="I700" s="840"/>
      <c r="J700" s="838"/>
      <c r="K700" s="842"/>
      <c r="L700" s="838"/>
      <c r="M700" s="836"/>
      <c r="N700" s="838"/>
    </row>
    <row r="701" spans="1:14">
      <c r="A701" s="123">
        <v>9</v>
      </c>
      <c r="B701" s="802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>
      <c r="A702" s="123">
        <v>10</v>
      </c>
      <c r="B702" s="800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01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02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800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01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02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800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01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01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02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00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02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00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02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00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01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01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01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02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00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01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01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02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00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01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01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01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01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01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01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33" t="s">
        <v>2821</v>
      </c>
    </row>
    <row r="734" spans="1:14" ht="27">
      <c r="A734" s="123">
        <v>15</v>
      </c>
      <c r="B734" s="801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34"/>
    </row>
    <row r="735" spans="1:14">
      <c r="A735" s="123">
        <v>15</v>
      </c>
      <c r="B735" s="801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01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01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01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01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01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01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01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01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01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02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>
      <c r="A746" s="123">
        <v>17</v>
      </c>
      <c r="B746" s="800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01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01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01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02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00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01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01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01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02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00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01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01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02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800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01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01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01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01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01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01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01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01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02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>
      <c r="A771" s="123">
        <v>21</v>
      </c>
      <c r="B771" s="800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01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02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800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01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02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00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01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01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02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00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01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01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02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00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02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00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01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01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02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00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02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2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2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3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00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01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01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01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02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00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01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01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02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800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01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02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00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01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01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02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00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01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01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01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01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02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00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01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01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01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01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01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01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01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02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800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01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01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01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01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02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00" t="s">
        <v>3097</v>
      </c>
      <c r="C835" s="148" t="s">
        <v>3079</v>
      </c>
      <c r="D835" s="806" t="s">
        <v>306</v>
      </c>
      <c r="E835" s="806" t="s">
        <v>322</v>
      </c>
      <c r="F835" s="806" t="s">
        <v>307</v>
      </c>
      <c r="G835" s="808" t="s">
        <v>3051</v>
      </c>
      <c r="H835" s="806" t="s">
        <v>1993</v>
      </c>
      <c r="I835" s="808" t="s">
        <v>3052</v>
      </c>
      <c r="J835" s="806" t="s">
        <v>664</v>
      </c>
      <c r="K835" s="148" t="s">
        <v>3081</v>
      </c>
      <c r="L835" s="806"/>
      <c r="M835" s="825" t="s">
        <v>3082</v>
      </c>
      <c r="N835" s="148" t="s">
        <v>3083</v>
      </c>
    </row>
    <row r="836" spans="1:14">
      <c r="A836" s="123">
        <v>29</v>
      </c>
      <c r="B836" s="801"/>
      <c r="C836" s="148" t="s">
        <v>3080</v>
      </c>
      <c r="D836" s="823"/>
      <c r="E836" s="823"/>
      <c r="F836" s="823"/>
      <c r="G836" s="824"/>
      <c r="H836" s="823"/>
      <c r="I836" s="824"/>
      <c r="J836" s="823"/>
      <c r="K836" s="148" t="s">
        <v>707</v>
      </c>
      <c r="L836" s="823"/>
      <c r="M836" s="826"/>
      <c r="N836" s="148"/>
    </row>
    <row r="837" spans="1:14">
      <c r="A837" s="123">
        <v>29</v>
      </c>
      <c r="B837" s="801"/>
      <c r="C837" s="148"/>
      <c r="D837" s="807"/>
      <c r="E837" s="807"/>
      <c r="F837" s="807"/>
      <c r="G837" s="809"/>
      <c r="H837" s="807"/>
      <c r="I837" s="809"/>
      <c r="J837" s="807"/>
      <c r="K837" s="148"/>
      <c r="L837" s="807"/>
      <c r="M837" s="827"/>
      <c r="N837" s="148" t="s">
        <v>3084</v>
      </c>
    </row>
    <row r="838" spans="1:14">
      <c r="A838" s="123">
        <v>29</v>
      </c>
      <c r="B838" s="801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>
      <c r="A839" s="123">
        <v>29</v>
      </c>
      <c r="B839" s="802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>
      <c r="A840" s="123">
        <v>29</v>
      </c>
      <c r="B840" s="800" t="s">
        <v>21</v>
      </c>
      <c r="C840" s="111" t="s">
        <v>3087</v>
      </c>
      <c r="D840" s="806" t="s">
        <v>311</v>
      </c>
      <c r="E840" s="806" t="s">
        <v>320</v>
      </c>
      <c r="F840" s="808" t="s">
        <v>2601</v>
      </c>
      <c r="G840" s="808" t="s">
        <v>3059</v>
      </c>
      <c r="H840" s="808" t="s">
        <v>3060</v>
      </c>
      <c r="I840" s="808" t="s">
        <v>3061</v>
      </c>
      <c r="J840" s="808" t="s">
        <v>702</v>
      </c>
      <c r="K840" s="808" t="s">
        <v>3062</v>
      </c>
      <c r="L840" s="806" t="s">
        <v>309</v>
      </c>
      <c r="M840" s="825" t="s">
        <v>1816</v>
      </c>
      <c r="N840" s="806" t="s">
        <v>3088</v>
      </c>
    </row>
    <row r="841" spans="1:14">
      <c r="A841" s="123">
        <v>29</v>
      </c>
      <c r="B841" s="801"/>
      <c r="C841" s="111" t="s">
        <v>3065</v>
      </c>
      <c r="D841" s="807"/>
      <c r="E841" s="807"/>
      <c r="F841" s="809"/>
      <c r="G841" s="809"/>
      <c r="H841" s="809"/>
      <c r="I841" s="809"/>
      <c r="J841" s="809"/>
      <c r="K841" s="809"/>
      <c r="L841" s="807"/>
      <c r="M841" s="827"/>
      <c r="N841" s="807"/>
    </row>
    <row r="842" spans="1:14">
      <c r="A842" s="123">
        <v>29</v>
      </c>
      <c r="B842" s="801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>
      <c r="A843" s="123">
        <v>29</v>
      </c>
      <c r="B843" s="801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>
      <c r="A844" s="123">
        <v>29</v>
      </c>
      <c r="B844" s="801"/>
      <c r="C844" s="111" t="s">
        <v>3079</v>
      </c>
      <c r="D844" s="806" t="s">
        <v>311</v>
      </c>
      <c r="E844" s="806" t="s">
        <v>320</v>
      </c>
      <c r="F844" s="808" t="s">
        <v>3068</v>
      </c>
      <c r="G844" s="808" t="s">
        <v>1919</v>
      </c>
      <c r="H844" s="808" t="s">
        <v>3069</v>
      </c>
      <c r="I844" s="149" t="s">
        <v>3090</v>
      </c>
      <c r="J844" s="808"/>
      <c r="K844" s="808" t="s">
        <v>3070</v>
      </c>
      <c r="L844" s="806" t="s">
        <v>309</v>
      </c>
      <c r="M844" s="831" t="s">
        <v>3092</v>
      </c>
      <c r="N844" s="806" t="s">
        <v>1206</v>
      </c>
    </row>
    <row r="845" spans="1:14">
      <c r="A845" s="123">
        <v>29</v>
      </c>
      <c r="B845" s="801"/>
      <c r="C845" s="111" t="s">
        <v>3089</v>
      </c>
      <c r="D845" s="807"/>
      <c r="E845" s="807"/>
      <c r="F845" s="809"/>
      <c r="G845" s="809"/>
      <c r="H845" s="809"/>
      <c r="I845" s="149" t="s">
        <v>3091</v>
      </c>
      <c r="J845" s="809"/>
      <c r="K845" s="809"/>
      <c r="L845" s="807"/>
      <c r="M845" s="832"/>
      <c r="N845" s="807"/>
    </row>
    <row r="846" spans="1:14">
      <c r="A846" s="123">
        <v>29</v>
      </c>
      <c r="B846" s="801"/>
      <c r="C846" s="111" t="s">
        <v>3079</v>
      </c>
      <c r="D846" s="806" t="s">
        <v>311</v>
      </c>
      <c r="E846" s="806" t="s">
        <v>320</v>
      </c>
      <c r="F846" s="808" t="s">
        <v>2601</v>
      </c>
      <c r="G846" s="808" t="s">
        <v>3059</v>
      </c>
      <c r="H846" s="808" t="s">
        <v>3060</v>
      </c>
      <c r="I846" s="808" t="s">
        <v>3071</v>
      </c>
      <c r="J846" s="808" t="s">
        <v>702</v>
      </c>
      <c r="K846" s="808" t="s">
        <v>1054</v>
      </c>
      <c r="L846" s="806" t="s">
        <v>309</v>
      </c>
      <c r="M846" s="825" t="s">
        <v>3094</v>
      </c>
      <c r="N846" s="806" t="s">
        <v>3095</v>
      </c>
    </row>
    <row r="847" spans="1:14">
      <c r="A847" s="123">
        <v>29</v>
      </c>
      <c r="B847" s="801"/>
      <c r="C847" s="111"/>
      <c r="D847" s="823"/>
      <c r="E847" s="823"/>
      <c r="F847" s="824"/>
      <c r="G847" s="824"/>
      <c r="H847" s="824"/>
      <c r="I847" s="824"/>
      <c r="J847" s="824"/>
      <c r="K847" s="824"/>
      <c r="L847" s="823"/>
      <c r="M847" s="826"/>
      <c r="N847" s="823"/>
    </row>
    <row r="848" spans="1:14">
      <c r="A848" s="123">
        <v>29</v>
      </c>
      <c r="B848" s="801"/>
      <c r="C848" s="111" t="s">
        <v>3093</v>
      </c>
      <c r="D848" s="807"/>
      <c r="E848" s="807"/>
      <c r="F848" s="809"/>
      <c r="G848" s="809"/>
      <c r="H848" s="809"/>
      <c r="I848" s="809"/>
      <c r="J848" s="809"/>
      <c r="K848" s="809"/>
      <c r="L848" s="807"/>
      <c r="M848" s="827"/>
      <c r="N848" s="807"/>
    </row>
    <row r="849" spans="1:14">
      <c r="A849" s="123">
        <v>29</v>
      </c>
      <c r="B849" s="801"/>
      <c r="C849" s="111" t="s">
        <v>3096</v>
      </c>
      <c r="D849" s="806" t="s">
        <v>311</v>
      </c>
      <c r="E849" s="806" t="s">
        <v>320</v>
      </c>
      <c r="F849" s="808" t="s">
        <v>337</v>
      </c>
      <c r="G849" s="808" t="s">
        <v>3072</v>
      </c>
      <c r="H849" s="808" t="s">
        <v>354</v>
      </c>
      <c r="I849" s="808" t="s">
        <v>310</v>
      </c>
      <c r="J849" s="808" t="s">
        <v>638</v>
      </c>
      <c r="K849" s="808" t="s">
        <v>3073</v>
      </c>
      <c r="L849" s="806" t="s">
        <v>309</v>
      </c>
      <c r="M849" s="825" t="s">
        <v>1816</v>
      </c>
      <c r="N849" s="806" t="s">
        <v>3095</v>
      </c>
    </row>
    <row r="850" spans="1:14">
      <c r="A850" s="123">
        <v>29</v>
      </c>
      <c r="B850" s="802"/>
      <c r="C850" s="111" t="s">
        <v>3089</v>
      </c>
      <c r="D850" s="807"/>
      <c r="E850" s="807"/>
      <c r="F850" s="809"/>
      <c r="G850" s="809"/>
      <c r="H850" s="809"/>
      <c r="I850" s="809"/>
      <c r="J850" s="809"/>
      <c r="K850" s="809"/>
      <c r="L850" s="807"/>
      <c r="M850" s="827"/>
      <c r="N850" s="807"/>
    </row>
    <row r="851" spans="1:14">
      <c r="A851" s="123">
        <v>30</v>
      </c>
      <c r="B851" s="81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81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>
      <c r="A853" s="123">
        <v>30</v>
      </c>
      <c r="B853" s="819"/>
      <c r="C853" s="148" t="s">
        <v>3106</v>
      </c>
      <c r="D853" s="806" t="s">
        <v>306</v>
      </c>
      <c r="E853" s="806" t="s">
        <v>322</v>
      </c>
      <c r="F853" s="806" t="s">
        <v>307</v>
      </c>
      <c r="G853" s="808" t="s">
        <v>3051</v>
      </c>
      <c r="H853" s="806" t="s">
        <v>1993</v>
      </c>
      <c r="I853" s="808" t="s">
        <v>3108</v>
      </c>
      <c r="J853" s="806" t="s">
        <v>664</v>
      </c>
      <c r="K853" s="148" t="s">
        <v>3109</v>
      </c>
      <c r="L853" s="806"/>
      <c r="M853" s="816" t="s">
        <v>3110</v>
      </c>
      <c r="N853" s="806" t="s">
        <v>665</v>
      </c>
    </row>
    <row r="854" spans="1:14">
      <c r="A854" s="123">
        <v>30</v>
      </c>
      <c r="B854" s="819"/>
      <c r="C854" s="148" t="s">
        <v>3107</v>
      </c>
      <c r="D854" s="807"/>
      <c r="E854" s="807"/>
      <c r="F854" s="807"/>
      <c r="G854" s="809"/>
      <c r="H854" s="807"/>
      <c r="I854" s="809"/>
      <c r="J854" s="807"/>
      <c r="K854" s="148" t="s">
        <v>655</v>
      </c>
      <c r="L854" s="807"/>
      <c r="M854" s="817"/>
      <c r="N854" s="807"/>
    </row>
    <row r="855" spans="1:14">
      <c r="A855" s="123">
        <v>30</v>
      </c>
      <c r="B855" s="82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>
      <c r="A856" s="123">
        <v>30</v>
      </c>
      <c r="B856" s="800" t="s">
        <v>3116</v>
      </c>
      <c r="C856" s="821" t="s">
        <v>3117</v>
      </c>
      <c r="D856" s="806" t="s">
        <v>311</v>
      </c>
      <c r="E856" s="806" t="s">
        <v>320</v>
      </c>
      <c r="F856" s="808" t="s">
        <v>2601</v>
      </c>
      <c r="G856" s="808" t="s">
        <v>2749</v>
      </c>
      <c r="H856" s="808" t="s">
        <v>347</v>
      </c>
      <c r="I856" s="808" t="s">
        <v>3118</v>
      </c>
      <c r="J856" s="808" t="s">
        <v>638</v>
      </c>
      <c r="K856" s="808" t="s">
        <v>698</v>
      </c>
      <c r="L856" s="806" t="s">
        <v>309</v>
      </c>
      <c r="M856" s="816" t="s">
        <v>1810</v>
      </c>
      <c r="N856" s="148" t="s">
        <v>3119</v>
      </c>
    </row>
    <row r="857" spans="1:14">
      <c r="A857" s="123">
        <v>30</v>
      </c>
      <c r="B857" s="801"/>
      <c r="C857" s="822"/>
      <c r="D857" s="807"/>
      <c r="E857" s="807"/>
      <c r="F857" s="809"/>
      <c r="G857" s="809"/>
      <c r="H857" s="809"/>
      <c r="I857" s="809"/>
      <c r="J857" s="809"/>
      <c r="K857" s="809"/>
      <c r="L857" s="807"/>
      <c r="M857" s="817"/>
      <c r="N857" s="148" t="s">
        <v>3120</v>
      </c>
    </row>
    <row r="858" spans="1:14" ht="16.5" customHeight="1">
      <c r="A858" s="123">
        <v>30</v>
      </c>
      <c r="B858" s="801"/>
      <c r="C858" s="821" t="s">
        <v>3117</v>
      </c>
      <c r="D858" s="806" t="s">
        <v>311</v>
      </c>
      <c r="E858" s="806" t="s">
        <v>320</v>
      </c>
      <c r="F858" s="808" t="s">
        <v>709</v>
      </c>
      <c r="G858" s="149" t="s">
        <v>3121</v>
      </c>
      <c r="H858" s="808" t="s">
        <v>640</v>
      </c>
      <c r="I858" s="808" t="s">
        <v>3122</v>
      </c>
      <c r="J858" s="808"/>
      <c r="K858" s="808" t="s">
        <v>692</v>
      </c>
      <c r="L858" s="806" t="s">
        <v>309</v>
      </c>
      <c r="M858" s="816" t="s">
        <v>1535</v>
      </c>
      <c r="N858" s="806" t="s">
        <v>1772</v>
      </c>
    </row>
    <row r="859" spans="1:14">
      <c r="A859" s="123">
        <v>30</v>
      </c>
      <c r="B859" s="801"/>
      <c r="C859" s="822"/>
      <c r="D859" s="807"/>
      <c r="E859" s="807"/>
      <c r="F859" s="809"/>
      <c r="G859" s="149">
        <v>2651</v>
      </c>
      <c r="H859" s="809"/>
      <c r="I859" s="809"/>
      <c r="J859" s="809"/>
      <c r="K859" s="809"/>
      <c r="L859" s="807"/>
      <c r="M859" s="817"/>
      <c r="N859" s="807"/>
    </row>
    <row r="860" spans="1:14">
      <c r="A860" s="123">
        <v>30</v>
      </c>
      <c r="B860" s="801"/>
      <c r="C860" s="821" t="s">
        <v>3123</v>
      </c>
      <c r="D860" s="806" t="s">
        <v>311</v>
      </c>
      <c r="E860" s="806" t="s">
        <v>320</v>
      </c>
      <c r="F860" s="808" t="s">
        <v>720</v>
      </c>
      <c r="G860" s="808" t="s">
        <v>1756</v>
      </c>
      <c r="H860" s="808" t="s">
        <v>347</v>
      </c>
      <c r="I860" s="149" t="s">
        <v>3124</v>
      </c>
      <c r="J860" s="808"/>
      <c r="K860" s="808" t="s">
        <v>3126</v>
      </c>
      <c r="L860" s="806" t="s">
        <v>309</v>
      </c>
      <c r="M860" s="816" t="s">
        <v>1933</v>
      </c>
      <c r="N860" s="806" t="s">
        <v>1206</v>
      </c>
    </row>
    <row r="861" spans="1:14">
      <c r="A861" s="123">
        <v>30</v>
      </c>
      <c r="B861" s="801"/>
      <c r="C861" s="822"/>
      <c r="D861" s="807"/>
      <c r="E861" s="807"/>
      <c r="F861" s="809"/>
      <c r="G861" s="809"/>
      <c r="H861" s="809"/>
      <c r="I861" s="149" t="s">
        <v>3125</v>
      </c>
      <c r="J861" s="809"/>
      <c r="K861" s="809"/>
      <c r="L861" s="807"/>
      <c r="M861" s="817"/>
      <c r="N861" s="807"/>
    </row>
    <row r="862" spans="1:14">
      <c r="A862" s="123">
        <v>30</v>
      </c>
      <c r="B862" s="801"/>
      <c r="C862" s="111" t="s">
        <v>3127</v>
      </c>
      <c r="D862" s="806" t="s">
        <v>311</v>
      </c>
      <c r="E862" s="806" t="s">
        <v>320</v>
      </c>
      <c r="F862" s="808" t="s">
        <v>690</v>
      </c>
      <c r="G862" s="808" t="s">
        <v>3066</v>
      </c>
      <c r="H862" s="808" t="s">
        <v>354</v>
      </c>
      <c r="I862" s="808" t="s">
        <v>3129</v>
      </c>
      <c r="J862" s="808" t="s">
        <v>638</v>
      </c>
      <c r="K862" s="808" t="s">
        <v>655</v>
      </c>
      <c r="L862" s="806" t="s">
        <v>309</v>
      </c>
      <c r="M862" s="816" t="s">
        <v>1535</v>
      </c>
      <c r="N862" s="806" t="s">
        <v>1206</v>
      </c>
    </row>
    <row r="863" spans="1:14">
      <c r="A863" s="123">
        <v>30</v>
      </c>
      <c r="B863" s="801"/>
      <c r="C863" s="111" t="s">
        <v>3128</v>
      </c>
      <c r="D863" s="807"/>
      <c r="E863" s="807"/>
      <c r="F863" s="809"/>
      <c r="G863" s="809"/>
      <c r="H863" s="809"/>
      <c r="I863" s="809"/>
      <c r="J863" s="809"/>
      <c r="K863" s="809"/>
      <c r="L863" s="807"/>
      <c r="M863" s="817"/>
      <c r="N863" s="807"/>
    </row>
    <row r="864" spans="1:14">
      <c r="A864" s="123">
        <v>30</v>
      </c>
      <c r="B864" s="801"/>
      <c r="C864" s="111" t="s">
        <v>3130</v>
      </c>
      <c r="D864" s="806" t="s">
        <v>311</v>
      </c>
      <c r="E864" s="806" t="s">
        <v>320</v>
      </c>
      <c r="F864" s="808" t="s">
        <v>337</v>
      </c>
      <c r="G864" s="808" t="s">
        <v>3072</v>
      </c>
      <c r="H864" s="808" t="s">
        <v>354</v>
      </c>
      <c r="I864" s="808" t="s">
        <v>3131</v>
      </c>
      <c r="J864" s="808" t="s">
        <v>638</v>
      </c>
      <c r="K864" s="808" t="s">
        <v>713</v>
      </c>
      <c r="L864" s="806" t="s">
        <v>309</v>
      </c>
      <c r="M864" s="816" t="s">
        <v>1810</v>
      </c>
      <c r="N864" s="806" t="s">
        <v>1206</v>
      </c>
    </row>
    <row r="865" spans="1:14">
      <c r="A865" s="123">
        <v>30</v>
      </c>
      <c r="B865" s="801"/>
      <c r="C865" s="111" t="s">
        <v>3107</v>
      </c>
      <c r="D865" s="807"/>
      <c r="E865" s="807"/>
      <c r="F865" s="809"/>
      <c r="G865" s="809"/>
      <c r="H865" s="809"/>
      <c r="I865" s="809"/>
      <c r="J865" s="809"/>
      <c r="K865" s="809"/>
      <c r="L865" s="807"/>
      <c r="M865" s="817"/>
      <c r="N865" s="807"/>
    </row>
    <row r="866" spans="1:14" ht="25.5">
      <c r="A866" s="123">
        <v>30</v>
      </c>
      <c r="B866" s="801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>
      <c r="A867" s="123">
        <v>30</v>
      </c>
      <c r="B867" s="801"/>
      <c r="C867" s="821" t="s">
        <v>3111</v>
      </c>
      <c r="D867" s="806" t="s">
        <v>311</v>
      </c>
      <c r="E867" s="806" t="s">
        <v>675</v>
      </c>
      <c r="F867" s="808" t="s">
        <v>660</v>
      </c>
      <c r="G867" s="808" t="s">
        <v>661</v>
      </c>
      <c r="H867" s="808" t="s">
        <v>662</v>
      </c>
      <c r="I867" s="149" t="s">
        <v>3134</v>
      </c>
      <c r="J867" s="808" t="s">
        <v>638</v>
      </c>
      <c r="K867" s="808" t="s">
        <v>731</v>
      </c>
      <c r="L867" s="806" t="s">
        <v>309</v>
      </c>
      <c r="M867" s="816" t="s">
        <v>1828</v>
      </c>
      <c r="N867" s="806" t="s">
        <v>3136</v>
      </c>
    </row>
    <row r="868" spans="1:14">
      <c r="A868" s="123">
        <v>30</v>
      </c>
      <c r="B868" s="802"/>
      <c r="C868" s="822"/>
      <c r="D868" s="807"/>
      <c r="E868" s="807"/>
      <c r="F868" s="809"/>
      <c r="G868" s="809"/>
      <c r="H868" s="809"/>
      <c r="I868" s="149" t="s">
        <v>3135</v>
      </c>
      <c r="J868" s="809"/>
      <c r="K868" s="809"/>
      <c r="L868" s="807"/>
      <c r="M868" s="817"/>
      <c r="N868" s="807"/>
    </row>
    <row r="869" spans="1:14">
      <c r="A869" s="123">
        <v>31</v>
      </c>
      <c r="B869" s="800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>
      <c r="A870" s="123">
        <v>31</v>
      </c>
      <c r="B870" s="801"/>
      <c r="C870" s="148" t="s">
        <v>3140</v>
      </c>
      <c r="D870" s="806" t="s">
        <v>306</v>
      </c>
      <c r="E870" s="806" t="s">
        <v>322</v>
      </c>
      <c r="F870" s="806" t="s">
        <v>307</v>
      </c>
      <c r="G870" s="808">
        <v>1566</v>
      </c>
      <c r="H870" s="806" t="s">
        <v>1911</v>
      </c>
      <c r="I870" s="808" t="s">
        <v>3142</v>
      </c>
      <c r="J870" s="806" t="s">
        <v>664</v>
      </c>
      <c r="K870" s="806" t="s">
        <v>3143</v>
      </c>
      <c r="L870" s="806"/>
      <c r="M870" s="816" t="s">
        <v>3144</v>
      </c>
      <c r="N870" s="806" t="s">
        <v>665</v>
      </c>
    </row>
    <row r="871" spans="1:14">
      <c r="A871" s="123">
        <v>31</v>
      </c>
      <c r="B871" s="801"/>
      <c r="C871" s="148" t="s">
        <v>3141</v>
      </c>
      <c r="D871" s="807"/>
      <c r="E871" s="807"/>
      <c r="F871" s="807"/>
      <c r="G871" s="809"/>
      <c r="H871" s="807"/>
      <c r="I871" s="809"/>
      <c r="J871" s="807"/>
      <c r="K871" s="807"/>
      <c r="L871" s="807"/>
      <c r="M871" s="817"/>
      <c r="N871" s="807"/>
    </row>
    <row r="872" spans="1:14">
      <c r="A872" s="123">
        <v>31</v>
      </c>
      <c r="B872" s="801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>
      <c r="A873" s="123">
        <v>31</v>
      </c>
      <c r="B873" s="801"/>
      <c r="C873" s="390" t="s">
        <v>3140</v>
      </c>
      <c r="D873" s="806" t="s">
        <v>306</v>
      </c>
      <c r="E873" s="806" t="s">
        <v>322</v>
      </c>
      <c r="F873" s="806" t="s">
        <v>307</v>
      </c>
      <c r="G873" s="808" t="s">
        <v>3147</v>
      </c>
      <c r="H873" s="806" t="s">
        <v>3148</v>
      </c>
      <c r="I873" s="808" t="s">
        <v>332</v>
      </c>
      <c r="J873" s="806" t="s">
        <v>1534</v>
      </c>
      <c r="K873" s="806" t="s">
        <v>1157</v>
      </c>
      <c r="L873" s="806"/>
      <c r="M873" s="816" t="s">
        <v>3149</v>
      </c>
      <c r="N873" s="806" t="s">
        <v>425</v>
      </c>
    </row>
    <row r="874" spans="1:14">
      <c r="A874" s="123">
        <v>31</v>
      </c>
      <c r="B874" s="802"/>
      <c r="C874" s="390" t="s">
        <v>3146</v>
      </c>
      <c r="D874" s="807"/>
      <c r="E874" s="807"/>
      <c r="F874" s="807"/>
      <c r="G874" s="809"/>
      <c r="H874" s="807"/>
      <c r="I874" s="809"/>
      <c r="J874" s="807"/>
      <c r="K874" s="807"/>
      <c r="L874" s="807"/>
      <c r="M874" s="817"/>
      <c r="N874" s="807"/>
    </row>
    <row r="875" spans="1:14">
      <c r="A875" s="123">
        <v>31</v>
      </c>
      <c r="B875" s="800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>
      <c r="A876" s="123">
        <v>31</v>
      </c>
      <c r="B876" s="801"/>
      <c r="C876" s="806" t="s">
        <v>3128</v>
      </c>
      <c r="D876" s="806" t="s">
        <v>311</v>
      </c>
      <c r="E876" s="806" t="s">
        <v>675</v>
      </c>
      <c r="F876" s="808" t="s">
        <v>660</v>
      </c>
      <c r="G876" s="808" t="s">
        <v>661</v>
      </c>
      <c r="H876" s="808" t="s">
        <v>662</v>
      </c>
      <c r="I876" s="149" t="s">
        <v>3134</v>
      </c>
      <c r="J876" s="808"/>
      <c r="K876" s="808" t="s">
        <v>698</v>
      </c>
      <c r="L876" s="806" t="s">
        <v>309</v>
      </c>
      <c r="M876" s="816" t="s">
        <v>3139</v>
      </c>
      <c r="N876" s="806" t="s">
        <v>3152</v>
      </c>
    </row>
    <row r="877" spans="1:14">
      <c r="A877" s="123">
        <v>31</v>
      </c>
      <c r="B877" s="801"/>
      <c r="C877" s="807"/>
      <c r="D877" s="807"/>
      <c r="E877" s="807"/>
      <c r="F877" s="809"/>
      <c r="G877" s="809"/>
      <c r="H877" s="809"/>
      <c r="I877" s="149" t="s">
        <v>3135</v>
      </c>
      <c r="J877" s="809"/>
      <c r="K877" s="809"/>
      <c r="L877" s="807"/>
      <c r="M877" s="817"/>
      <c r="N877" s="807"/>
    </row>
    <row r="878" spans="1:14" ht="16.5" customHeight="1">
      <c r="A878" s="123">
        <v>31</v>
      </c>
      <c r="B878" s="801"/>
      <c r="C878" s="148" t="s">
        <v>3153</v>
      </c>
      <c r="D878" s="806" t="s">
        <v>311</v>
      </c>
      <c r="E878" s="806" t="s">
        <v>320</v>
      </c>
      <c r="F878" s="808" t="s">
        <v>3068</v>
      </c>
      <c r="G878" s="808" t="s">
        <v>1919</v>
      </c>
      <c r="H878" s="808" t="s">
        <v>3069</v>
      </c>
      <c r="I878" s="808" t="s">
        <v>3154</v>
      </c>
      <c r="J878" s="808"/>
      <c r="K878" s="808" t="s">
        <v>3155</v>
      </c>
      <c r="L878" s="806" t="s">
        <v>309</v>
      </c>
      <c r="M878" s="816" t="s">
        <v>3156</v>
      </c>
      <c r="N878" s="806" t="s">
        <v>3151</v>
      </c>
    </row>
    <row r="879" spans="1:14">
      <c r="A879" s="123">
        <v>31</v>
      </c>
      <c r="B879" s="801"/>
      <c r="C879" s="148" t="s">
        <v>3111</v>
      </c>
      <c r="D879" s="807"/>
      <c r="E879" s="807"/>
      <c r="F879" s="809"/>
      <c r="G879" s="809"/>
      <c r="H879" s="809"/>
      <c r="I879" s="809"/>
      <c r="J879" s="809"/>
      <c r="K879" s="809"/>
      <c r="L879" s="807"/>
      <c r="M879" s="817"/>
      <c r="N879" s="807"/>
    </row>
    <row r="880" spans="1:14">
      <c r="A880" s="123">
        <v>31</v>
      </c>
      <c r="B880" s="801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>
      <c r="A881" s="123">
        <v>31</v>
      </c>
      <c r="B881" s="801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>
      <c r="A882" s="123">
        <v>31</v>
      </c>
      <c r="B882" s="801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>
      <c r="A883" s="123">
        <v>31</v>
      </c>
      <c r="B883" s="801"/>
      <c r="C883" s="111" t="s">
        <v>3166</v>
      </c>
      <c r="D883" s="806" t="s">
        <v>311</v>
      </c>
      <c r="E883" s="806" t="s">
        <v>320</v>
      </c>
      <c r="F883" s="808" t="s">
        <v>337</v>
      </c>
      <c r="G883" s="808" t="s">
        <v>3168</v>
      </c>
      <c r="H883" s="808" t="s">
        <v>3169</v>
      </c>
      <c r="I883" s="808" t="s">
        <v>3170</v>
      </c>
      <c r="J883" s="808" t="s">
        <v>3171</v>
      </c>
      <c r="K883" s="808" t="s">
        <v>3172</v>
      </c>
      <c r="L883" s="806" t="s">
        <v>309</v>
      </c>
      <c r="M883" s="816" t="s">
        <v>3173</v>
      </c>
      <c r="N883" s="806" t="s">
        <v>3136</v>
      </c>
    </row>
    <row r="884" spans="1:14">
      <c r="A884" s="123">
        <v>31</v>
      </c>
      <c r="B884" s="802"/>
      <c r="C884" s="111" t="s">
        <v>3167</v>
      </c>
      <c r="D884" s="807"/>
      <c r="E884" s="807"/>
      <c r="F884" s="809"/>
      <c r="G884" s="809"/>
      <c r="H884" s="809"/>
      <c r="I884" s="809"/>
      <c r="J884" s="809"/>
      <c r="K884" s="809"/>
      <c r="L884" s="807"/>
      <c r="M884" s="817"/>
      <c r="N884" s="807"/>
    </row>
    <row r="885" spans="1:14" ht="27">
      <c r="A885" s="123">
        <v>32</v>
      </c>
      <c r="B885" s="81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81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81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81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>
      <c r="A889" s="123">
        <v>32</v>
      </c>
      <c r="B889" s="81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>
      <c r="A890" s="123">
        <v>32</v>
      </c>
      <c r="B890" s="814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>
      <c r="A891" s="123">
        <v>32</v>
      </c>
      <c r="B891" s="814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>
      <c r="A892" s="123">
        <v>32</v>
      </c>
      <c r="B892" s="81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81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81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>
      <c r="A895" s="123">
        <v>33</v>
      </c>
      <c r="B895" s="81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>
      <c r="A896" s="123">
        <v>33</v>
      </c>
      <c r="B896" s="813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>
      <c r="A897" s="123">
        <v>33</v>
      </c>
      <c r="B897" s="814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>
      <c r="A898" s="123">
        <v>33</v>
      </c>
      <c r="B898" s="815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1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11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1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1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1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>
      <c r="A904" s="123">
        <v>34</v>
      </c>
      <c r="B904" s="81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>
      <c r="A905" s="123">
        <v>34</v>
      </c>
      <c r="B905" s="81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>
      <c r="A906" s="123">
        <v>34</v>
      </c>
      <c r="B906" s="81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>
      <c r="A907" s="123">
        <v>34</v>
      </c>
      <c r="B907" s="81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>
      <c r="A908" s="123">
        <v>34</v>
      </c>
      <c r="B908" s="81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>
      <c r="A909" s="123">
        <v>34</v>
      </c>
      <c r="B909" s="81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>
      <c r="A910" s="123">
        <v>34</v>
      </c>
      <c r="B910" s="81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1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1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1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1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1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1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10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>
      <c r="A918" s="123">
        <v>35</v>
      </c>
      <c r="B918" s="81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>
      <c r="A919" s="123">
        <v>35</v>
      </c>
      <c r="B919" s="811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>
      <c r="A920" s="123">
        <v>35</v>
      </c>
      <c r="B920" s="811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>
      <c r="A921" s="123">
        <v>35</v>
      </c>
      <c r="B921" s="81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>
      <c r="A922" s="123">
        <v>35</v>
      </c>
      <c r="B922" s="81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>
      <c r="A923" s="123">
        <v>35</v>
      </c>
      <c r="B923" s="81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>
      <c r="A924" s="123">
        <v>35</v>
      </c>
      <c r="B924" s="811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>
      <c r="A925" s="123">
        <v>35</v>
      </c>
      <c r="B925" s="81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>
      <c r="A926" s="123">
        <v>35</v>
      </c>
      <c r="B926" s="812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0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0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0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0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0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05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05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05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>
      <c r="A935" s="123">
        <v>36</v>
      </c>
      <c r="B935" s="805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>
      <c r="A936" s="123">
        <v>36</v>
      </c>
      <c r="B936" s="805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>
      <c r="A937" s="123">
        <v>36</v>
      </c>
      <c r="B937" s="805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0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0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0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0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0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05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05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05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05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05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>
      <c r="A948" s="123">
        <v>37</v>
      </c>
      <c r="B948" s="805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05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>
      <c r="A950" s="123">
        <v>37</v>
      </c>
      <c r="B950" s="805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>
      <c r="A951" s="123">
        <v>37</v>
      </c>
      <c r="B951" s="805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>
      <c r="A952" s="123">
        <v>37</v>
      </c>
      <c r="B952" s="805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05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>
      <c r="A954" s="123">
        <v>38</v>
      </c>
      <c r="B954" s="805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0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05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05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05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05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05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05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05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>
      <c r="A963" s="123">
        <v>38</v>
      </c>
      <c r="B963" s="805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05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05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05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05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05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05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05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05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05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05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05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05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0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0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0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05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05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05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05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05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05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05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0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05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05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0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0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0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0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05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05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05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0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0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05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05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05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05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05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05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05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>
      <c r="A1005" s="123">
        <v>43</v>
      </c>
      <c r="B1005" s="805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0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0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0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0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0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05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05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05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05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05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05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05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05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05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05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05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0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05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0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05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0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0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05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05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05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05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05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05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05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05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05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0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05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0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05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05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05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05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05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05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05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05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05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05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05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05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05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0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05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05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05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05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05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05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05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05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05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05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05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05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05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05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05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05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05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05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05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05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05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05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05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05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05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05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05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05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05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05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05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05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05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05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05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05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05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05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05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05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05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05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05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05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05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05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05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05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05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05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05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05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05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05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05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05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05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05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05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05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05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05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05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>
      <c r="A1117" s="123">
        <v>50</v>
      </c>
      <c r="B1117" s="805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05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05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05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05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05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05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05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05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05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05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05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05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05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05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05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05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05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05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05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05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05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05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05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05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05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05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05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05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05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05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05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05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05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05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05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05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05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05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05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05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05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05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05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05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05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05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05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05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05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05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05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05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05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05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05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05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05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05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05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>
      <c r="A1177" s="123">
        <v>53</v>
      </c>
      <c r="B1177" s="805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05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>
      <c r="A1179" s="123">
        <v>53</v>
      </c>
      <c r="B1179" s="805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>
      <c r="A1180" s="123">
        <v>53</v>
      </c>
      <c r="B1180" s="805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>
      <c r="A1181" s="123">
        <v>53</v>
      </c>
      <c r="B1181" s="805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>
      <c r="A1182" s="123">
        <v>53</v>
      </c>
      <c r="B1182" s="805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>
      <c r="A1183" s="123">
        <v>53</v>
      </c>
      <c r="B1183" s="805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05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05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>
      <c r="A1186" s="123">
        <v>1</v>
      </c>
      <c r="B1186" s="805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05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>
      <c r="A1188" s="123">
        <v>1</v>
      </c>
      <c r="B1188" s="805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>
      <c r="A1189" s="123">
        <v>2</v>
      </c>
      <c r="B1189" s="80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>
      <c r="A1190" s="123">
        <v>2</v>
      </c>
      <c r="B1190" s="80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80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80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80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>
      <c r="A1194" s="123">
        <v>2</v>
      </c>
      <c r="B1194" s="80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>
      <c r="A1195" s="123">
        <v>2</v>
      </c>
      <c r="B1195" s="80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>
      <c r="A1196" s="123">
        <v>2</v>
      </c>
      <c r="B1196" s="80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>
      <c r="A1197" s="123">
        <v>2</v>
      </c>
      <c r="B1197" s="80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>
      <c r="A1198" s="123">
        <v>2</v>
      </c>
      <c r="B1198" s="80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>
      <c r="A1199" s="123">
        <v>2</v>
      </c>
      <c r="B1199" s="80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>
      <c r="A1200" s="123">
        <v>2</v>
      </c>
      <c r="B1200" s="80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>
      <c r="A1201" s="123">
        <v>2</v>
      </c>
      <c r="B1201" s="80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>
      <c r="A1202" s="123">
        <v>2</v>
      </c>
      <c r="B1202" s="80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>
      <c r="A1203" s="123">
        <v>2</v>
      </c>
      <c r="B1203" s="803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80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>
      <c r="A1205" s="123">
        <v>2</v>
      </c>
      <c r="B1205" s="80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>
      <c r="A1206" s="123">
        <v>2</v>
      </c>
      <c r="B1206" s="80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>
      <c r="A1207" s="123">
        <v>2</v>
      </c>
      <c r="B1207" s="80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>
      <c r="A1208" s="123">
        <v>2</v>
      </c>
      <c r="B1208" s="803"/>
      <c r="C1208" s="948" t="s">
        <v>5007</v>
      </c>
      <c r="D1208" s="946" t="s">
        <v>311</v>
      </c>
      <c r="E1208" s="946" t="s">
        <v>675</v>
      </c>
      <c r="F1208" s="948" t="s">
        <v>337</v>
      </c>
      <c r="G1208" s="948" t="s">
        <v>353</v>
      </c>
      <c r="H1208" s="948" t="s">
        <v>5008</v>
      </c>
      <c r="I1208" s="486" t="s">
        <v>5009</v>
      </c>
      <c r="J1208" s="948" t="s">
        <v>638</v>
      </c>
      <c r="K1208" s="948" t="s">
        <v>713</v>
      </c>
      <c r="L1208" s="946" t="s">
        <v>309</v>
      </c>
      <c r="M1208" s="947">
        <v>250000</v>
      </c>
      <c r="N1208" s="946" t="s">
        <v>4990</v>
      </c>
    </row>
    <row r="1209" spans="1:14">
      <c r="A1209" s="123">
        <v>2</v>
      </c>
      <c r="B1209" s="803"/>
      <c r="C1209" s="948"/>
      <c r="D1209" s="946"/>
      <c r="E1209" s="946"/>
      <c r="F1209" s="948"/>
      <c r="G1209" s="948"/>
      <c r="H1209" s="948"/>
      <c r="I1209" s="486" t="s">
        <v>5010</v>
      </c>
      <c r="J1209" s="948"/>
      <c r="K1209" s="948"/>
      <c r="L1209" s="946"/>
      <c r="M1209" s="947"/>
      <c r="N1209" s="946"/>
    </row>
    <row r="1210" spans="1:14">
      <c r="A1210" s="123">
        <v>2</v>
      </c>
      <c r="B1210" s="80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>
      <c r="A1211" s="123">
        <v>3</v>
      </c>
      <c r="B1211" s="80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>
      <c r="A1212" s="123">
        <v>3</v>
      </c>
      <c r="B1212" s="80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80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80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80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>
      <c r="A1216" s="123">
        <v>3</v>
      </c>
      <c r="B1216" s="80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>
      <c r="A1217" s="123">
        <v>3</v>
      </c>
      <c r="B1217" s="80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>
      <c r="A1218" s="123">
        <v>3</v>
      </c>
      <c r="B1218" s="803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>
      <c r="A1219" s="123">
        <v>3</v>
      </c>
      <c r="B1219" s="80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>
      <c r="A1220" s="123">
        <v>3</v>
      </c>
      <c r="B1220" s="80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>
      <c r="A1221" s="123">
        <v>3</v>
      </c>
      <c r="B1221" s="803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>
      <c r="A1222" s="123">
        <v>3</v>
      </c>
      <c r="B1222" s="803"/>
      <c r="C1222" s="948" t="s">
        <v>5033</v>
      </c>
      <c r="D1222" s="946" t="s">
        <v>311</v>
      </c>
      <c r="E1222" s="946" t="s">
        <v>675</v>
      </c>
      <c r="F1222" s="149" t="s">
        <v>5034</v>
      </c>
      <c r="G1222" s="149" t="s">
        <v>5036</v>
      </c>
      <c r="H1222" s="948" t="s">
        <v>347</v>
      </c>
      <c r="I1222" s="149" t="s">
        <v>5038</v>
      </c>
      <c r="J1222" s="948"/>
      <c r="K1222" s="948" t="s">
        <v>705</v>
      </c>
      <c r="L1222" s="946" t="s">
        <v>309</v>
      </c>
      <c r="M1222" s="947">
        <v>500000</v>
      </c>
      <c r="N1222" s="946" t="s">
        <v>5032</v>
      </c>
    </row>
    <row r="1223" spans="1:14">
      <c r="A1223" s="123">
        <v>3</v>
      </c>
      <c r="B1223" s="803"/>
      <c r="C1223" s="948"/>
      <c r="D1223" s="946"/>
      <c r="E1223" s="946"/>
      <c r="F1223" s="149" t="s">
        <v>5035</v>
      </c>
      <c r="G1223" s="149" t="s">
        <v>5037</v>
      </c>
      <c r="H1223" s="948"/>
      <c r="I1223" s="149" t="s">
        <v>5039</v>
      </c>
      <c r="J1223" s="948"/>
      <c r="K1223" s="948"/>
      <c r="L1223" s="946"/>
      <c r="M1223" s="947"/>
      <c r="N1223" s="946"/>
    </row>
    <row r="1224" spans="1:14">
      <c r="A1224" s="123">
        <v>3</v>
      </c>
      <c r="B1224" s="80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>
      <c r="A1225" s="123">
        <v>3</v>
      </c>
      <c r="B1225" s="80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>
      <c r="A1226" s="123">
        <v>3</v>
      </c>
      <c r="B1226" s="80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>
      <c r="A1227" s="123">
        <v>3</v>
      </c>
      <c r="B1227" s="80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>
      <c r="A1228" s="123">
        <v>3</v>
      </c>
      <c r="B1228" s="80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>
      <c r="A1229" s="123">
        <v>4</v>
      </c>
      <c r="B1229" s="80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80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80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80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>
      <c r="A1233" s="123">
        <v>4</v>
      </c>
      <c r="B1233" s="80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>
      <c r="A1234" s="123">
        <v>4</v>
      </c>
      <c r="B1234" s="80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>
      <c r="A1235" s="123">
        <v>4</v>
      </c>
      <c r="B1235" s="80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>
      <c r="A1236" s="123">
        <v>4</v>
      </c>
      <c r="B1236" s="80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>
      <c r="A1237" s="123">
        <v>4</v>
      </c>
      <c r="B1237" s="80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>
      <c r="A1238" s="123">
        <v>4</v>
      </c>
      <c r="B1238" s="80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>
      <c r="A1239" s="123">
        <v>4</v>
      </c>
      <c r="B1239" s="80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>
      <c r="A1240" s="123">
        <v>4</v>
      </c>
      <c r="B1240" s="80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>
      <c r="A1241" s="123">
        <v>4</v>
      </c>
      <c r="B1241" s="80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>
      <c r="A1242" s="123">
        <v>4</v>
      </c>
      <c r="B1242" s="80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>
      <c r="A1243" s="123">
        <v>5</v>
      </c>
      <c r="B1243" s="80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80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80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80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>
      <c r="A1247" s="123">
        <v>5</v>
      </c>
      <c r="B1247" s="80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>
      <c r="A1248" s="123">
        <v>5</v>
      </c>
      <c r="B1248" s="80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>
      <c r="A1249" s="123">
        <v>5</v>
      </c>
      <c r="B1249" s="80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>
      <c r="A1250" s="123">
        <v>5</v>
      </c>
      <c r="B1250" s="803"/>
      <c r="C1250" s="948" t="s">
        <v>5098</v>
      </c>
      <c r="D1250" s="946" t="s">
        <v>311</v>
      </c>
      <c r="E1250" s="946" t="s">
        <v>675</v>
      </c>
      <c r="F1250" s="946" t="s">
        <v>4986</v>
      </c>
      <c r="G1250" s="946">
        <v>1017</v>
      </c>
      <c r="H1250" s="946" t="s">
        <v>347</v>
      </c>
      <c r="I1250" s="149" t="s">
        <v>5099</v>
      </c>
      <c r="J1250" s="948"/>
      <c r="K1250" s="948" t="s">
        <v>692</v>
      </c>
      <c r="L1250" s="946" t="s">
        <v>309</v>
      </c>
      <c r="M1250" s="947">
        <v>500000</v>
      </c>
      <c r="N1250" s="946" t="s">
        <v>5032</v>
      </c>
    </row>
    <row r="1251" spans="1:14">
      <c r="A1251" s="123">
        <v>5</v>
      </c>
      <c r="B1251" s="803"/>
      <c r="C1251" s="948"/>
      <c r="D1251" s="946"/>
      <c r="E1251" s="946"/>
      <c r="F1251" s="946"/>
      <c r="G1251" s="946"/>
      <c r="H1251" s="946"/>
      <c r="I1251" s="149" t="s">
        <v>5100</v>
      </c>
      <c r="J1251" s="948"/>
      <c r="K1251" s="948"/>
      <c r="L1251" s="946"/>
      <c r="M1251" s="947"/>
      <c r="N1251" s="946"/>
    </row>
    <row r="1252" spans="1:14">
      <c r="A1252" s="123">
        <v>5</v>
      </c>
      <c r="B1252" s="80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>
      <c r="A1253" s="123">
        <v>5</v>
      </c>
      <c r="B1253" s="80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>
      <c r="A1254" s="123">
        <v>5</v>
      </c>
      <c r="B1254" s="803"/>
      <c r="C1254" s="948" t="s">
        <v>5103</v>
      </c>
      <c r="D1254" s="946" t="s">
        <v>311</v>
      </c>
      <c r="E1254" s="946" t="s">
        <v>675</v>
      </c>
      <c r="F1254" s="948" t="s">
        <v>5070</v>
      </c>
      <c r="G1254" s="948">
        <v>3006</v>
      </c>
      <c r="H1254" s="948" t="s">
        <v>347</v>
      </c>
      <c r="I1254" s="486" t="s">
        <v>5104</v>
      </c>
      <c r="J1254" s="948"/>
      <c r="K1254" s="948" t="s">
        <v>705</v>
      </c>
      <c r="L1254" s="946" t="s">
        <v>309</v>
      </c>
      <c r="M1254" s="947">
        <v>500000</v>
      </c>
      <c r="N1254" s="946" t="s">
        <v>5032</v>
      </c>
    </row>
    <row r="1255" spans="1:14">
      <c r="A1255" s="123">
        <v>5</v>
      </c>
      <c r="B1255" s="803"/>
      <c r="C1255" s="948"/>
      <c r="D1255" s="946"/>
      <c r="E1255" s="946"/>
      <c r="F1255" s="948"/>
      <c r="G1255" s="948"/>
      <c r="H1255" s="948"/>
      <c r="I1255" s="486" t="s">
        <v>5105</v>
      </c>
      <c r="J1255" s="948"/>
      <c r="K1255" s="948"/>
      <c r="L1255" s="946"/>
      <c r="M1255" s="947"/>
      <c r="N1255" s="946"/>
    </row>
    <row r="1256" spans="1:14">
      <c r="A1256" s="123">
        <v>5</v>
      </c>
      <c r="B1256" s="803"/>
      <c r="C1256" s="948" t="s">
        <v>5103</v>
      </c>
      <c r="D1256" s="946" t="s">
        <v>311</v>
      </c>
      <c r="E1256" s="946" t="s">
        <v>675</v>
      </c>
      <c r="F1256" s="948" t="s">
        <v>5070</v>
      </c>
      <c r="G1256" s="948">
        <v>3006</v>
      </c>
      <c r="H1256" s="948" t="s">
        <v>347</v>
      </c>
      <c r="I1256" s="486" t="s">
        <v>5104</v>
      </c>
      <c r="J1256" s="948"/>
      <c r="K1256" s="948" t="s">
        <v>4936</v>
      </c>
      <c r="L1256" s="946" t="s">
        <v>309</v>
      </c>
      <c r="M1256" s="947">
        <v>600000</v>
      </c>
      <c r="N1256" s="946" t="s">
        <v>5032</v>
      </c>
    </row>
    <row r="1257" spans="1:14">
      <c r="A1257" s="123">
        <v>5</v>
      </c>
      <c r="B1257" s="803"/>
      <c r="C1257" s="948"/>
      <c r="D1257" s="946"/>
      <c r="E1257" s="946"/>
      <c r="F1257" s="948"/>
      <c r="G1257" s="948"/>
      <c r="H1257" s="948"/>
      <c r="I1257" s="486" t="s">
        <v>5105</v>
      </c>
      <c r="J1257" s="948"/>
      <c r="K1257" s="948"/>
      <c r="L1257" s="946"/>
      <c r="M1257" s="947"/>
      <c r="N1257" s="946"/>
    </row>
    <row r="1258" spans="1:14">
      <c r="A1258" s="123">
        <v>5</v>
      </c>
      <c r="B1258" s="80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80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80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80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80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>
      <c r="A1263" s="123">
        <v>6</v>
      </c>
      <c r="B1263" s="80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>
      <c r="A1264" s="123">
        <v>6</v>
      </c>
      <c r="B1264" s="80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>
      <c r="A1265" s="123">
        <v>6</v>
      </c>
      <c r="B1265" s="80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>
      <c r="A1266" s="123">
        <v>6</v>
      </c>
      <c r="B1266" s="80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>
      <c r="A1267" s="123">
        <v>6</v>
      </c>
      <c r="B1267" s="80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>
      <c r="A1268" s="123">
        <v>6</v>
      </c>
      <c r="B1268" s="803"/>
      <c r="C1268" s="948" t="s">
        <v>5122</v>
      </c>
      <c r="D1268" s="946" t="s">
        <v>311</v>
      </c>
      <c r="E1268" s="946" t="s">
        <v>675</v>
      </c>
      <c r="F1268" s="149" t="s">
        <v>5123</v>
      </c>
      <c r="G1268" s="485" t="s">
        <v>5125</v>
      </c>
      <c r="H1268" s="391" t="s">
        <v>347</v>
      </c>
      <c r="I1268" s="948" t="s">
        <v>5128</v>
      </c>
      <c r="J1268" s="948" t="s">
        <v>638</v>
      </c>
      <c r="K1268" s="948" t="s">
        <v>692</v>
      </c>
      <c r="L1268" s="946" t="s">
        <v>309</v>
      </c>
      <c r="M1268" s="947">
        <v>500000</v>
      </c>
      <c r="N1268" s="946" t="s">
        <v>1772</v>
      </c>
    </row>
    <row r="1269" spans="1:14">
      <c r="A1269" s="123">
        <v>6</v>
      </c>
      <c r="B1269" s="803"/>
      <c r="C1269" s="948"/>
      <c r="D1269" s="946"/>
      <c r="E1269" s="946"/>
      <c r="F1269" s="149" t="s">
        <v>5124</v>
      </c>
      <c r="G1269" s="485" t="s">
        <v>5126</v>
      </c>
      <c r="H1269" s="391" t="s">
        <v>5127</v>
      </c>
      <c r="I1269" s="948"/>
      <c r="J1269" s="948"/>
      <c r="K1269" s="948"/>
      <c r="L1269" s="946"/>
      <c r="M1269" s="947"/>
      <c r="N1269" s="946"/>
    </row>
    <row r="1270" spans="1:14" ht="24">
      <c r="A1270" s="123">
        <v>6</v>
      </c>
      <c r="B1270" s="803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>
      <c r="A1271" s="123">
        <v>6</v>
      </c>
      <c r="B1271" s="803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>
      <c r="A1272" s="123">
        <v>7</v>
      </c>
      <c r="B1272" s="80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80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80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>
      <c r="A1275" s="123">
        <v>7</v>
      </c>
      <c r="B1275" s="80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>
      <c r="A1276" s="123">
        <v>7</v>
      </c>
      <c r="B1276" s="80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>
      <c r="A1277" s="123">
        <v>7</v>
      </c>
      <c r="B1277" s="80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>
      <c r="A1278" s="123">
        <v>7</v>
      </c>
      <c r="B1278" s="80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>
      <c r="A1279" s="123">
        <v>7</v>
      </c>
      <c r="B1279" s="80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>
      <c r="A1280" s="123">
        <v>7</v>
      </c>
      <c r="B1280" s="80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803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>
      <c r="A1282" s="123">
        <v>8</v>
      </c>
      <c r="B1282" s="80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803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803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>
      <c r="A1285" s="123">
        <v>8</v>
      </c>
      <c r="B1285" s="80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>
      <c r="A1286" s="123">
        <v>8</v>
      </c>
      <c r="B1286" s="80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>
      <c r="A1287" s="123">
        <v>8</v>
      </c>
      <c r="B1287" s="80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>
      <c r="A1288" s="123">
        <v>8</v>
      </c>
      <c r="B1288" s="80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>
      <c r="A1289" s="123">
        <v>8</v>
      </c>
      <c r="B1289" s="803"/>
      <c r="C1289" s="949" t="s">
        <v>5158</v>
      </c>
      <c r="D1289" s="950" t="s">
        <v>311</v>
      </c>
      <c r="E1289" s="950" t="s">
        <v>675</v>
      </c>
      <c r="F1289" s="516" t="s">
        <v>5123</v>
      </c>
      <c r="G1289" s="517" t="s">
        <v>5125</v>
      </c>
      <c r="H1289" s="517" t="s">
        <v>347</v>
      </c>
      <c r="I1289" s="949" t="s">
        <v>5128</v>
      </c>
      <c r="J1289" s="949"/>
      <c r="K1289" s="949" t="s">
        <v>692</v>
      </c>
      <c r="L1289" s="950" t="s">
        <v>309</v>
      </c>
      <c r="M1289" s="951">
        <v>500000</v>
      </c>
      <c r="N1289" s="946" t="s">
        <v>5032</v>
      </c>
    </row>
    <row r="1290" spans="1:14" ht="19.5">
      <c r="A1290" s="123">
        <v>8</v>
      </c>
      <c r="B1290" s="803"/>
      <c r="C1290" s="948"/>
      <c r="D1290" s="946"/>
      <c r="E1290" s="946"/>
      <c r="F1290" s="149" t="s">
        <v>5124</v>
      </c>
      <c r="G1290" s="485" t="s">
        <v>5126</v>
      </c>
      <c r="H1290" s="487" t="s">
        <v>5127</v>
      </c>
      <c r="I1290" s="948"/>
      <c r="J1290" s="948"/>
      <c r="K1290" s="948"/>
      <c r="L1290" s="946"/>
      <c r="M1290" s="947"/>
      <c r="N1290" s="946"/>
    </row>
    <row r="1291" spans="1:14">
      <c r="A1291" s="123">
        <v>8</v>
      </c>
      <c r="B1291" s="803"/>
      <c r="C1291" s="949" t="s">
        <v>5159</v>
      </c>
      <c r="D1291" s="950" t="s">
        <v>311</v>
      </c>
      <c r="E1291" s="950" t="s">
        <v>320</v>
      </c>
      <c r="F1291" s="952" t="s">
        <v>709</v>
      </c>
      <c r="G1291" s="949" t="s">
        <v>3098</v>
      </c>
      <c r="H1291" s="949" t="s">
        <v>3099</v>
      </c>
      <c r="I1291" s="516" t="s">
        <v>5312</v>
      </c>
      <c r="J1291" s="949" t="s">
        <v>638</v>
      </c>
      <c r="K1291" s="949" t="s">
        <v>713</v>
      </c>
      <c r="L1291" s="950" t="s">
        <v>309</v>
      </c>
      <c r="M1291" s="951">
        <v>250000</v>
      </c>
      <c r="N1291" s="946" t="s">
        <v>5032</v>
      </c>
    </row>
    <row r="1292" spans="1:14">
      <c r="A1292" s="123">
        <v>8</v>
      </c>
      <c r="B1292" s="803"/>
      <c r="C1292" s="948"/>
      <c r="D1292" s="946"/>
      <c r="E1292" s="946"/>
      <c r="F1292" s="953"/>
      <c r="G1292" s="948"/>
      <c r="H1292" s="948"/>
      <c r="I1292" s="149" t="s">
        <v>5160</v>
      </c>
      <c r="J1292" s="948"/>
      <c r="K1292" s="948"/>
      <c r="L1292" s="946"/>
      <c r="M1292" s="947"/>
      <c r="N1292" s="946"/>
    </row>
    <row r="1293" spans="1:14">
      <c r="A1293" s="123">
        <v>8</v>
      </c>
      <c r="B1293" s="803"/>
      <c r="C1293" s="949" t="s">
        <v>5161</v>
      </c>
      <c r="D1293" s="950" t="s">
        <v>311</v>
      </c>
      <c r="E1293" s="950" t="s">
        <v>320</v>
      </c>
      <c r="F1293" s="949" t="s">
        <v>337</v>
      </c>
      <c r="G1293" s="949" t="s">
        <v>3168</v>
      </c>
      <c r="H1293" s="949" t="s">
        <v>3057</v>
      </c>
      <c r="I1293" s="516" t="s">
        <v>5313</v>
      </c>
      <c r="J1293" s="949" t="s">
        <v>638</v>
      </c>
      <c r="K1293" s="949" t="s">
        <v>692</v>
      </c>
      <c r="L1293" s="950" t="s">
        <v>309</v>
      </c>
      <c r="M1293" s="951">
        <v>500000</v>
      </c>
      <c r="N1293" s="946" t="s">
        <v>1206</v>
      </c>
    </row>
    <row r="1294" spans="1:14">
      <c r="A1294" s="123">
        <v>8</v>
      </c>
      <c r="B1294" s="803"/>
      <c r="C1294" s="948"/>
      <c r="D1294" s="946"/>
      <c r="E1294" s="946"/>
      <c r="F1294" s="948"/>
      <c r="G1294" s="948"/>
      <c r="H1294" s="948"/>
      <c r="I1294" s="149" t="s">
        <v>5162</v>
      </c>
      <c r="J1294" s="948"/>
      <c r="K1294" s="948"/>
      <c r="L1294" s="946"/>
      <c r="M1294" s="947"/>
      <c r="N1294" s="946"/>
    </row>
    <row r="1295" spans="1:14">
      <c r="A1295" s="123">
        <v>9</v>
      </c>
      <c r="B1295" s="80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>
      <c r="A1296" s="123">
        <v>9</v>
      </c>
      <c r="B1296" s="80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>
      <c r="A1297" s="123">
        <v>9</v>
      </c>
      <c r="B1297" s="803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>
      <c r="A1298" s="123">
        <v>9</v>
      </c>
      <c r="B1298" s="803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803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803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803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>
      <c r="A1302" s="123">
        <v>9</v>
      </c>
      <c r="B1302" s="803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>
      <c r="A1303" s="123">
        <v>9</v>
      </c>
      <c r="B1303" s="80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>
      <c r="A1304" s="123">
        <v>9</v>
      </c>
      <c r="B1304" s="803"/>
      <c r="C1304" s="949" t="s">
        <v>5175</v>
      </c>
      <c r="D1304" s="950" t="s">
        <v>311</v>
      </c>
      <c r="E1304" s="950" t="s">
        <v>320</v>
      </c>
      <c r="F1304" s="949" t="s">
        <v>337</v>
      </c>
      <c r="G1304" s="949" t="s">
        <v>3168</v>
      </c>
      <c r="H1304" s="949" t="s">
        <v>3057</v>
      </c>
      <c r="I1304" s="520" t="s">
        <v>5176</v>
      </c>
      <c r="J1304" s="949" t="s">
        <v>638</v>
      </c>
      <c r="K1304" s="949" t="s">
        <v>713</v>
      </c>
      <c r="L1304" s="950" t="s">
        <v>309</v>
      </c>
      <c r="M1304" s="951">
        <v>250000</v>
      </c>
      <c r="N1304" s="946" t="s">
        <v>5032</v>
      </c>
    </row>
    <row r="1305" spans="1:14">
      <c r="A1305" s="123">
        <v>9</v>
      </c>
      <c r="B1305" s="803"/>
      <c r="C1305" s="948"/>
      <c r="D1305" s="946"/>
      <c r="E1305" s="946"/>
      <c r="F1305" s="948"/>
      <c r="G1305" s="948"/>
      <c r="H1305" s="948"/>
      <c r="I1305" s="486" t="s">
        <v>5177</v>
      </c>
      <c r="J1305" s="948"/>
      <c r="K1305" s="948"/>
      <c r="L1305" s="946"/>
      <c r="M1305" s="947"/>
      <c r="N1305" s="946"/>
    </row>
    <row r="1306" spans="1:14">
      <c r="A1306" s="123">
        <v>9</v>
      </c>
      <c r="B1306" s="803"/>
      <c r="C1306" s="949" t="s">
        <v>5175</v>
      </c>
      <c r="D1306" s="950" t="s">
        <v>311</v>
      </c>
      <c r="E1306" s="950" t="s">
        <v>320</v>
      </c>
      <c r="F1306" s="949" t="s">
        <v>5178</v>
      </c>
      <c r="G1306" s="516" t="s">
        <v>689</v>
      </c>
      <c r="H1306" s="949" t="s">
        <v>5180</v>
      </c>
      <c r="I1306" s="516" t="s">
        <v>5315</v>
      </c>
      <c r="J1306" s="949"/>
      <c r="K1306" s="949" t="s">
        <v>713</v>
      </c>
      <c r="L1306" s="950" t="s">
        <v>309</v>
      </c>
      <c r="M1306" s="951">
        <v>250000</v>
      </c>
      <c r="N1306" s="946" t="s">
        <v>5032</v>
      </c>
    </row>
    <row r="1307" spans="1:14">
      <c r="A1307" s="123">
        <v>9</v>
      </c>
      <c r="B1307" s="803"/>
      <c r="C1307" s="948"/>
      <c r="D1307" s="946"/>
      <c r="E1307" s="946"/>
      <c r="F1307" s="948"/>
      <c r="G1307" s="149" t="s">
        <v>5179</v>
      </c>
      <c r="H1307" s="948"/>
      <c r="I1307" s="149" t="s">
        <v>5181</v>
      </c>
      <c r="J1307" s="948"/>
      <c r="K1307" s="948"/>
      <c r="L1307" s="946"/>
      <c r="M1307" s="947"/>
      <c r="N1307" s="946"/>
    </row>
    <row r="1308" spans="1:14">
      <c r="A1308" s="123">
        <v>9</v>
      </c>
      <c r="B1308" s="80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>
      <c r="A1309" s="123">
        <v>9</v>
      </c>
      <c r="B1309" s="803"/>
      <c r="C1309" s="949" t="s">
        <v>5183</v>
      </c>
      <c r="D1309" s="950" t="s">
        <v>311</v>
      </c>
      <c r="E1309" s="950" t="s">
        <v>320</v>
      </c>
      <c r="F1309" s="949" t="s">
        <v>337</v>
      </c>
      <c r="G1309" s="516" t="s">
        <v>3401</v>
      </c>
      <c r="H1309" s="949" t="s">
        <v>5029</v>
      </c>
      <c r="I1309" s="949" t="s">
        <v>5316</v>
      </c>
      <c r="J1309" s="949"/>
      <c r="K1309" s="949" t="s">
        <v>692</v>
      </c>
      <c r="L1309" s="950" t="s">
        <v>309</v>
      </c>
      <c r="M1309" s="951">
        <v>500000</v>
      </c>
      <c r="N1309" s="946" t="s">
        <v>5032</v>
      </c>
    </row>
    <row r="1310" spans="1:14">
      <c r="A1310" s="123">
        <v>9</v>
      </c>
      <c r="B1310" s="803"/>
      <c r="C1310" s="948"/>
      <c r="D1310" s="946"/>
      <c r="E1310" s="946"/>
      <c r="F1310" s="948"/>
      <c r="G1310" s="149" t="s">
        <v>5184</v>
      </c>
      <c r="H1310" s="948"/>
      <c r="I1310" s="948"/>
      <c r="J1310" s="948"/>
      <c r="K1310" s="948"/>
      <c r="L1310" s="946"/>
      <c r="M1310" s="947"/>
      <c r="N1310" s="946"/>
    </row>
    <row r="1311" spans="1:14" ht="24">
      <c r="A1311" s="123">
        <v>9</v>
      </c>
      <c r="B1311" s="80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>
      <c r="A1312" s="123">
        <v>9</v>
      </c>
      <c r="B1312" s="803"/>
      <c r="C1312" s="949" t="s">
        <v>5187</v>
      </c>
      <c r="D1312" s="950" t="s">
        <v>311</v>
      </c>
      <c r="E1312" s="950" t="s">
        <v>675</v>
      </c>
      <c r="F1312" s="949" t="s">
        <v>5188</v>
      </c>
      <c r="G1312" s="517" t="s">
        <v>1919</v>
      </c>
      <c r="H1312" s="949" t="s">
        <v>347</v>
      </c>
      <c r="I1312" s="949" t="s">
        <v>5319</v>
      </c>
      <c r="J1312" s="949"/>
      <c r="K1312" s="949" t="s">
        <v>692</v>
      </c>
      <c r="L1312" s="950" t="s">
        <v>309</v>
      </c>
      <c r="M1312" s="954">
        <v>500000</v>
      </c>
      <c r="N1312" s="946" t="s">
        <v>1925</v>
      </c>
    </row>
    <row r="1313" spans="1:14">
      <c r="A1313" s="123">
        <v>9</v>
      </c>
      <c r="B1313" s="803"/>
      <c r="C1313" s="948"/>
      <c r="D1313" s="946"/>
      <c r="E1313" s="946"/>
      <c r="F1313" s="948"/>
      <c r="G1313" s="485" t="s">
        <v>5189</v>
      </c>
      <c r="H1313" s="948"/>
      <c r="I1313" s="948"/>
      <c r="J1313" s="948"/>
      <c r="K1313" s="948"/>
      <c r="L1313" s="946"/>
      <c r="M1313" s="955"/>
      <c r="N1313" s="946"/>
    </row>
    <row r="1314" spans="1:14">
      <c r="A1314" s="123">
        <v>10</v>
      </c>
      <c r="B1314" s="803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>
      <c r="A1315" s="123">
        <v>10</v>
      </c>
      <c r="B1315" s="803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803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803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>
      <c r="A1318" s="123">
        <v>10</v>
      </c>
      <c r="B1318" s="80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>
      <c r="A1319" s="123">
        <v>10</v>
      </c>
      <c r="B1319" s="803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>
      <c r="A1320" s="123">
        <v>10</v>
      </c>
      <c r="B1320" s="80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>
      <c r="A1321" s="123">
        <v>10</v>
      </c>
      <c r="B1321" s="803"/>
      <c r="C1321" s="948" t="s">
        <v>5201</v>
      </c>
      <c r="D1321" s="946" t="s">
        <v>311</v>
      </c>
      <c r="E1321" s="946" t="s">
        <v>320</v>
      </c>
      <c r="F1321" s="948" t="s">
        <v>337</v>
      </c>
      <c r="G1321" s="948" t="s">
        <v>3168</v>
      </c>
      <c r="H1321" s="948" t="s">
        <v>3057</v>
      </c>
      <c r="I1321" s="486" t="s">
        <v>5176</v>
      </c>
      <c r="J1321" s="948" t="s">
        <v>638</v>
      </c>
      <c r="K1321" s="948" t="s">
        <v>705</v>
      </c>
      <c r="L1321" s="946" t="s">
        <v>309</v>
      </c>
      <c r="M1321" s="947">
        <v>500000</v>
      </c>
      <c r="N1321" s="946" t="s">
        <v>1206</v>
      </c>
    </row>
    <row r="1322" spans="1:14">
      <c r="A1322" s="123">
        <v>10</v>
      </c>
      <c r="B1322" s="803"/>
      <c r="C1322" s="948"/>
      <c r="D1322" s="946"/>
      <c r="E1322" s="946"/>
      <c r="F1322" s="948"/>
      <c r="G1322" s="948"/>
      <c r="H1322" s="948"/>
      <c r="I1322" s="486" t="s">
        <v>5177</v>
      </c>
      <c r="J1322" s="948"/>
      <c r="K1322" s="948"/>
      <c r="L1322" s="946"/>
      <c r="M1322" s="947"/>
      <c r="N1322" s="946"/>
    </row>
    <row r="1323" spans="1:14">
      <c r="A1323" s="123">
        <v>10</v>
      </c>
      <c r="B1323" s="80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>
      <c r="A1324" s="123">
        <v>10</v>
      </c>
      <c r="B1324" s="803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>
      <c r="A1325" s="123">
        <v>10</v>
      </c>
      <c r="B1325" s="80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>
      <c r="A1326" s="123">
        <v>10</v>
      </c>
      <c r="B1326" s="803"/>
      <c r="C1326" s="948" t="s">
        <v>5202</v>
      </c>
      <c r="D1326" s="946" t="s">
        <v>311</v>
      </c>
      <c r="E1326" s="946" t="s">
        <v>320</v>
      </c>
      <c r="F1326" s="948" t="s">
        <v>337</v>
      </c>
      <c r="G1326" s="948" t="s">
        <v>3168</v>
      </c>
      <c r="H1326" s="948" t="s">
        <v>3057</v>
      </c>
      <c r="I1326" s="486" t="s">
        <v>5176</v>
      </c>
      <c r="J1326" s="948"/>
      <c r="K1326" s="948" t="s">
        <v>705</v>
      </c>
      <c r="L1326" s="946" t="s">
        <v>309</v>
      </c>
      <c r="M1326" s="947">
        <v>500000</v>
      </c>
      <c r="N1326" s="946" t="s">
        <v>1206</v>
      </c>
    </row>
    <row r="1327" spans="1:14">
      <c r="A1327" s="123">
        <v>10</v>
      </c>
      <c r="B1327" s="803"/>
      <c r="C1327" s="948"/>
      <c r="D1327" s="946"/>
      <c r="E1327" s="946"/>
      <c r="F1327" s="948"/>
      <c r="G1327" s="948"/>
      <c r="H1327" s="948"/>
      <c r="I1327" s="486" t="s">
        <v>5177</v>
      </c>
      <c r="J1327" s="948"/>
      <c r="K1327" s="948"/>
      <c r="L1327" s="946"/>
      <c r="M1327" s="947"/>
      <c r="N1327" s="946"/>
    </row>
    <row r="1328" spans="1:14" ht="25.5">
      <c r="A1328" s="123">
        <v>10</v>
      </c>
      <c r="B1328" s="80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>
      <c r="A1329" s="123">
        <v>10</v>
      </c>
      <c r="B1329" s="803"/>
      <c r="C1329" s="949" t="s">
        <v>5209</v>
      </c>
      <c r="D1329" s="950" t="s">
        <v>311</v>
      </c>
      <c r="E1329" s="950" t="s">
        <v>675</v>
      </c>
      <c r="F1329" s="516" t="s">
        <v>5210</v>
      </c>
      <c r="G1329" s="949" t="s">
        <v>5212</v>
      </c>
      <c r="H1329" s="949" t="s">
        <v>662</v>
      </c>
      <c r="I1329" s="949" t="s">
        <v>5321</v>
      </c>
      <c r="J1329" s="949" t="s">
        <v>638</v>
      </c>
      <c r="K1329" s="949" t="s">
        <v>713</v>
      </c>
      <c r="L1329" s="950" t="s">
        <v>309</v>
      </c>
      <c r="M1329" s="951">
        <v>250000</v>
      </c>
      <c r="N1329" s="946" t="s">
        <v>5032</v>
      </c>
    </row>
    <row r="1330" spans="1:14">
      <c r="A1330" s="123">
        <v>10</v>
      </c>
      <c r="B1330" s="803"/>
      <c r="C1330" s="948"/>
      <c r="D1330" s="946"/>
      <c r="E1330" s="946"/>
      <c r="F1330" s="149" t="s">
        <v>5211</v>
      </c>
      <c r="G1330" s="948"/>
      <c r="H1330" s="948"/>
      <c r="I1330" s="948"/>
      <c r="J1330" s="948"/>
      <c r="K1330" s="948"/>
      <c r="L1330" s="946"/>
      <c r="M1330" s="947"/>
      <c r="N1330" s="946"/>
    </row>
    <row r="1331" spans="1:14">
      <c r="A1331" s="123">
        <v>10</v>
      </c>
      <c r="B1331" s="803"/>
      <c r="C1331" s="949" t="s">
        <v>5213</v>
      </c>
      <c r="D1331" s="950" t="s">
        <v>311</v>
      </c>
      <c r="E1331" s="950" t="s">
        <v>675</v>
      </c>
      <c r="F1331" s="949" t="s">
        <v>5214</v>
      </c>
      <c r="G1331" s="517" t="s">
        <v>5126</v>
      </c>
      <c r="H1331" s="971" t="s">
        <v>347</v>
      </c>
      <c r="I1331" s="516" t="s">
        <v>5322</v>
      </c>
      <c r="J1331" s="949"/>
      <c r="K1331" s="949" t="s">
        <v>692</v>
      </c>
      <c r="L1331" s="950" t="s">
        <v>309</v>
      </c>
      <c r="M1331" s="951">
        <v>500000</v>
      </c>
      <c r="N1331" s="946" t="s">
        <v>5032</v>
      </c>
    </row>
    <row r="1332" spans="1:14">
      <c r="A1332" s="123">
        <v>10</v>
      </c>
      <c r="B1332" s="803"/>
      <c r="C1332" s="948"/>
      <c r="D1332" s="946"/>
      <c r="E1332" s="946"/>
      <c r="F1332" s="948"/>
      <c r="G1332" s="485" t="s">
        <v>5215</v>
      </c>
      <c r="H1332" s="972"/>
      <c r="I1332" s="149" t="s">
        <v>5217</v>
      </c>
      <c r="J1332" s="948"/>
      <c r="K1332" s="948"/>
      <c r="L1332" s="946"/>
      <c r="M1332" s="947"/>
      <c r="N1332" s="946"/>
    </row>
    <row r="1333" spans="1:14">
      <c r="A1333" s="123">
        <v>11</v>
      </c>
      <c r="B1333" s="803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>
      <c r="A1334" s="123">
        <v>11</v>
      </c>
      <c r="B1334" s="803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803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803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803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>
      <c r="A1338" s="123">
        <v>11</v>
      </c>
      <c r="B1338" s="803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>
      <c r="A1339" s="123">
        <v>11</v>
      </c>
      <c r="B1339" s="803" t="s">
        <v>5163</v>
      </c>
      <c r="C1339" s="971" t="s">
        <v>5218</v>
      </c>
      <c r="D1339" s="973" t="s">
        <v>311</v>
      </c>
      <c r="E1339" s="973" t="s">
        <v>675</v>
      </c>
      <c r="F1339" s="971" t="s">
        <v>5214</v>
      </c>
      <c r="G1339" s="520" t="s">
        <v>5126</v>
      </c>
      <c r="H1339" s="971" t="s">
        <v>347</v>
      </c>
      <c r="I1339" s="520" t="s">
        <v>5216</v>
      </c>
      <c r="J1339" s="971"/>
      <c r="K1339" s="971" t="s">
        <v>692</v>
      </c>
      <c r="L1339" s="973" t="s">
        <v>309</v>
      </c>
      <c r="M1339" s="974">
        <v>500000</v>
      </c>
      <c r="N1339" s="972" t="s">
        <v>5225</v>
      </c>
    </row>
    <row r="1340" spans="1:14">
      <c r="A1340" s="123">
        <v>11</v>
      </c>
      <c r="B1340" s="803"/>
      <c r="C1340" s="972"/>
      <c r="D1340" s="969"/>
      <c r="E1340" s="969"/>
      <c r="F1340" s="972"/>
      <c r="G1340" s="486" t="s">
        <v>5215</v>
      </c>
      <c r="H1340" s="972"/>
      <c r="I1340" s="486" t="s">
        <v>5217</v>
      </c>
      <c r="J1340" s="972"/>
      <c r="K1340" s="972"/>
      <c r="L1340" s="969"/>
      <c r="M1340" s="975"/>
      <c r="N1340" s="972"/>
    </row>
    <row r="1341" spans="1:14">
      <c r="A1341" s="123">
        <v>11</v>
      </c>
      <c r="B1341" s="803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>
      <c r="A1342" s="123">
        <v>11</v>
      </c>
      <c r="B1342" s="803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>
      <c r="A1343" s="123">
        <v>11</v>
      </c>
      <c r="B1343" s="803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803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>
      <c r="A1345" s="123">
        <v>12</v>
      </c>
      <c r="B1345" s="803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>
      <c r="A1346" s="123">
        <v>12</v>
      </c>
      <c r="B1346" s="803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803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803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803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>
      <c r="A1350" s="123">
        <v>12</v>
      </c>
      <c r="B1350" s="803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>
      <c r="A1351" s="123">
        <v>12</v>
      </c>
      <c r="B1351" s="803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>
      <c r="A1352" s="123">
        <v>12</v>
      </c>
      <c r="B1352" s="803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>
      <c r="A1353" s="123">
        <v>12</v>
      </c>
      <c r="B1353" s="803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>
      <c r="A1354" s="123">
        <v>13</v>
      </c>
      <c r="B1354" s="803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>
      <c r="A1355" s="123">
        <v>13</v>
      </c>
      <c r="B1355" s="803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>
      <c r="A1356" s="123">
        <v>13</v>
      </c>
      <c r="B1356" s="803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>
      <c r="A1357" s="123">
        <v>13</v>
      </c>
      <c r="B1357" s="803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803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803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>
      <c r="A1360" s="123">
        <v>13</v>
      </c>
      <c r="B1360" s="803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>
      <c r="A1361" s="123">
        <v>13</v>
      </c>
      <c r="B1361" s="803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>
      <c r="A1362" s="123">
        <v>13</v>
      </c>
      <c r="B1362" s="803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>
      <c r="A1363" s="123">
        <v>13</v>
      </c>
      <c r="B1363" s="803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>
      <c r="A1364" s="123">
        <v>13</v>
      </c>
      <c r="B1364" s="803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>
      <c r="A1365" s="123">
        <v>13</v>
      </c>
      <c r="B1365" s="803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>
      <c r="A1366" s="123">
        <v>13</v>
      </c>
      <c r="B1366" s="803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>
      <c r="A1367" s="123">
        <v>13</v>
      </c>
      <c r="B1367" s="803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>
      <c r="A1368" s="123">
        <v>13</v>
      </c>
      <c r="B1368" s="803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967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969" t="s">
        <v>5443</v>
      </c>
    </row>
    <row r="1370" spans="1:14">
      <c r="A1370" s="123">
        <v>14</v>
      </c>
      <c r="B1370" s="968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969"/>
    </row>
    <row r="1371" spans="1:14">
      <c r="A1371" s="123">
        <v>14</v>
      </c>
      <c r="B1371" s="968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968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>
      <c r="A1373" s="123">
        <v>14</v>
      </c>
      <c r="B1373" s="968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>
      <c r="A1374" s="123">
        <v>14</v>
      </c>
      <c r="B1374" s="968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968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>
      <c r="A1376" s="123">
        <v>14</v>
      </c>
      <c r="B1376" s="968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>
      <c r="A1377" s="123">
        <v>14</v>
      </c>
      <c r="B1377" s="970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>
      <c r="A1378" s="123">
        <v>14</v>
      </c>
      <c r="B1378" s="970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>
      <c r="A1379" s="123">
        <v>14</v>
      </c>
      <c r="B1379" s="970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>
      <c r="A1380" s="123">
        <v>14</v>
      </c>
      <c r="B1380" s="970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>
      <c r="A1381" s="123">
        <v>14</v>
      </c>
      <c r="B1381" s="970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>
      <c r="A1382" s="123">
        <v>14</v>
      </c>
      <c r="B1382" s="970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>
      <c r="A1383" s="123">
        <v>15</v>
      </c>
      <c r="B1383" s="805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05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>
      <c r="A1385" s="123">
        <v>15</v>
      </c>
      <c r="B1385" s="805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05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>
      <c r="A1387" s="123">
        <v>15</v>
      </c>
      <c r="B1387" s="805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05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>
      <c r="A1389" s="123">
        <v>15</v>
      </c>
      <c r="B1389" s="805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>
      <c r="A1390" s="123">
        <v>15</v>
      </c>
      <c r="B1390" s="805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>
      <c r="A1391" s="123">
        <v>15</v>
      </c>
      <c r="B1391" s="805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>
      <c r="A1392" s="123">
        <v>15</v>
      </c>
      <c r="B1392" s="805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>
      <c r="A1393" s="123">
        <v>15</v>
      </c>
      <c r="B1393" s="805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>
      <c r="A1394" s="123">
        <v>15</v>
      </c>
      <c r="B1394" s="805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>
      <c r="A1395" s="123">
        <v>15</v>
      </c>
      <c r="B1395" s="805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>
      <c r="A1396" s="123">
        <v>15</v>
      </c>
      <c r="B1396" s="805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>
      <c r="A1397" s="123">
        <v>15</v>
      </c>
      <c r="B1397" s="805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05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>
      <c r="A1399" s="123">
        <v>16</v>
      </c>
      <c r="B1399" s="805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05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05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>
      <c r="A1402" s="123">
        <v>16</v>
      </c>
      <c r="B1402" s="805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05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05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>
      <c r="A1405" s="616">
        <v>17</v>
      </c>
      <c r="B1405" s="803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803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803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803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>
      <c r="A1409" s="616">
        <v>17</v>
      </c>
      <c r="B1409" s="803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>
      <c r="A1410" s="616">
        <v>17</v>
      </c>
      <c r="B1410" s="800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>
      <c r="A1411" s="616">
        <v>17</v>
      </c>
      <c r="B1411" s="801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01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01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02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803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>
      <c r="A1416" s="616">
        <v>18</v>
      </c>
      <c r="B1416" s="803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803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803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>
      <c r="A1419" s="616">
        <v>18</v>
      </c>
      <c r="B1419" s="803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>
      <c r="A1420" s="616">
        <v>18</v>
      </c>
      <c r="B1420" s="803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>
      <c r="A1421" s="616">
        <v>18</v>
      </c>
      <c r="B1421" s="803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803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803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>
      <c r="A1424" s="616">
        <v>18</v>
      </c>
      <c r="B1424" s="803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804" t="s">
        <v>5770</v>
      </c>
      <c r="C1425" s="676" t="s">
        <v>5759</v>
      </c>
      <c r="D1425" s="673" t="s">
        <v>306</v>
      </c>
      <c r="E1425" s="673" t="s">
        <v>322</v>
      </c>
      <c r="F1425" s="676" t="s">
        <v>5400</v>
      </c>
      <c r="G1425" s="676" t="s">
        <v>5760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>
      <c r="A1426" s="616">
        <v>19</v>
      </c>
      <c r="B1426" s="804"/>
      <c r="C1426" s="676" t="s">
        <v>5761</v>
      </c>
      <c r="D1426" s="673" t="s">
        <v>306</v>
      </c>
      <c r="E1426" s="673" t="s">
        <v>322</v>
      </c>
      <c r="F1426" s="676" t="s">
        <v>5400</v>
      </c>
      <c r="G1426" s="713" t="s">
        <v>5771</v>
      </c>
      <c r="H1426" s="676" t="s">
        <v>1047</v>
      </c>
      <c r="I1426" s="692" t="s">
        <v>5762</v>
      </c>
      <c r="J1426" s="673" t="s">
        <v>1534</v>
      </c>
      <c r="K1426" s="673" t="s">
        <v>5763</v>
      </c>
      <c r="L1426" s="673"/>
      <c r="M1426" s="705">
        <v>1500000</v>
      </c>
      <c r="N1426" s="711"/>
    </row>
    <row r="1427" spans="1:14">
      <c r="A1427" s="616">
        <v>19</v>
      </c>
      <c r="B1427" s="804"/>
      <c r="C1427" s="676" t="s">
        <v>5764</v>
      </c>
      <c r="D1427" s="673" t="s">
        <v>306</v>
      </c>
      <c r="E1427" s="673" t="s">
        <v>322</v>
      </c>
      <c r="F1427" s="676" t="s">
        <v>5400</v>
      </c>
      <c r="G1427" s="676" t="s">
        <v>5760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>
      <c r="A1428" s="616">
        <v>19</v>
      </c>
      <c r="B1428" s="804"/>
      <c r="C1428" s="676" t="s">
        <v>5765</v>
      </c>
      <c r="D1428" s="673" t="s">
        <v>306</v>
      </c>
      <c r="E1428" s="673" t="s">
        <v>322</v>
      </c>
      <c r="F1428" s="676" t="s">
        <v>5400</v>
      </c>
      <c r="G1428" s="676" t="s">
        <v>5766</v>
      </c>
      <c r="H1428" s="676" t="s">
        <v>5767</v>
      </c>
      <c r="I1428" s="692" t="s">
        <v>5768</v>
      </c>
      <c r="J1428" s="673" t="s">
        <v>664</v>
      </c>
      <c r="K1428" s="673" t="s">
        <v>5769</v>
      </c>
      <c r="L1428" s="673"/>
      <c r="M1428" s="705">
        <v>1000000</v>
      </c>
      <c r="N1428" s="676"/>
    </row>
    <row r="1429" spans="1:14" ht="22.5">
      <c r="A1429" s="616">
        <v>19</v>
      </c>
      <c r="B1429" s="804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>
      <c r="A1430" s="616">
        <v>19</v>
      </c>
      <c r="B1430" s="804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>
      <c r="A1431" s="616">
        <v>19</v>
      </c>
      <c r="B1431" s="804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>
      <c r="A1432" s="616">
        <v>19</v>
      </c>
      <c r="B1432" s="804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00" t="s">
        <v>5877</v>
      </c>
      <c r="C1433" s="677" t="s">
        <v>5858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5859</v>
      </c>
      <c r="J1433" s="673" t="s">
        <v>1534</v>
      </c>
      <c r="K1433" s="678" t="s">
        <v>5860</v>
      </c>
      <c r="L1433" s="678"/>
      <c r="M1433" s="718">
        <v>1500000</v>
      </c>
      <c r="N1433" s="711"/>
    </row>
    <row r="1434" spans="1:14">
      <c r="A1434" s="743">
        <v>20</v>
      </c>
      <c r="B1434" s="801"/>
      <c r="C1434" s="677" t="s">
        <v>5861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>
      <c r="A1435" s="743">
        <v>20</v>
      </c>
      <c r="B1435" s="801"/>
      <c r="C1435" s="677" t="s">
        <v>5862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5863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01"/>
      <c r="C1436" s="677" t="s">
        <v>5864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5865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>
      <c r="A1437" s="743">
        <v>20</v>
      </c>
      <c r="B1437" s="802"/>
      <c r="C1437" s="677" t="s">
        <v>5866</v>
      </c>
      <c r="D1437" s="666" t="s">
        <v>306</v>
      </c>
      <c r="E1437" s="666" t="s">
        <v>322</v>
      </c>
      <c r="F1437" s="677" t="s">
        <v>5400</v>
      </c>
      <c r="G1437" s="677" t="s">
        <v>5766</v>
      </c>
      <c r="H1437" s="677" t="s">
        <v>1047</v>
      </c>
      <c r="I1437" s="679" t="s">
        <v>5863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>
      <c r="A1438" s="743">
        <v>20</v>
      </c>
      <c r="B1438" s="800" t="s">
        <v>21</v>
      </c>
      <c r="C1438" s="677" t="s">
        <v>5867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5868</v>
      </c>
      <c r="J1438" s="677" t="s">
        <v>5869</v>
      </c>
      <c r="K1438" s="677" t="s">
        <v>713</v>
      </c>
      <c r="L1438" s="678" t="s">
        <v>309</v>
      </c>
      <c r="M1438" s="718">
        <v>250000</v>
      </c>
      <c r="N1438" s="673" t="s">
        <v>5870</v>
      </c>
    </row>
    <row r="1439" spans="1:14">
      <c r="A1439" s="743">
        <v>20</v>
      </c>
      <c r="B1439" s="801"/>
      <c r="C1439" s="795" t="s">
        <v>5861</v>
      </c>
      <c r="D1439" s="796" t="s">
        <v>311</v>
      </c>
      <c r="E1439" s="796" t="s">
        <v>320</v>
      </c>
      <c r="F1439" s="797" t="s">
        <v>5188</v>
      </c>
      <c r="G1439" s="692" t="s">
        <v>1919</v>
      </c>
      <c r="H1439" s="797" t="s">
        <v>347</v>
      </c>
      <c r="I1439" s="797" t="s">
        <v>5871</v>
      </c>
      <c r="J1439" s="797"/>
      <c r="K1439" s="797" t="s">
        <v>692</v>
      </c>
      <c r="L1439" s="796" t="s">
        <v>309</v>
      </c>
      <c r="M1439" s="798">
        <v>500000</v>
      </c>
      <c r="N1439" s="799"/>
    </row>
    <row r="1440" spans="1:14">
      <c r="A1440" s="743">
        <v>20</v>
      </c>
      <c r="B1440" s="801"/>
      <c r="C1440" s="795"/>
      <c r="D1440" s="796"/>
      <c r="E1440" s="796"/>
      <c r="F1440" s="797"/>
      <c r="G1440" s="692" t="s">
        <v>5189</v>
      </c>
      <c r="H1440" s="797"/>
      <c r="I1440" s="797"/>
      <c r="J1440" s="797"/>
      <c r="K1440" s="797"/>
      <c r="L1440" s="796"/>
      <c r="M1440" s="798"/>
      <c r="N1440" s="799"/>
    </row>
    <row r="1441" spans="1:14" ht="24">
      <c r="A1441" s="743">
        <v>20</v>
      </c>
      <c r="B1441" s="802"/>
      <c r="C1441" s="677" t="s">
        <v>5872</v>
      </c>
      <c r="D1441" s="678" t="s">
        <v>311</v>
      </c>
      <c r="E1441" s="678" t="s">
        <v>320</v>
      </c>
      <c r="F1441" s="677" t="s">
        <v>5873</v>
      </c>
      <c r="G1441" s="677">
        <v>124001</v>
      </c>
      <c r="H1441" s="677" t="s">
        <v>5874</v>
      </c>
      <c r="I1441" s="677" t="s">
        <v>5875</v>
      </c>
      <c r="J1441" s="677" t="s">
        <v>5876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792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5754</v>
      </c>
      <c r="H1442" s="664" t="s">
        <v>18</v>
      </c>
      <c r="I1442" s="723" t="s">
        <v>5777</v>
      </c>
      <c r="J1442" s="661"/>
      <c r="K1442" s="723" t="s">
        <v>5821</v>
      </c>
      <c r="L1442" s="678"/>
      <c r="M1442" s="718">
        <v>500000</v>
      </c>
      <c r="N1442" s="26"/>
    </row>
    <row r="1443" spans="1:14">
      <c r="A1443" s="743">
        <v>21</v>
      </c>
      <c r="B1443" s="792"/>
      <c r="C1443" s="672">
        <v>46165</v>
      </c>
      <c r="D1443" s="660" t="s">
        <v>19</v>
      </c>
      <c r="E1443" s="660" t="s">
        <v>25</v>
      </c>
      <c r="F1443" s="677" t="s">
        <v>5839</v>
      </c>
      <c r="G1443" s="677" t="s">
        <v>5840</v>
      </c>
      <c r="H1443" s="677" t="s">
        <v>5841</v>
      </c>
      <c r="I1443" s="679" t="s">
        <v>5842</v>
      </c>
      <c r="J1443" s="678"/>
      <c r="K1443" s="678" t="s">
        <v>5843</v>
      </c>
      <c r="L1443" s="678"/>
      <c r="M1443" s="718">
        <v>250000</v>
      </c>
      <c r="N1443" s="26"/>
    </row>
    <row r="1444" spans="1:14" ht="24">
      <c r="A1444" s="743">
        <v>21</v>
      </c>
      <c r="B1444" s="792"/>
      <c r="C1444" s="672" t="s">
        <v>5847</v>
      </c>
      <c r="D1444" s="660" t="s">
        <v>19</v>
      </c>
      <c r="E1444" s="660" t="s">
        <v>25</v>
      </c>
      <c r="F1444" s="677" t="s">
        <v>5839</v>
      </c>
      <c r="G1444" s="677" t="s">
        <v>5844</v>
      </c>
      <c r="H1444" s="677" t="s">
        <v>5845</v>
      </c>
      <c r="I1444" s="679" t="s">
        <v>5846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792"/>
      <c r="C1445" s="672" t="s">
        <v>5847</v>
      </c>
      <c r="D1445" s="660" t="s">
        <v>19</v>
      </c>
      <c r="E1445" s="660" t="s">
        <v>25</v>
      </c>
      <c r="F1445" s="677" t="s">
        <v>5839</v>
      </c>
      <c r="G1445" s="677" t="s">
        <v>5855</v>
      </c>
      <c r="H1445" s="677" t="s">
        <v>5856</v>
      </c>
      <c r="I1445" s="679" t="s">
        <v>5857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>
      <c r="A1446" s="743">
        <v>21</v>
      </c>
      <c r="B1446" s="792"/>
      <c r="C1446" s="672" t="s">
        <v>5852</v>
      </c>
      <c r="D1446" s="660" t="s">
        <v>19</v>
      </c>
      <c r="E1446" s="660" t="s">
        <v>25</v>
      </c>
      <c r="F1446" s="677" t="s">
        <v>5839</v>
      </c>
      <c r="G1446" s="661" t="s">
        <v>5848</v>
      </c>
      <c r="H1446" s="664" t="s">
        <v>5850</v>
      </c>
      <c r="I1446" s="723" t="s">
        <v>5854</v>
      </c>
      <c r="J1446" s="661"/>
      <c r="K1446" s="723" t="s">
        <v>5853</v>
      </c>
      <c r="L1446" s="678"/>
      <c r="M1446" s="718">
        <f t="shared" ref="M1446:M1447" si="11">250000*2</f>
        <v>500000</v>
      </c>
      <c r="N1446" s="26"/>
    </row>
    <row r="1447" spans="1:14">
      <c r="A1447" s="743">
        <v>21</v>
      </c>
      <c r="B1447" s="792"/>
      <c r="C1447" s="672">
        <v>46171</v>
      </c>
      <c r="D1447" s="660" t="s">
        <v>19</v>
      </c>
      <c r="E1447" s="660" t="s">
        <v>25</v>
      </c>
      <c r="F1447" s="677" t="s">
        <v>5839</v>
      </c>
      <c r="G1447" s="661" t="s">
        <v>5848</v>
      </c>
      <c r="H1447" s="677" t="s">
        <v>5849</v>
      </c>
      <c r="I1447" s="679" t="s">
        <v>5851</v>
      </c>
      <c r="J1447" s="678"/>
      <c r="K1447" s="723" t="s">
        <v>5853</v>
      </c>
      <c r="L1447" s="678"/>
      <c r="M1447" s="718">
        <f t="shared" si="11"/>
        <v>500000</v>
      </c>
      <c r="N1447" s="26"/>
    </row>
    <row r="1448" spans="1:14">
      <c r="A1448" s="756">
        <v>21</v>
      </c>
      <c r="B1448" s="792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5826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>
      <c r="A1449" s="756">
        <v>21</v>
      </c>
      <c r="B1449" s="792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>
      <c r="A1450" s="756">
        <v>21</v>
      </c>
      <c r="B1450" s="792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5826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6">
        <v>21</v>
      </c>
      <c r="B1451" s="792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5791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6">
        <v>21</v>
      </c>
      <c r="B1452" s="792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5754</v>
      </c>
      <c r="H1452" s="664" t="s">
        <v>5833</v>
      </c>
      <c r="I1452" s="723" t="s">
        <v>5832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6">
        <v>22</v>
      </c>
      <c r="B1453" s="956" t="s">
        <v>20</v>
      </c>
      <c r="C1453" s="689">
        <v>46172</v>
      </c>
      <c r="D1453" s="660" t="s">
        <v>5935</v>
      </c>
      <c r="E1453" s="660" t="s">
        <v>5936</v>
      </c>
      <c r="F1453" s="661" t="s">
        <v>5937</v>
      </c>
      <c r="G1453" s="661" t="s">
        <v>5938</v>
      </c>
      <c r="H1453" s="664" t="s">
        <v>5939</v>
      </c>
      <c r="I1453" s="725" t="s">
        <v>5940</v>
      </c>
      <c r="J1453" s="661" t="s">
        <v>5944</v>
      </c>
      <c r="K1453" s="725" t="s">
        <v>5941</v>
      </c>
      <c r="L1453" s="678"/>
      <c r="M1453" s="744">
        <v>250000</v>
      </c>
      <c r="N1453" s="958" t="s">
        <v>5943</v>
      </c>
    </row>
    <row r="1454" spans="1:14">
      <c r="A1454" s="756">
        <v>22</v>
      </c>
      <c r="B1454" s="957"/>
      <c r="C1454" s="689">
        <v>46172</v>
      </c>
      <c r="D1454" s="660" t="s">
        <v>5935</v>
      </c>
      <c r="E1454" s="660" t="s">
        <v>5936</v>
      </c>
      <c r="F1454" s="661" t="s">
        <v>5937</v>
      </c>
      <c r="G1454" s="715">
        <v>1517</v>
      </c>
      <c r="H1454" s="715" t="s">
        <v>5942</v>
      </c>
      <c r="I1454" s="716" t="s">
        <v>5958</v>
      </c>
      <c r="J1454" s="737" t="s">
        <v>5945</v>
      </c>
      <c r="K1454" s="725" t="s">
        <v>5941</v>
      </c>
      <c r="L1454" s="678"/>
      <c r="M1454" s="744">
        <v>250000</v>
      </c>
      <c r="N1454" s="959"/>
    </row>
    <row r="1455" spans="1:14">
      <c r="A1455" s="756">
        <v>22</v>
      </c>
      <c r="B1455" s="957"/>
      <c r="C1455" s="689" t="s">
        <v>5951</v>
      </c>
      <c r="D1455" s="660" t="s">
        <v>5935</v>
      </c>
      <c r="E1455" s="660" t="s">
        <v>5936</v>
      </c>
      <c r="F1455" s="661" t="s">
        <v>5937</v>
      </c>
      <c r="G1455" s="715" t="s">
        <v>5952</v>
      </c>
      <c r="H1455" s="715" t="s">
        <v>5953</v>
      </c>
      <c r="I1455" s="716" t="s">
        <v>5954</v>
      </c>
      <c r="J1455" s="737" t="s">
        <v>5955</v>
      </c>
      <c r="K1455" s="717" t="s">
        <v>5956</v>
      </c>
      <c r="L1455" s="678"/>
      <c r="M1455" s="744">
        <f>250000*4</f>
        <v>1000000</v>
      </c>
      <c r="N1455" s="738"/>
    </row>
    <row r="1456" spans="1:14">
      <c r="A1456" s="756">
        <v>22</v>
      </c>
      <c r="B1456" s="957"/>
      <c r="C1456" s="689" t="s">
        <v>5959</v>
      </c>
      <c r="D1456" s="660" t="s">
        <v>5935</v>
      </c>
      <c r="E1456" s="660" t="s">
        <v>5936</v>
      </c>
      <c r="F1456" s="661" t="s">
        <v>5937</v>
      </c>
      <c r="G1456" s="715">
        <v>1517</v>
      </c>
      <c r="H1456" s="715" t="s">
        <v>5942</v>
      </c>
      <c r="I1456" s="716" t="s">
        <v>5957</v>
      </c>
      <c r="J1456" s="737" t="s">
        <v>5948</v>
      </c>
      <c r="K1456" s="717" t="s">
        <v>5949</v>
      </c>
      <c r="L1456" s="678"/>
      <c r="M1456" s="744">
        <f>250000*2</f>
        <v>500000</v>
      </c>
      <c r="N1456" s="738"/>
    </row>
    <row r="1457" spans="1:14">
      <c r="A1457" s="756">
        <v>22</v>
      </c>
      <c r="B1457" s="957"/>
      <c r="C1457" s="689" t="s">
        <v>5950</v>
      </c>
      <c r="D1457" s="660" t="s">
        <v>5935</v>
      </c>
      <c r="E1457" s="660" t="s">
        <v>5936</v>
      </c>
      <c r="F1457" s="661" t="s">
        <v>5937</v>
      </c>
      <c r="G1457" s="715">
        <v>7062</v>
      </c>
      <c r="H1457" s="715" t="s">
        <v>5946</v>
      </c>
      <c r="I1457" s="716" t="s">
        <v>5947</v>
      </c>
      <c r="J1457" s="737" t="s">
        <v>5948</v>
      </c>
      <c r="K1457" s="717" t="s">
        <v>5949</v>
      </c>
      <c r="L1457" s="678"/>
      <c r="M1457" s="744">
        <v>500000</v>
      </c>
      <c r="N1457" s="738"/>
    </row>
    <row r="1458" spans="1:14">
      <c r="A1458" s="756">
        <v>22</v>
      </c>
      <c r="B1458" s="957"/>
      <c r="C1458" s="689" t="s">
        <v>5950</v>
      </c>
      <c r="D1458" s="660" t="s">
        <v>5935</v>
      </c>
      <c r="E1458" s="660" t="s">
        <v>5936</v>
      </c>
      <c r="F1458" s="661" t="s">
        <v>5937</v>
      </c>
      <c r="G1458" s="661" t="s">
        <v>5960</v>
      </c>
      <c r="H1458" s="715" t="s">
        <v>5961</v>
      </c>
      <c r="I1458" s="716" t="s">
        <v>5963</v>
      </c>
      <c r="J1458" s="737" t="s">
        <v>5962</v>
      </c>
      <c r="K1458" s="717" t="s">
        <v>5949</v>
      </c>
      <c r="L1458" s="678"/>
      <c r="M1458" s="744">
        <v>500000</v>
      </c>
      <c r="N1458" s="739"/>
    </row>
    <row r="1459" spans="1:14">
      <c r="A1459" s="756">
        <v>22</v>
      </c>
      <c r="B1459" s="956" t="s">
        <v>21</v>
      </c>
      <c r="C1459" s="672">
        <v>46174</v>
      </c>
      <c r="D1459" s="660" t="s">
        <v>5967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5834</v>
      </c>
      <c r="J1459" s="961" t="s">
        <v>3274</v>
      </c>
      <c r="K1459" s="961" t="s">
        <v>3454</v>
      </c>
      <c r="L1459" s="678" t="s">
        <v>3265</v>
      </c>
      <c r="M1459" s="963">
        <v>250000</v>
      </c>
      <c r="N1459" s="740" t="s">
        <v>5965</v>
      </c>
    </row>
    <row r="1460" spans="1:14">
      <c r="A1460" s="756">
        <v>22</v>
      </c>
      <c r="B1460" s="957"/>
      <c r="C1460" s="672">
        <v>46174</v>
      </c>
      <c r="D1460" s="660" t="s">
        <v>5967</v>
      </c>
      <c r="E1460" s="660" t="s">
        <v>14</v>
      </c>
      <c r="F1460" s="661" t="s">
        <v>211</v>
      </c>
      <c r="G1460" s="661" t="s">
        <v>5754</v>
      </c>
      <c r="H1460" s="664" t="s">
        <v>5833</v>
      </c>
      <c r="I1460" s="725" t="s">
        <v>5832</v>
      </c>
      <c r="J1460" s="962"/>
      <c r="K1460" s="962"/>
      <c r="L1460" s="678" t="s">
        <v>3265</v>
      </c>
      <c r="M1460" s="964"/>
      <c r="N1460" s="740" t="s">
        <v>5966</v>
      </c>
    </row>
    <row r="1461" spans="1:14">
      <c r="A1461" s="756">
        <v>22</v>
      </c>
      <c r="B1461" s="957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5791</v>
      </c>
      <c r="J1461" s="661" t="s">
        <v>3274</v>
      </c>
      <c r="K1461" s="725" t="s">
        <v>5897</v>
      </c>
      <c r="L1461" s="678" t="s">
        <v>3265</v>
      </c>
      <c r="M1461" s="719">
        <v>250000</v>
      </c>
      <c r="N1461" s="740" t="s">
        <v>5968</v>
      </c>
    </row>
    <row r="1462" spans="1:14">
      <c r="A1462" s="756">
        <v>22</v>
      </c>
      <c r="B1462" s="957"/>
      <c r="C1462" s="672">
        <v>46175</v>
      </c>
      <c r="D1462" s="660" t="s">
        <v>2064</v>
      </c>
      <c r="E1462" s="660" t="s">
        <v>3264</v>
      </c>
      <c r="F1462" s="725" t="s">
        <v>5964</v>
      </c>
      <c r="G1462" s="661" t="s">
        <v>5797</v>
      </c>
      <c r="H1462" s="664" t="s">
        <v>4091</v>
      </c>
      <c r="I1462" s="591" t="s">
        <v>5976</v>
      </c>
      <c r="J1462" s="661" t="s">
        <v>5899</v>
      </c>
      <c r="K1462" s="725" t="s">
        <v>5884</v>
      </c>
      <c r="L1462" s="660" t="s">
        <v>3265</v>
      </c>
      <c r="M1462" s="719">
        <v>250000</v>
      </c>
      <c r="N1462" s="740" t="s">
        <v>5977</v>
      </c>
    </row>
    <row r="1463" spans="1:14">
      <c r="A1463" s="756">
        <v>22</v>
      </c>
      <c r="B1463" s="957"/>
      <c r="C1463" s="689">
        <v>46177</v>
      </c>
      <c r="D1463" s="660" t="s">
        <v>5901</v>
      </c>
      <c r="E1463" s="660" t="s">
        <v>14</v>
      </c>
      <c r="F1463" s="661" t="s">
        <v>5902</v>
      </c>
      <c r="G1463" s="661" t="s">
        <v>5903</v>
      </c>
      <c r="H1463" s="664" t="s">
        <v>5904</v>
      </c>
      <c r="I1463" s="725" t="s">
        <v>5905</v>
      </c>
      <c r="J1463" s="661" t="s">
        <v>5906</v>
      </c>
      <c r="K1463" s="661" t="s">
        <v>5907</v>
      </c>
      <c r="L1463" s="678" t="s">
        <v>5894</v>
      </c>
      <c r="M1463" s="719">
        <v>600000</v>
      </c>
      <c r="N1463" s="740" t="s">
        <v>5969</v>
      </c>
    </row>
    <row r="1464" spans="1:14">
      <c r="A1464" s="756">
        <v>22</v>
      </c>
      <c r="B1464" s="957"/>
      <c r="C1464" s="672">
        <v>46178</v>
      </c>
      <c r="D1464" s="678" t="s">
        <v>5914</v>
      </c>
      <c r="E1464" s="678" t="s">
        <v>5915</v>
      </c>
      <c r="F1464" s="680" t="s">
        <v>5916</v>
      </c>
      <c r="G1464" s="680" t="s">
        <v>5917</v>
      </c>
      <c r="H1464" s="683" t="s">
        <v>553</v>
      </c>
      <c r="I1464" s="681" t="s">
        <v>5919</v>
      </c>
      <c r="J1464" s="680"/>
      <c r="K1464" s="965" t="s">
        <v>5921</v>
      </c>
      <c r="L1464" s="678" t="s">
        <v>15</v>
      </c>
      <c r="M1464" s="963">
        <v>500000</v>
      </c>
      <c r="N1464" s="740" t="s">
        <v>5970</v>
      </c>
    </row>
    <row r="1465" spans="1:14">
      <c r="A1465" s="756">
        <v>22</v>
      </c>
      <c r="B1465" s="960"/>
      <c r="C1465" s="672">
        <v>46178</v>
      </c>
      <c r="D1465" s="678" t="s">
        <v>5914</v>
      </c>
      <c r="E1465" s="678" t="s">
        <v>5915</v>
      </c>
      <c r="F1465" s="680" t="s">
        <v>5916</v>
      </c>
      <c r="G1465" s="680" t="s">
        <v>5917</v>
      </c>
      <c r="H1465" s="683" t="s">
        <v>5918</v>
      </c>
      <c r="I1465" s="681" t="s">
        <v>5920</v>
      </c>
      <c r="J1465" s="680"/>
      <c r="K1465" s="966"/>
      <c r="L1465" s="678" t="s">
        <v>15</v>
      </c>
      <c r="M1465" s="964"/>
      <c r="N1465" s="740" t="s">
        <v>5971</v>
      </c>
    </row>
    <row r="1466" spans="1:14">
      <c r="A1466" s="780">
        <v>23</v>
      </c>
      <c r="B1466" s="792" t="s">
        <v>20</v>
      </c>
      <c r="C1466" s="672">
        <v>46179</v>
      </c>
      <c r="D1466" s="660" t="s">
        <v>6062</v>
      </c>
      <c r="E1466" s="660" t="s">
        <v>6063</v>
      </c>
      <c r="F1466" s="661" t="s">
        <v>6064</v>
      </c>
      <c r="G1466" s="661">
        <v>1615</v>
      </c>
      <c r="H1466" s="664" t="s">
        <v>6060</v>
      </c>
      <c r="I1466" s="772" t="s">
        <v>6065</v>
      </c>
      <c r="J1466" s="661" t="s">
        <v>6066</v>
      </c>
      <c r="K1466" s="772" t="s">
        <v>6084</v>
      </c>
      <c r="L1466" s="779" t="s">
        <v>6068</v>
      </c>
      <c r="M1466" s="768">
        <v>250000</v>
      </c>
      <c r="N1466" s="678" t="s">
        <v>5994</v>
      </c>
    </row>
    <row r="1467" spans="1:14">
      <c r="A1467" s="780">
        <v>23</v>
      </c>
      <c r="B1467" s="792"/>
      <c r="C1467" s="672" t="s">
        <v>6061</v>
      </c>
      <c r="D1467" s="660" t="s">
        <v>6062</v>
      </c>
      <c r="E1467" s="660" t="s">
        <v>6063</v>
      </c>
      <c r="F1467" s="661" t="s">
        <v>6064</v>
      </c>
      <c r="G1467" s="661">
        <v>1615</v>
      </c>
      <c r="H1467" s="664" t="s">
        <v>6060</v>
      </c>
      <c r="I1467" s="772" t="s">
        <v>6065</v>
      </c>
      <c r="J1467" s="661" t="s">
        <v>6066</v>
      </c>
      <c r="K1467" s="772" t="s">
        <v>6067</v>
      </c>
      <c r="L1467" s="779" t="s">
        <v>6068</v>
      </c>
      <c r="M1467" s="768">
        <f>250000*5</f>
        <v>1250000</v>
      </c>
      <c r="N1467" s="660"/>
    </row>
    <row r="1468" spans="1:14">
      <c r="A1468" s="780">
        <v>23</v>
      </c>
      <c r="B1468" s="792"/>
      <c r="C1468" s="672" t="s">
        <v>6069</v>
      </c>
      <c r="D1468" s="660" t="s">
        <v>6062</v>
      </c>
      <c r="E1468" s="660" t="s">
        <v>6063</v>
      </c>
      <c r="F1468" s="661" t="s">
        <v>6064</v>
      </c>
      <c r="G1468" s="766" t="s">
        <v>6070</v>
      </c>
      <c r="H1468" s="766" t="s">
        <v>6071</v>
      </c>
      <c r="I1468" s="767" t="s">
        <v>6072</v>
      </c>
      <c r="J1468" s="678"/>
      <c r="K1468" s="678" t="s">
        <v>6073</v>
      </c>
      <c r="L1468" s="779" t="s">
        <v>6068</v>
      </c>
      <c r="M1468" s="768">
        <f>250000*2</f>
        <v>500000</v>
      </c>
      <c r="N1468" s="781"/>
    </row>
    <row r="1469" spans="1:14" ht="24">
      <c r="A1469" s="780">
        <v>23</v>
      </c>
      <c r="B1469" s="792"/>
      <c r="C1469" s="672" t="s">
        <v>6074</v>
      </c>
      <c r="D1469" s="660" t="s">
        <v>6062</v>
      </c>
      <c r="E1469" s="660" t="s">
        <v>6063</v>
      </c>
      <c r="F1469" s="661" t="s">
        <v>6064</v>
      </c>
      <c r="G1469" s="766" t="s">
        <v>6081</v>
      </c>
      <c r="H1469" s="766" t="s">
        <v>6076</v>
      </c>
      <c r="I1469" s="767" t="s">
        <v>6075</v>
      </c>
      <c r="J1469" s="678"/>
      <c r="K1469" s="678" t="s">
        <v>6082</v>
      </c>
      <c r="L1469" s="779" t="s">
        <v>6068</v>
      </c>
      <c r="M1469" s="768">
        <f>250000*4</f>
        <v>1000000</v>
      </c>
      <c r="N1469" s="781"/>
    </row>
    <row r="1470" spans="1:14">
      <c r="A1470" s="780">
        <v>23</v>
      </c>
      <c r="B1470" s="792"/>
      <c r="C1470" s="672" t="s">
        <v>6078</v>
      </c>
      <c r="D1470" s="660" t="s">
        <v>6062</v>
      </c>
      <c r="E1470" s="660" t="s">
        <v>6063</v>
      </c>
      <c r="F1470" s="661" t="s">
        <v>6064</v>
      </c>
      <c r="G1470" s="766">
        <v>7062</v>
      </c>
      <c r="H1470" s="766" t="s">
        <v>6079</v>
      </c>
      <c r="I1470" s="767" t="s">
        <v>6080</v>
      </c>
      <c r="J1470" s="678"/>
      <c r="K1470" s="678" t="s">
        <v>6083</v>
      </c>
      <c r="L1470" s="779" t="s">
        <v>6068</v>
      </c>
      <c r="M1470" s="768">
        <f>250000*3</f>
        <v>750000</v>
      </c>
      <c r="N1470" s="781"/>
    </row>
    <row r="1471" spans="1:14">
      <c r="A1471" s="780">
        <v>23</v>
      </c>
      <c r="B1471" s="792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5904</v>
      </c>
      <c r="I1471" s="462" t="s">
        <v>5905</v>
      </c>
      <c r="J1471" s="463" t="s">
        <v>90</v>
      </c>
      <c r="K1471" s="463" t="s">
        <v>686</v>
      </c>
      <c r="L1471" s="125" t="s">
        <v>15</v>
      </c>
      <c r="M1471" s="719">
        <v>250000</v>
      </c>
      <c r="N1471" s="678" t="s">
        <v>5994</v>
      </c>
    </row>
    <row r="1472" spans="1:14">
      <c r="A1472" s="780">
        <v>23</v>
      </c>
      <c r="B1472" s="792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5904</v>
      </c>
      <c r="I1472" s="462" t="s">
        <v>5905</v>
      </c>
      <c r="J1472" s="463" t="s">
        <v>90</v>
      </c>
      <c r="K1472" s="463" t="s">
        <v>686</v>
      </c>
      <c r="L1472" s="125" t="s">
        <v>15</v>
      </c>
      <c r="M1472" s="719">
        <v>250000</v>
      </c>
      <c r="N1472" s="678" t="s">
        <v>5994</v>
      </c>
    </row>
    <row r="1473" spans="1:14">
      <c r="A1473" s="780">
        <v>23</v>
      </c>
      <c r="B1473" s="792"/>
      <c r="C1473" s="370">
        <v>46178</v>
      </c>
      <c r="D1473" s="4" t="s">
        <v>21</v>
      </c>
      <c r="E1473" s="4" t="s">
        <v>14</v>
      </c>
      <c r="F1473" s="773" t="s">
        <v>1893</v>
      </c>
      <c r="G1473" s="463" t="s">
        <v>4939</v>
      </c>
      <c r="H1473" s="16" t="s">
        <v>6017</v>
      </c>
      <c r="I1473" s="775" t="s">
        <v>6005</v>
      </c>
      <c r="J1473" s="773" t="s">
        <v>6042</v>
      </c>
      <c r="K1473" s="775" t="s">
        <v>6016</v>
      </c>
      <c r="L1473" s="125" t="s">
        <v>15</v>
      </c>
      <c r="M1473" s="719">
        <v>300000</v>
      </c>
      <c r="N1473" s="678" t="s">
        <v>5994</v>
      </c>
    </row>
    <row r="1474" spans="1:14" ht="27">
      <c r="A1474" s="780">
        <v>23</v>
      </c>
      <c r="B1474" s="792"/>
      <c r="C1474" s="370">
        <v>46181</v>
      </c>
      <c r="D1474" s="3" t="s">
        <v>6009</v>
      </c>
      <c r="E1474" s="3" t="s">
        <v>6010</v>
      </c>
      <c r="F1474" s="463" t="s">
        <v>6011</v>
      </c>
      <c r="G1474" s="462" t="s">
        <v>6020</v>
      </c>
      <c r="H1474" s="468" t="s">
        <v>6008</v>
      </c>
      <c r="I1474" s="462" t="s">
        <v>6018</v>
      </c>
      <c r="J1474" s="793" t="s">
        <v>90</v>
      </c>
      <c r="K1474" s="793" t="s">
        <v>6012</v>
      </c>
      <c r="L1474" s="136" t="s">
        <v>15</v>
      </c>
      <c r="M1474" s="794">
        <v>250000</v>
      </c>
      <c r="N1474" s="678"/>
    </row>
    <row r="1475" spans="1:14" ht="27">
      <c r="A1475" s="780">
        <v>23</v>
      </c>
      <c r="B1475" s="792"/>
      <c r="C1475" s="370">
        <v>46181</v>
      </c>
      <c r="D1475" s="4" t="s">
        <v>21</v>
      </c>
      <c r="E1475" s="4" t="s">
        <v>17</v>
      </c>
      <c r="F1475" s="773" t="s">
        <v>78</v>
      </c>
      <c r="G1475" s="462" t="s">
        <v>6020</v>
      </c>
      <c r="H1475" s="16" t="s">
        <v>37</v>
      </c>
      <c r="I1475" s="775" t="s">
        <v>6001</v>
      </c>
      <c r="J1475" s="793"/>
      <c r="K1475" s="793"/>
      <c r="L1475" s="136" t="s">
        <v>15</v>
      </c>
      <c r="M1475" s="794"/>
      <c r="N1475" s="678"/>
    </row>
    <row r="1476" spans="1:14">
      <c r="A1476" s="780">
        <v>23</v>
      </c>
      <c r="B1476" s="792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6043</v>
      </c>
      <c r="J1476" s="463" t="s">
        <v>6044</v>
      </c>
      <c r="K1476" s="462" t="s">
        <v>6045</v>
      </c>
      <c r="L1476" s="125" t="s">
        <v>6046</v>
      </c>
      <c r="M1476" s="719">
        <v>300000</v>
      </c>
      <c r="N1476" s="678"/>
    </row>
    <row r="1477" spans="1:14">
      <c r="A1477" s="780">
        <v>23</v>
      </c>
      <c r="B1477" s="792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5997</v>
      </c>
      <c r="J1477" s="463" t="s">
        <v>6007</v>
      </c>
      <c r="K1477" s="463" t="s">
        <v>153</v>
      </c>
      <c r="L1477" s="136" t="s">
        <v>15</v>
      </c>
      <c r="M1477" s="719">
        <v>250000</v>
      </c>
      <c r="N1477" s="678"/>
    </row>
    <row r="1478" spans="1:14">
      <c r="A1478" s="780">
        <v>23</v>
      </c>
      <c r="B1478" s="792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6007</v>
      </c>
      <c r="K1478" s="463" t="s">
        <v>153</v>
      </c>
      <c r="L1478" s="136" t="s">
        <v>15</v>
      </c>
      <c r="M1478" s="719">
        <v>250000</v>
      </c>
      <c r="N1478" s="678"/>
    </row>
    <row r="1479" spans="1:14">
      <c r="A1479" s="780">
        <v>23</v>
      </c>
      <c r="B1479" s="792"/>
      <c r="C1479" s="370">
        <v>46182</v>
      </c>
      <c r="D1479" s="4" t="s">
        <v>21</v>
      </c>
      <c r="E1479" s="4" t="s">
        <v>14</v>
      </c>
      <c r="F1479" s="773" t="s">
        <v>1893</v>
      </c>
      <c r="G1479" s="463" t="s">
        <v>4939</v>
      </c>
      <c r="H1479" s="16" t="s">
        <v>3301</v>
      </c>
      <c r="I1479" s="775" t="s">
        <v>6058</v>
      </c>
      <c r="J1479" s="773"/>
      <c r="K1479" s="775" t="s">
        <v>6055</v>
      </c>
      <c r="L1479" s="125" t="s">
        <v>15</v>
      </c>
      <c r="M1479" s="719">
        <v>300000</v>
      </c>
      <c r="N1479" s="678"/>
    </row>
    <row r="1480" spans="1:14">
      <c r="A1480" s="780">
        <v>23</v>
      </c>
      <c r="B1480" s="792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6015</v>
      </c>
      <c r="I1480" s="775" t="s">
        <v>6048</v>
      </c>
      <c r="J1480" s="773" t="s">
        <v>6057</v>
      </c>
      <c r="K1480" s="775" t="s">
        <v>6056</v>
      </c>
      <c r="L1480" s="125" t="s">
        <v>6049</v>
      </c>
      <c r="M1480" s="719">
        <v>300000</v>
      </c>
      <c r="N1480" s="678"/>
    </row>
    <row r="1481" spans="1:14">
      <c r="A1481" s="780">
        <v>23</v>
      </c>
      <c r="B1481" s="792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6015</v>
      </c>
      <c r="I1481" s="775" t="s">
        <v>6052</v>
      </c>
      <c r="J1481" s="773"/>
      <c r="K1481" s="775" t="s">
        <v>6051</v>
      </c>
      <c r="L1481" s="125" t="s">
        <v>6049</v>
      </c>
      <c r="M1481" s="719">
        <v>300000</v>
      </c>
      <c r="N1481" s="678"/>
    </row>
    <row r="1482" spans="1:14">
      <c r="A1482" s="780">
        <v>23</v>
      </c>
      <c r="B1482" s="792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6043</v>
      </c>
      <c r="J1482" s="463" t="s">
        <v>6044</v>
      </c>
      <c r="K1482" s="462" t="s">
        <v>6047</v>
      </c>
      <c r="L1482" s="125" t="s">
        <v>6046</v>
      </c>
      <c r="M1482" s="719">
        <v>800000</v>
      </c>
      <c r="N1482" s="678"/>
    </row>
    <row r="1483" spans="1:14">
      <c r="A1483" s="780">
        <v>23</v>
      </c>
      <c r="B1483" s="792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6043</v>
      </c>
      <c r="J1483" s="463" t="s">
        <v>6044</v>
      </c>
      <c r="K1483" s="462" t="s">
        <v>6047</v>
      </c>
      <c r="L1483" s="125" t="s">
        <v>6046</v>
      </c>
      <c r="M1483" s="719">
        <v>800000</v>
      </c>
      <c r="N1483" s="678"/>
    </row>
    <row r="1484" spans="1:14">
      <c r="A1484" s="780">
        <v>23</v>
      </c>
      <c r="B1484" s="792"/>
      <c r="C1484" s="370">
        <v>46184</v>
      </c>
      <c r="D1484" s="4" t="s">
        <v>21</v>
      </c>
      <c r="E1484" s="4" t="s">
        <v>14</v>
      </c>
      <c r="F1484" s="773" t="s">
        <v>107</v>
      </c>
      <c r="G1484" s="773" t="s">
        <v>2959</v>
      </c>
      <c r="H1484" s="16" t="s">
        <v>376</v>
      </c>
      <c r="I1484" s="775" t="s">
        <v>5920</v>
      </c>
      <c r="J1484" s="773" t="s">
        <v>6022</v>
      </c>
      <c r="K1484" s="775" t="s">
        <v>6023</v>
      </c>
      <c r="L1484" s="125" t="s">
        <v>15</v>
      </c>
      <c r="M1484" s="719">
        <v>250000</v>
      </c>
      <c r="N1484" s="678"/>
    </row>
    <row r="1485" spans="1:14">
      <c r="A1485" s="780">
        <v>23</v>
      </c>
      <c r="B1485" s="792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6043</v>
      </c>
      <c r="J1485" s="463" t="s">
        <v>6044</v>
      </c>
      <c r="K1485" s="462" t="s">
        <v>6047</v>
      </c>
      <c r="L1485" s="125" t="s">
        <v>6046</v>
      </c>
      <c r="M1485" s="719">
        <v>800000</v>
      </c>
      <c r="N1485" s="678"/>
    </row>
  </sheetData>
  <autoFilter ref="A1:N1465"/>
  <mergeCells count="1049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2" sqref="H22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8400000</v>
      </c>
    </row>
    <row r="10" spans="1:4">
      <c r="A10" s="603" t="s">
        <v>4855</v>
      </c>
      <c r="B10" s="603" t="s">
        <v>4856</v>
      </c>
      <c r="C10" s="976" t="s">
        <v>4857</v>
      </c>
      <c r="D10" s="976"/>
    </row>
    <row r="11" spans="1:4">
      <c r="A11" s="603" t="s">
        <v>4858</v>
      </c>
      <c r="B11" s="603">
        <v>7</v>
      </c>
      <c r="C11" s="977">
        <f>'사전품의양식 (12)'!L11</f>
        <v>3000000</v>
      </c>
      <c r="D11" s="977"/>
    </row>
    <row r="12" spans="1:4">
      <c r="A12" s="603" t="s">
        <v>4859</v>
      </c>
      <c r="B12" s="603">
        <v>16</v>
      </c>
      <c r="C12" s="977">
        <f>'사전품의양식 (12)'!L28</f>
        <v>5400000</v>
      </c>
      <c r="D12" s="977"/>
    </row>
    <row r="13" spans="1:4">
      <c r="A13" s="605" t="s">
        <v>53</v>
      </c>
      <c r="B13" s="605">
        <f>SUM(B11:B12)</f>
        <v>23</v>
      </c>
      <c r="C13" s="978">
        <f>SUM(C11:C12)</f>
        <v>8400000</v>
      </c>
      <c r="D13" s="978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250000</v>
      </c>
      <c r="C17" s="604">
        <v>1450000</v>
      </c>
      <c r="D17" s="607">
        <f>SUM(B17:C17)</f>
        <v>1700000</v>
      </c>
    </row>
    <row r="18" spans="1:5">
      <c r="A18" s="603" t="s">
        <v>5511</v>
      </c>
      <c r="B18" s="604">
        <f>C11-B17</f>
        <v>2750000</v>
      </c>
      <c r="C18" s="604">
        <f>C12-C17</f>
        <v>3950000</v>
      </c>
      <c r="D18" s="604">
        <f>SUM(B18:C18)</f>
        <v>6700000</v>
      </c>
    </row>
    <row r="19" spans="1:5">
      <c r="A19" s="605" t="s">
        <v>4861</v>
      </c>
      <c r="B19" s="606">
        <f t="shared" ref="B19:C19" si="0">SUM(B17:B18)</f>
        <v>3000000</v>
      </c>
      <c r="C19" s="606">
        <f t="shared" si="0"/>
        <v>5400000</v>
      </c>
      <c r="D19" s="606">
        <f>SUM(D17:D18)</f>
        <v>8400000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79" t="s">
        <v>5973</v>
      </c>
      <c r="B26" s="603" t="s">
        <v>5790</v>
      </c>
      <c r="C26" s="703" t="s">
        <v>5974</v>
      </c>
      <c r="D26" s="702"/>
      <c r="E26" s="702"/>
    </row>
    <row r="27" spans="1:5">
      <c r="A27" s="980"/>
      <c r="B27" s="603" t="s">
        <v>5972</v>
      </c>
      <c r="C27" s="703" t="s">
        <v>5974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85" zoomScaleNormal="85" zoomScaleSheetLayoutView="55" workbookViewId="0">
      <selection activeCell="L12" sqref="L12:L16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88" t="s">
        <v>5625</v>
      </c>
      <c r="B2" s="990" t="s">
        <v>1</v>
      </c>
      <c r="C2" s="990" t="s">
        <v>2</v>
      </c>
      <c r="D2" s="990" t="s">
        <v>3</v>
      </c>
      <c r="E2" s="735" t="s">
        <v>2623</v>
      </c>
      <c r="F2" s="990" t="s">
        <v>5</v>
      </c>
      <c r="G2" s="990" t="s">
        <v>6</v>
      </c>
      <c r="H2" s="990" t="s">
        <v>2624</v>
      </c>
      <c r="I2" s="990" t="s">
        <v>55</v>
      </c>
      <c r="J2" s="990" t="s">
        <v>9</v>
      </c>
      <c r="K2" s="992" t="s">
        <v>56</v>
      </c>
      <c r="L2" s="990" t="s">
        <v>57</v>
      </c>
      <c r="M2" s="986" t="s">
        <v>58</v>
      </c>
    </row>
    <row r="3" spans="1:13">
      <c r="A3" s="989"/>
      <c r="B3" s="991"/>
      <c r="C3" s="991"/>
      <c r="D3" s="991"/>
      <c r="E3" s="736" t="s">
        <v>1724</v>
      </c>
      <c r="F3" s="991"/>
      <c r="G3" s="991"/>
      <c r="H3" s="991"/>
      <c r="I3" s="991"/>
      <c r="J3" s="991"/>
      <c r="K3" s="993"/>
      <c r="L3" s="991"/>
      <c r="M3" s="987"/>
    </row>
    <row r="4" spans="1:13" s="730" customFormat="1" ht="16.5" customHeight="1">
      <c r="A4" s="983" t="s">
        <v>20</v>
      </c>
      <c r="B4" s="401">
        <v>46186</v>
      </c>
      <c r="C4" s="660" t="s">
        <v>6156</v>
      </c>
      <c r="D4" s="660" t="s">
        <v>6157</v>
      </c>
      <c r="E4" s="661" t="s">
        <v>6158</v>
      </c>
      <c r="F4" s="661">
        <v>7063</v>
      </c>
      <c r="G4" s="664" t="s">
        <v>6159</v>
      </c>
      <c r="H4" s="725" t="s">
        <v>6160</v>
      </c>
      <c r="I4" s="661" t="s">
        <v>6161</v>
      </c>
      <c r="J4" s="725" t="s">
        <v>6084</v>
      </c>
      <c r="K4" s="779" t="s">
        <v>6162</v>
      </c>
      <c r="L4" s="768">
        <v>250000</v>
      </c>
      <c r="M4" s="740" t="s">
        <v>6111</v>
      </c>
    </row>
    <row r="5" spans="1:13" s="730" customFormat="1" ht="16.5" customHeight="1">
      <c r="A5" s="984"/>
      <c r="B5" s="401" t="s">
        <v>6180</v>
      </c>
      <c r="C5" s="660" t="s">
        <v>6156</v>
      </c>
      <c r="D5" s="660" t="s">
        <v>6157</v>
      </c>
      <c r="E5" s="661" t="s">
        <v>6158</v>
      </c>
      <c r="F5" s="661">
        <v>7063</v>
      </c>
      <c r="G5" s="664" t="s">
        <v>6159</v>
      </c>
      <c r="H5" s="772" t="s">
        <v>6160</v>
      </c>
      <c r="I5" s="661" t="s">
        <v>6161</v>
      </c>
      <c r="J5" s="772" t="s">
        <v>6181</v>
      </c>
      <c r="K5" s="779" t="s">
        <v>6162</v>
      </c>
      <c r="L5" s="768">
        <v>750000</v>
      </c>
      <c r="M5" s="784"/>
    </row>
    <row r="6" spans="1:13" s="730" customFormat="1" ht="16.5" customHeight="1">
      <c r="A6" s="984"/>
      <c r="B6" s="401">
        <v>46188</v>
      </c>
      <c r="C6" s="660" t="s">
        <v>6156</v>
      </c>
      <c r="D6" s="660" t="s">
        <v>6157</v>
      </c>
      <c r="E6" s="661" t="s">
        <v>6158</v>
      </c>
      <c r="F6" s="661" t="s">
        <v>6163</v>
      </c>
      <c r="G6" s="664" t="s">
        <v>6164</v>
      </c>
      <c r="H6" s="772" t="s">
        <v>6165</v>
      </c>
      <c r="I6" s="661" t="s">
        <v>6166</v>
      </c>
      <c r="J6" s="772" t="s">
        <v>6167</v>
      </c>
      <c r="K6" s="779" t="s">
        <v>6162</v>
      </c>
      <c r="L6" s="768">
        <v>500000</v>
      </c>
      <c r="M6" s="769"/>
    </row>
    <row r="7" spans="1:13" s="730" customFormat="1" ht="16.5" customHeight="1">
      <c r="A7" s="984"/>
      <c r="B7" s="401" t="s">
        <v>6178</v>
      </c>
      <c r="C7" s="660" t="s">
        <v>6156</v>
      </c>
      <c r="D7" s="660" t="s">
        <v>6157</v>
      </c>
      <c r="E7" s="661" t="s">
        <v>6158</v>
      </c>
      <c r="F7" s="715">
        <v>7062</v>
      </c>
      <c r="G7" s="715" t="s">
        <v>6168</v>
      </c>
      <c r="H7" s="716" t="s">
        <v>6169</v>
      </c>
      <c r="I7" s="661" t="s">
        <v>6166</v>
      </c>
      <c r="J7" s="772" t="s">
        <v>6167</v>
      </c>
      <c r="K7" s="779" t="s">
        <v>6162</v>
      </c>
      <c r="L7" s="768">
        <v>500000</v>
      </c>
      <c r="M7" s="738"/>
    </row>
    <row r="8" spans="1:13" s="730" customFormat="1" ht="16.5" customHeight="1">
      <c r="A8" s="984"/>
      <c r="B8" s="689" t="s">
        <v>6179</v>
      </c>
      <c r="C8" s="660" t="s">
        <v>6156</v>
      </c>
      <c r="D8" s="660" t="s">
        <v>6157</v>
      </c>
      <c r="E8" s="661" t="s">
        <v>6158</v>
      </c>
      <c r="F8" s="715" t="s">
        <v>6170</v>
      </c>
      <c r="G8" s="715" t="s">
        <v>6171</v>
      </c>
      <c r="H8" s="716" t="s">
        <v>6075</v>
      </c>
      <c r="I8" s="737" t="s">
        <v>6172</v>
      </c>
      <c r="J8" s="717" t="s">
        <v>6173</v>
      </c>
      <c r="K8" s="779" t="s">
        <v>6162</v>
      </c>
      <c r="L8" s="768">
        <v>250000</v>
      </c>
      <c r="M8" s="738"/>
    </row>
    <row r="9" spans="1:13" s="730" customFormat="1" ht="16.5" customHeight="1">
      <c r="A9" s="984"/>
      <c r="B9" s="689" t="s">
        <v>6179</v>
      </c>
      <c r="C9" s="660" t="s">
        <v>6156</v>
      </c>
      <c r="D9" s="660" t="s">
        <v>6157</v>
      </c>
      <c r="E9" s="661" t="s">
        <v>6158</v>
      </c>
      <c r="F9" s="661" t="s">
        <v>6183</v>
      </c>
      <c r="G9" s="664" t="s">
        <v>6182</v>
      </c>
      <c r="H9" s="772" t="s">
        <v>6160</v>
      </c>
      <c r="I9" s="661" t="s">
        <v>6161</v>
      </c>
      <c r="J9" s="772" t="s">
        <v>6077</v>
      </c>
      <c r="K9" s="779" t="s">
        <v>6162</v>
      </c>
      <c r="L9" s="768">
        <v>500000</v>
      </c>
      <c r="M9" s="738"/>
    </row>
    <row r="10" spans="1:13" s="730" customFormat="1">
      <c r="A10" s="984"/>
      <c r="B10" s="689">
        <v>46192</v>
      </c>
      <c r="C10" s="660" t="s">
        <v>6156</v>
      </c>
      <c r="D10" s="660" t="s">
        <v>6157</v>
      </c>
      <c r="E10" s="661" t="s">
        <v>6158</v>
      </c>
      <c r="F10" s="715" t="s">
        <v>6174</v>
      </c>
      <c r="G10" s="715" t="s">
        <v>6175</v>
      </c>
      <c r="H10" s="716" t="s">
        <v>6176</v>
      </c>
      <c r="I10" s="737" t="s">
        <v>6177</v>
      </c>
      <c r="J10" s="717" t="s">
        <v>6084</v>
      </c>
      <c r="K10" s="779" t="s">
        <v>6162</v>
      </c>
      <c r="L10" s="768">
        <v>250000</v>
      </c>
      <c r="M10" s="738"/>
    </row>
    <row r="11" spans="1:13">
      <c r="A11" s="985"/>
      <c r="B11" s="792" t="s">
        <v>1136</v>
      </c>
      <c r="C11" s="792"/>
      <c r="D11" s="792"/>
      <c r="E11" s="792"/>
      <c r="F11" s="792"/>
      <c r="G11" s="792"/>
      <c r="H11" s="792"/>
      <c r="I11" s="792"/>
      <c r="J11" s="792"/>
      <c r="K11" s="792"/>
      <c r="L11" s="719">
        <f>SUM(L4:L10)</f>
        <v>3000000</v>
      </c>
      <c r="M11" s="740"/>
    </row>
    <row r="12" spans="1:13" ht="13.5">
      <c r="A12" s="983" t="s">
        <v>21</v>
      </c>
      <c r="B12" s="198">
        <v>46181</v>
      </c>
      <c r="C12" s="3" t="s">
        <v>21</v>
      </c>
      <c r="D12" s="3" t="s">
        <v>14</v>
      </c>
      <c r="E12" s="482" t="s">
        <v>149</v>
      </c>
      <c r="F12" s="463" t="s">
        <v>4090</v>
      </c>
      <c r="G12" s="468" t="s">
        <v>4091</v>
      </c>
      <c r="H12" s="462" t="s">
        <v>6113</v>
      </c>
      <c r="I12" s="463" t="s">
        <v>6007</v>
      </c>
      <c r="J12" s="463" t="s">
        <v>6112</v>
      </c>
      <c r="K12" s="136" t="s">
        <v>15</v>
      </c>
      <c r="L12" s="770">
        <v>300000</v>
      </c>
      <c r="M12" s="740" t="s">
        <v>6111</v>
      </c>
    </row>
    <row r="13" spans="1:13" ht="16.5" customHeight="1">
      <c r="A13" s="984"/>
      <c r="B13" s="198">
        <v>46182</v>
      </c>
      <c r="C13" s="3" t="s">
        <v>21</v>
      </c>
      <c r="D13" s="3" t="s">
        <v>14</v>
      </c>
      <c r="E13" s="482" t="s">
        <v>149</v>
      </c>
      <c r="F13" s="463" t="s">
        <v>4090</v>
      </c>
      <c r="G13" s="468" t="s">
        <v>4091</v>
      </c>
      <c r="H13" s="462" t="s">
        <v>6113</v>
      </c>
      <c r="I13" s="463" t="s">
        <v>6007</v>
      </c>
      <c r="J13" s="463" t="s">
        <v>6112</v>
      </c>
      <c r="K13" s="136" t="s">
        <v>15</v>
      </c>
      <c r="L13" s="770">
        <v>300000</v>
      </c>
      <c r="M13" s="740" t="s">
        <v>6111</v>
      </c>
    </row>
    <row r="14" spans="1:13" ht="16.5" customHeight="1">
      <c r="A14" s="984"/>
      <c r="B14" s="198">
        <v>46183</v>
      </c>
      <c r="C14" s="3" t="s">
        <v>21</v>
      </c>
      <c r="D14" s="3" t="s">
        <v>14</v>
      </c>
      <c r="E14" s="482" t="s">
        <v>149</v>
      </c>
      <c r="F14" s="463" t="s">
        <v>4090</v>
      </c>
      <c r="G14" s="468" t="s">
        <v>4091</v>
      </c>
      <c r="H14" s="462" t="s">
        <v>6138</v>
      </c>
      <c r="I14" s="463" t="s">
        <v>6007</v>
      </c>
      <c r="J14" s="463" t="s">
        <v>6112</v>
      </c>
      <c r="K14" s="136" t="s">
        <v>15</v>
      </c>
      <c r="L14" s="770">
        <v>300000</v>
      </c>
      <c r="M14" s="740" t="s">
        <v>6111</v>
      </c>
    </row>
    <row r="15" spans="1:13" ht="16.5" customHeight="1">
      <c r="A15" s="984"/>
      <c r="B15" s="198">
        <v>46184</v>
      </c>
      <c r="C15" s="3" t="s">
        <v>21</v>
      </c>
      <c r="D15" s="3" t="s">
        <v>14</v>
      </c>
      <c r="E15" s="482" t="s">
        <v>149</v>
      </c>
      <c r="F15" s="463" t="s">
        <v>4090</v>
      </c>
      <c r="G15" s="468" t="s">
        <v>4091</v>
      </c>
      <c r="H15" s="462" t="s">
        <v>6137</v>
      </c>
      <c r="I15" s="463" t="s">
        <v>6007</v>
      </c>
      <c r="J15" s="463" t="s">
        <v>6112</v>
      </c>
      <c r="K15" s="136" t="s">
        <v>15</v>
      </c>
      <c r="L15" s="770">
        <v>300000</v>
      </c>
      <c r="M15" s="740" t="s">
        <v>6111</v>
      </c>
    </row>
    <row r="16" spans="1:13" ht="16.5" customHeight="1">
      <c r="A16" s="984"/>
      <c r="B16" s="401">
        <v>46185</v>
      </c>
      <c r="C16" s="4" t="s">
        <v>6093</v>
      </c>
      <c r="D16" s="4" t="s">
        <v>6026</v>
      </c>
      <c r="E16" s="773" t="s">
        <v>6094</v>
      </c>
      <c r="F16" s="773" t="s">
        <v>6095</v>
      </c>
      <c r="G16" s="16" t="s">
        <v>6096</v>
      </c>
      <c r="H16" s="775" t="s">
        <v>6097</v>
      </c>
      <c r="I16" s="463" t="s">
        <v>6024</v>
      </c>
      <c r="J16" s="468" t="s">
        <v>6023</v>
      </c>
      <c r="K16" s="468" t="s">
        <v>6046</v>
      </c>
      <c r="L16" s="719">
        <v>250000</v>
      </c>
      <c r="M16" s="740" t="s">
        <v>6111</v>
      </c>
    </row>
    <row r="17" spans="1:13" ht="16.5" customHeight="1">
      <c r="A17" s="984"/>
      <c r="B17" s="401">
        <v>46188</v>
      </c>
      <c r="C17" s="3" t="s">
        <v>6140</v>
      </c>
      <c r="D17" s="3" t="s">
        <v>6026</v>
      </c>
      <c r="E17" s="463" t="s">
        <v>6141</v>
      </c>
      <c r="F17" s="463" t="s">
        <v>6142</v>
      </c>
      <c r="G17" s="468" t="s">
        <v>6143</v>
      </c>
      <c r="H17" s="462" t="s">
        <v>6144</v>
      </c>
      <c r="I17" s="462"/>
      <c r="J17" s="462" t="s">
        <v>5606</v>
      </c>
      <c r="K17" s="125" t="s">
        <v>6046</v>
      </c>
      <c r="L17" s="719">
        <v>500000</v>
      </c>
      <c r="M17" s="740" t="s">
        <v>6184</v>
      </c>
    </row>
    <row r="18" spans="1:13" ht="16.5" customHeight="1">
      <c r="A18" s="984"/>
      <c r="B18" s="401">
        <v>46189</v>
      </c>
      <c r="C18" s="3" t="s">
        <v>6140</v>
      </c>
      <c r="D18" s="3" t="s">
        <v>6026</v>
      </c>
      <c r="E18" s="463" t="s">
        <v>6141</v>
      </c>
      <c r="F18" s="463" t="s">
        <v>6142</v>
      </c>
      <c r="G18" s="468" t="s">
        <v>6143</v>
      </c>
      <c r="H18" s="775" t="s">
        <v>6154</v>
      </c>
      <c r="I18" s="773" t="s">
        <v>6022</v>
      </c>
      <c r="J18" s="773" t="s">
        <v>3105</v>
      </c>
      <c r="K18" s="125" t="s">
        <v>6046</v>
      </c>
      <c r="L18" s="719">
        <v>250000</v>
      </c>
      <c r="M18" s="740" t="s">
        <v>6185</v>
      </c>
    </row>
    <row r="19" spans="1:13" ht="16.5" customHeight="1">
      <c r="A19" s="984"/>
      <c r="B19" s="401">
        <v>46189</v>
      </c>
      <c r="C19" s="3" t="s">
        <v>21</v>
      </c>
      <c r="D19" s="3" t="s">
        <v>14</v>
      </c>
      <c r="E19" s="463" t="s">
        <v>1893</v>
      </c>
      <c r="F19" s="463" t="s">
        <v>4939</v>
      </c>
      <c r="G19" s="468" t="s">
        <v>482</v>
      </c>
      <c r="H19" s="462" t="s">
        <v>6043</v>
      </c>
      <c r="I19" s="462" t="s">
        <v>6155</v>
      </c>
      <c r="J19" s="462" t="s">
        <v>6016</v>
      </c>
      <c r="K19" s="125" t="s">
        <v>6046</v>
      </c>
      <c r="L19" s="719">
        <v>300000</v>
      </c>
      <c r="M19" s="740" t="s">
        <v>6185</v>
      </c>
    </row>
    <row r="20" spans="1:13" ht="27">
      <c r="A20" s="984"/>
      <c r="B20" s="401">
        <v>46189</v>
      </c>
      <c r="C20" s="3" t="s">
        <v>6099</v>
      </c>
      <c r="D20" s="3" t="s">
        <v>6100</v>
      </c>
      <c r="E20" s="462" t="s">
        <v>6101</v>
      </c>
      <c r="F20" s="773" t="s">
        <v>6104</v>
      </c>
      <c r="G20" s="16" t="s">
        <v>6108</v>
      </c>
      <c r="H20" s="775" t="s">
        <v>6107</v>
      </c>
      <c r="I20" s="773"/>
      <c r="J20" s="775" t="s">
        <v>6102</v>
      </c>
      <c r="K20" s="125" t="s">
        <v>6041</v>
      </c>
      <c r="L20" s="719">
        <v>500000</v>
      </c>
      <c r="M20" s="740" t="s">
        <v>6186</v>
      </c>
    </row>
    <row r="21" spans="1:13" ht="27">
      <c r="A21" s="984"/>
      <c r="B21" s="401">
        <v>46190</v>
      </c>
      <c r="C21" s="3" t="s">
        <v>6099</v>
      </c>
      <c r="D21" s="3" t="s">
        <v>6100</v>
      </c>
      <c r="E21" s="462" t="s">
        <v>6101</v>
      </c>
      <c r="F21" s="773" t="s">
        <v>6104</v>
      </c>
      <c r="G21" s="16" t="s">
        <v>6105</v>
      </c>
      <c r="H21" s="775" t="s">
        <v>6106</v>
      </c>
      <c r="I21" s="773"/>
      <c r="J21" s="775" t="s">
        <v>6102</v>
      </c>
      <c r="K21" s="125" t="s">
        <v>6041</v>
      </c>
      <c r="L21" s="719">
        <v>500000</v>
      </c>
      <c r="M21" s="740" t="s">
        <v>6187</v>
      </c>
    </row>
    <row r="22" spans="1:13" ht="16.5" customHeight="1">
      <c r="A22" s="984"/>
      <c r="B22" s="401">
        <v>46190</v>
      </c>
      <c r="C22" s="3" t="s">
        <v>21</v>
      </c>
      <c r="D22" s="3" t="s">
        <v>14</v>
      </c>
      <c r="E22" s="463" t="s">
        <v>1893</v>
      </c>
      <c r="F22" s="463" t="s">
        <v>4939</v>
      </c>
      <c r="G22" s="468" t="s">
        <v>482</v>
      </c>
      <c r="H22" s="462" t="s">
        <v>6043</v>
      </c>
      <c r="I22" s="462" t="s">
        <v>6155</v>
      </c>
      <c r="J22" s="462" t="s">
        <v>6016</v>
      </c>
      <c r="K22" s="125" t="s">
        <v>6046</v>
      </c>
      <c r="L22" s="719">
        <v>300000</v>
      </c>
      <c r="M22" s="740" t="s">
        <v>6185</v>
      </c>
    </row>
    <row r="23" spans="1:13" ht="40.5">
      <c r="A23" s="984"/>
      <c r="B23" s="401">
        <v>46191</v>
      </c>
      <c r="C23" s="4" t="s">
        <v>21</v>
      </c>
      <c r="D23" s="4" t="s">
        <v>14</v>
      </c>
      <c r="E23" s="291" t="s">
        <v>149</v>
      </c>
      <c r="F23" s="773" t="s">
        <v>4090</v>
      </c>
      <c r="G23" s="16" t="s">
        <v>4091</v>
      </c>
      <c r="H23" s="775" t="s">
        <v>6135</v>
      </c>
      <c r="I23" s="773"/>
      <c r="J23" s="775" t="s">
        <v>6103</v>
      </c>
      <c r="K23" s="125" t="s">
        <v>6041</v>
      </c>
      <c r="L23" s="719">
        <v>500000</v>
      </c>
      <c r="M23" s="740" t="s">
        <v>6188</v>
      </c>
    </row>
    <row r="24" spans="1:13" ht="16.5" customHeight="1">
      <c r="A24" s="984"/>
      <c r="B24" s="401">
        <v>46191</v>
      </c>
      <c r="C24" s="3" t="s">
        <v>6025</v>
      </c>
      <c r="D24" s="3" t="s">
        <v>6129</v>
      </c>
      <c r="E24" s="462" t="s">
        <v>6130</v>
      </c>
      <c r="F24" s="773">
        <v>7060</v>
      </c>
      <c r="G24" s="16" t="s">
        <v>6131</v>
      </c>
      <c r="H24" s="775" t="s">
        <v>6132</v>
      </c>
      <c r="I24" s="773" t="s">
        <v>6054</v>
      </c>
      <c r="J24" s="775" t="s">
        <v>6133</v>
      </c>
      <c r="K24" s="125" t="s">
        <v>6046</v>
      </c>
      <c r="L24" s="719">
        <v>250000</v>
      </c>
      <c r="M24" s="740" t="s">
        <v>6187</v>
      </c>
    </row>
    <row r="25" spans="1:13" ht="16.5" customHeight="1">
      <c r="A25" s="984"/>
      <c r="B25" s="401">
        <v>46191</v>
      </c>
      <c r="C25" s="3" t="s">
        <v>21</v>
      </c>
      <c r="D25" s="3" t="s">
        <v>14</v>
      </c>
      <c r="E25" s="463" t="s">
        <v>211</v>
      </c>
      <c r="F25" s="463" t="s">
        <v>5754</v>
      </c>
      <c r="G25" s="468" t="s">
        <v>5833</v>
      </c>
      <c r="H25" s="462" t="s">
        <v>6120</v>
      </c>
      <c r="I25" s="773" t="s">
        <v>6054</v>
      </c>
      <c r="J25" s="773" t="s">
        <v>6122</v>
      </c>
      <c r="K25" s="125" t="s">
        <v>6046</v>
      </c>
      <c r="L25" s="719">
        <v>250000</v>
      </c>
      <c r="M25" s="740" t="s">
        <v>6189</v>
      </c>
    </row>
    <row r="26" spans="1:13" ht="16.5" customHeight="1">
      <c r="A26" s="984"/>
      <c r="B26" s="401">
        <v>46191</v>
      </c>
      <c r="C26" s="3" t="s">
        <v>21</v>
      </c>
      <c r="D26" s="3" t="s">
        <v>14</v>
      </c>
      <c r="E26" s="463" t="s">
        <v>1893</v>
      </c>
      <c r="F26" s="463" t="s">
        <v>4939</v>
      </c>
      <c r="G26" s="468" t="s">
        <v>482</v>
      </c>
      <c r="H26" s="462" t="s">
        <v>6043</v>
      </c>
      <c r="I26" s="462" t="s">
        <v>6155</v>
      </c>
      <c r="J26" s="462" t="s">
        <v>6016</v>
      </c>
      <c r="K26" s="125" t="s">
        <v>6046</v>
      </c>
      <c r="L26" s="719">
        <v>300000</v>
      </c>
      <c r="M26" s="740" t="s">
        <v>6190</v>
      </c>
    </row>
    <row r="27" spans="1:13" ht="16.5" customHeight="1">
      <c r="A27" s="984"/>
      <c r="B27" s="401">
        <v>46192</v>
      </c>
      <c r="C27" s="3" t="s">
        <v>21</v>
      </c>
      <c r="D27" s="3" t="s">
        <v>14</v>
      </c>
      <c r="E27" s="463" t="s">
        <v>1893</v>
      </c>
      <c r="F27" s="463" t="s">
        <v>4939</v>
      </c>
      <c r="G27" s="468" t="s">
        <v>482</v>
      </c>
      <c r="H27" s="462" t="s">
        <v>6043</v>
      </c>
      <c r="I27" s="462" t="s">
        <v>6155</v>
      </c>
      <c r="J27" s="462" t="s">
        <v>6016</v>
      </c>
      <c r="K27" s="125" t="s">
        <v>6046</v>
      </c>
      <c r="L27" s="771">
        <v>300000</v>
      </c>
      <c r="M27" s="740" t="s">
        <v>6185</v>
      </c>
    </row>
    <row r="28" spans="1:13">
      <c r="A28" s="985"/>
      <c r="B28" s="792" t="s">
        <v>4879</v>
      </c>
      <c r="C28" s="792"/>
      <c r="D28" s="792"/>
      <c r="E28" s="792"/>
      <c r="F28" s="792"/>
      <c r="G28" s="792"/>
      <c r="H28" s="792"/>
      <c r="I28" s="792"/>
      <c r="J28" s="792"/>
      <c r="K28" s="792"/>
      <c r="L28" s="719">
        <f>SUM(L12:L27)</f>
        <v>5400000</v>
      </c>
      <c r="M28" s="740"/>
    </row>
    <row r="29" spans="1:13" ht="25.5" customHeight="1" thickBot="1">
      <c r="A29" s="981" t="s">
        <v>62</v>
      </c>
      <c r="B29" s="982"/>
      <c r="C29" s="982"/>
      <c r="D29" s="982"/>
      <c r="E29" s="982"/>
      <c r="F29" s="982"/>
      <c r="G29" s="982"/>
      <c r="H29" s="982"/>
      <c r="I29" s="982"/>
      <c r="J29" s="982"/>
      <c r="K29" s="982"/>
      <c r="L29" s="741">
        <f>L11+L28</f>
        <v>8400000</v>
      </c>
      <c r="M29" s="742"/>
    </row>
    <row r="30" spans="1:13" ht="26.25" customHeight="1"/>
    <row r="31" spans="1:13" ht="26.25" hidden="1" customHeight="1"/>
    <row r="32" spans="1:13" ht="25.5" hidden="1" customHeight="1">
      <c r="B32" s="731" t="s">
        <v>1144</v>
      </c>
      <c r="C32" s="732"/>
      <c r="D32" s="732"/>
      <c r="E32" s="732"/>
      <c r="F32" s="732"/>
      <c r="G32" s="732"/>
      <c r="H32" s="732"/>
      <c r="I32" s="732"/>
    </row>
    <row r="33" spans="1:16" ht="25.5" hidden="1" customHeight="1">
      <c r="B33" s="733" t="s">
        <v>1140</v>
      </c>
      <c r="C33" s="731">
        <v>45282</v>
      </c>
      <c r="D33" s="732" t="s">
        <v>1151</v>
      </c>
      <c r="E33" s="732"/>
      <c r="F33" s="732"/>
      <c r="G33" s="732"/>
      <c r="I33" s="732"/>
    </row>
    <row r="34" spans="1:16" ht="25.5" hidden="1" customHeight="1">
      <c r="B34" s="733" t="s">
        <v>1141</v>
      </c>
      <c r="C34" s="731">
        <v>45282</v>
      </c>
      <c r="D34" s="732" t="s">
        <v>1143</v>
      </c>
      <c r="E34" s="732"/>
      <c r="F34" s="732"/>
      <c r="G34" s="732"/>
      <c r="H34" s="732"/>
      <c r="I34" s="732"/>
    </row>
    <row r="35" spans="1:16" ht="25.5" hidden="1" customHeight="1">
      <c r="B35" s="733" t="s">
        <v>1145</v>
      </c>
      <c r="C35" s="734" t="s">
        <v>1142</v>
      </c>
      <c r="D35" s="732" t="s">
        <v>1152</v>
      </c>
      <c r="E35" s="732"/>
      <c r="F35" s="732"/>
      <c r="G35" s="732"/>
      <c r="H35" s="732"/>
      <c r="I35" s="732"/>
    </row>
    <row r="36" spans="1:16" ht="20.100000000000001" hidden="1" customHeight="1">
      <c r="B36" s="732"/>
      <c r="C36" s="732" t="s">
        <v>1146</v>
      </c>
      <c r="D36" s="732"/>
      <c r="E36" s="732"/>
      <c r="F36" s="732"/>
      <c r="G36" s="732"/>
      <c r="H36" s="732"/>
      <c r="I36" s="732"/>
    </row>
    <row r="37" spans="1:16" ht="16.5" hidden="1" customHeight="1"/>
    <row r="38" spans="1:16" ht="20.100000000000001" hidden="1" customHeight="1">
      <c r="J38" s="732"/>
    </row>
    <row r="41" spans="1:16" ht="28.5" customHeight="1">
      <c r="A41" s="707" t="s">
        <v>0</v>
      </c>
      <c r="B41" s="708" t="s">
        <v>1</v>
      </c>
      <c r="C41" s="707" t="s">
        <v>2</v>
      </c>
      <c r="D41" s="707" t="s">
        <v>3</v>
      </c>
      <c r="E41" s="707" t="s">
        <v>4</v>
      </c>
      <c r="F41" s="707" t="s">
        <v>5</v>
      </c>
      <c r="G41" s="707" t="s">
        <v>6</v>
      </c>
      <c r="H41" s="709" t="s">
        <v>7</v>
      </c>
      <c r="I41" s="707" t="s">
        <v>8</v>
      </c>
      <c r="J41" s="707" t="s">
        <v>9</v>
      </c>
      <c r="K41" s="710" t="s">
        <v>10</v>
      </c>
      <c r="L41" s="707" t="s">
        <v>12</v>
      </c>
      <c r="M41" s="707" t="s">
        <v>63</v>
      </c>
    </row>
    <row r="42" spans="1:16" s="17" customFormat="1" ht="33" customHeight="1">
      <c r="A42" s="617" t="s">
        <v>5625</v>
      </c>
      <c r="B42" s="401">
        <v>46188</v>
      </c>
      <c r="C42" s="3" t="s">
        <v>21</v>
      </c>
      <c r="D42" s="3" t="s">
        <v>17</v>
      </c>
      <c r="E42" s="463" t="s">
        <v>4836</v>
      </c>
      <c r="F42" s="463">
        <v>3306</v>
      </c>
      <c r="G42" s="468" t="s">
        <v>1328</v>
      </c>
      <c r="H42" s="462" t="s">
        <v>5892</v>
      </c>
      <c r="I42" s="462" t="s">
        <v>5893</v>
      </c>
      <c r="J42" s="462" t="s">
        <v>686</v>
      </c>
      <c r="K42" s="125" t="s">
        <v>15</v>
      </c>
      <c r="L42" s="464">
        <v>4</v>
      </c>
      <c r="M42" s="464"/>
      <c r="N42" s="773" t="s">
        <v>6035</v>
      </c>
      <c r="O42" s="439"/>
      <c r="P42" s="572"/>
    </row>
    <row r="43" spans="1:16" s="17" customFormat="1" ht="33" customHeight="1">
      <c r="A43" s="618"/>
      <c r="B43" s="401">
        <v>46188</v>
      </c>
      <c r="C43" s="3" t="s">
        <v>6140</v>
      </c>
      <c r="D43" s="3" t="s">
        <v>6026</v>
      </c>
      <c r="E43" s="463" t="s">
        <v>6141</v>
      </c>
      <c r="F43" s="463" t="s">
        <v>6142</v>
      </c>
      <c r="G43" s="468" t="s">
        <v>6143</v>
      </c>
      <c r="H43" s="462" t="s">
        <v>6144</v>
      </c>
      <c r="I43" s="462"/>
      <c r="J43" s="462" t="s">
        <v>5606</v>
      </c>
      <c r="K43" s="125" t="s">
        <v>6046</v>
      </c>
      <c r="L43" s="464">
        <v>2</v>
      </c>
      <c r="M43" s="464"/>
      <c r="N43" s="773"/>
      <c r="O43" s="439"/>
      <c r="P43" s="572"/>
    </row>
    <row r="44" spans="1:16" s="17" customFormat="1" ht="33" customHeight="1">
      <c r="A44" s="618"/>
      <c r="B44" s="401">
        <v>46189</v>
      </c>
      <c r="C44" s="3" t="s">
        <v>21</v>
      </c>
      <c r="D44" s="3" t="s">
        <v>17</v>
      </c>
      <c r="E44" s="463" t="s">
        <v>4836</v>
      </c>
      <c r="F44" s="463">
        <v>3306</v>
      </c>
      <c r="G44" s="468" t="s">
        <v>1328</v>
      </c>
      <c r="H44" s="462" t="s">
        <v>5892</v>
      </c>
      <c r="I44" s="462" t="s">
        <v>5893</v>
      </c>
      <c r="J44" s="462" t="s">
        <v>686</v>
      </c>
      <c r="K44" s="125" t="s">
        <v>15</v>
      </c>
      <c r="L44" s="464">
        <v>4</v>
      </c>
      <c r="M44" s="464"/>
      <c r="N44" s="773"/>
      <c r="O44" s="439"/>
      <c r="P44" s="572"/>
    </row>
    <row r="45" spans="1:16" s="17" customFormat="1" ht="33" customHeight="1">
      <c r="A45" s="618"/>
      <c r="B45" s="401">
        <v>46189</v>
      </c>
      <c r="C45" s="3" t="s">
        <v>6140</v>
      </c>
      <c r="D45" s="3" t="s">
        <v>6026</v>
      </c>
      <c r="E45" s="463" t="s">
        <v>6141</v>
      </c>
      <c r="F45" s="463" t="s">
        <v>6142</v>
      </c>
      <c r="G45" s="468" t="s">
        <v>6143</v>
      </c>
      <c r="H45" s="775" t="s">
        <v>6154</v>
      </c>
      <c r="I45" s="773" t="s">
        <v>6022</v>
      </c>
      <c r="J45" s="773" t="s">
        <v>3105</v>
      </c>
      <c r="K45" s="125"/>
      <c r="L45" s="8">
        <v>2</v>
      </c>
      <c r="M45" s="8"/>
      <c r="N45" s="463"/>
      <c r="O45" s="439"/>
      <c r="P45" s="572"/>
    </row>
    <row r="46" spans="1:16" s="17" customFormat="1" ht="33" customHeight="1">
      <c r="A46" s="618"/>
      <c r="B46" s="401">
        <v>46189</v>
      </c>
      <c r="C46" s="3" t="s">
        <v>21</v>
      </c>
      <c r="D46" s="3" t="s">
        <v>14</v>
      </c>
      <c r="E46" s="463" t="s">
        <v>1893</v>
      </c>
      <c r="F46" s="463" t="s">
        <v>4939</v>
      </c>
      <c r="G46" s="468" t="s">
        <v>482</v>
      </c>
      <c r="H46" s="462" t="s">
        <v>6043</v>
      </c>
      <c r="I46" s="462" t="s">
        <v>6155</v>
      </c>
      <c r="J46" s="462" t="s">
        <v>6016</v>
      </c>
      <c r="K46" s="125" t="s">
        <v>6046</v>
      </c>
      <c r="L46" s="464">
        <v>2</v>
      </c>
      <c r="M46" s="464"/>
      <c r="N46" s="463"/>
      <c r="O46" s="439"/>
      <c r="P46" s="572"/>
    </row>
    <row r="47" spans="1:16" s="17" customFormat="1" ht="33" customHeight="1">
      <c r="A47" s="618"/>
      <c r="B47" s="401">
        <v>46189</v>
      </c>
      <c r="C47" s="3" t="s">
        <v>6099</v>
      </c>
      <c r="D47" s="3" t="s">
        <v>6100</v>
      </c>
      <c r="E47" s="462" t="s">
        <v>6101</v>
      </c>
      <c r="F47" s="773" t="s">
        <v>6104</v>
      </c>
      <c r="G47" s="16" t="s">
        <v>6108</v>
      </c>
      <c r="H47" s="775" t="s">
        <v>6107</v>
      </c>
      <c r="I47" s="773"/>
      <c r="J47" s="775" t="s">
        <v>6102</v>
      </c>
      <c r="K47" s="125" t="s">
        <v>6041</v>
      </c>
      <c r="L47" s="8">
        <v>2</v>
      </c>
      <c r="M47" s="8"/>
      <c r="N47" s="463"/>
      <c r="O47" s="439" t="s">
        <v>6109</v>
      </c>
      <c r="P47" s="572"/>
    </row>
    <row r="48" spans="1:16" s="17" customFormat="1" ht="33" customHeight="1">
      <c r="A48" s="618"/>
      <c r="B48" s="401">
        <v>46190</v>
      </c>
      <c r="C48" s="3" t="s">
        <v>6099</v>
      </c>
      <c r="D48" s="3" t="s">
        <v>6100</v>
      </c>
      <c r="E48" s="462" t="s">
        <v>6101</v>
      </c>
      <c r="F48" s="773" t="s">
        <v>6104</v>
      </c>
      <c r="G48" s="16" t="s">
        <v>6105</v>
      </c>
      <c r="H48" s="775" t="s">
        <v>6106</v>
      </c>
      <c r="I48" s="773"/>
      <c r="J48" s="775" t="s">
        <v>6102</v>
      </c>
      <c r="K48" s="125" t="s">
        <v>6041</v>
      </c>
      <c r="L48" s="8">
        <v>2</v>
      </c>
      <c r="M48" s="8"/>
      <c r="N48" s="463" t="s">
        <v>6123</v>
      </c>
      <c r="O48" s="438" t="s">
        <v>6110</v>
      </c>
      <c r="P48" s="572"/>
    </row>
    <row r="49" spans="1:16" s="17" customFormat="1" ht="33" customHeight="1">
      <c r="A49" s="618"/>
      <c r="B49" s="401">
        <v>46190</v>
      </c>
      <c r="C49" s="3" t="s">
        <v>21</v>
      </c>
      <c r="D49" s="3" t="s">
        <v>14</v>
      </c>
      <c r="E49" s="463" t="s">
        <v>1893</v>
      </c>
      <c r="F49" s="463" t="s">
        <v>4939</v>
      </c>
      <c r="G49" s="468" t="s">
        <v>482</v>
      </c>
      <c r="H49" s="462" t="s">
        <v>6043</v>
      </c>
      <c r="I49" s="462" t="s">
        <v>6155</v>
      </c>
      <c r="J49" s="462" t="s">
        <v>6016</v>
      </c>
      <c r="K49" s="125" t="s">
        <v>6046</v>
      </c>
      <c r="L49" s="464">
        <v>2</v>
      </c>
      <c r="M49" s="464"/>
      <c r="N49" s="463"/>
      <c r="O49" s="438"/>
      <c r="P49" s="572"/>
    </row>
    <row r="50" spans="1:16" s="17" customFormat="1" ht="40.5">
      <c r="A50" s="618"/>
      <c r="B50" s="401">
        <v>46191</v>
      </c>
      <c r="C50" s="4" t="s">
        <v>21</v>
      </c>
      <c r="D50" s="4" t="s">
        <v>14</v>
      </c>
      <c r="E50" s="291" t="s">
        <v>149</v>
      </c>
      <c r="F50" s="773" t="s">
        <v>4090</v>
      </c>
      <c r="G50" s="16" t="s">
        <v>4091</v>
      </c>
      <c r="H50" s="775" t="s">
        <v>6135</v>
      </c>
      <c r="I50" s="773"/>
      <c r="J50" s="775" t="s">
        <v>6103</v>
      </c>
      <c r="K50" s="125" t="s">
        <v>6041</v>
      </c>
      <c r="L50" s="8">
        <v>2</v>
      </c>
      <c r="M50" s="8"/>
      <c r="N50" s="774"/>
      <c r="O50" s="438"/>
      <c r="P50" s="572"/>
    </row>
    <row r="51" spans="1:16" s="17" customFormat="1" ht="33" customHeight="1">
      <c r="A51" s="618"/>
      <c r="B51" s="401">
        <v>46191</v>
      </c>
      <c r="C51" s="3" t="s">
        <v>6025</v>
      </c>
      <c r="D51" s="3" t="s">
        <v>6129</v>
      </c>
      <c r="E51" s="462" t="s">
        <v>6130</v>
      </c>
      <c r="F51" s="773">
        <v>7060</v>
      </c>
      <c r="G51" s="16" t="s">
        <v>6131</v>
      </c>
      <c r="H51" s="775" t="s">
        <v>6132</v>
      </c>
      <c r="I51" s="773" t="s">
        <v>6054</v>
      </c>
      <c r="J51" s="775" t="s">
        <v>6133</v>
      </c>
      <c r="K51" s="125" t="s">
        <v>6046</v>
      </c>
      <c r="L51" s="8">
        <v>2</v>
      </c>
      <c r="M51" s="8"/>
      <c r="N51" s="774"/>
      <c r="O51" s="438"/>
      <c r="P51" s="572"/>
    </row>
    <row r="52" spans="1:16" s="17" customFormat="1" ht="33" customHeight="1">
      <c r="A52" s="618"/>
      <c r="B52" s="401">
        <v>46191</v>
      </c>
      <c r="C52" s="3" t="s">
        <v>21</v>
      </c>
      <c r="D52" s="3" t="s">
        <v>14</v>
      </c>
      <c r="E52" s="463" t="s">
        <v>211</v>
      </c>
      <c r="F52" s="463" t="s">
        <v>5754</v>
      </c>
      <c r="G52" s="468" t="s">
        <v>5833</v>
      </c>
      <c r="H52" s="462" t="s">
        <v>6120</v>
      </c>
      <c r="I52" s="773" t="s">
        <v>6054</v>
      </c>
      <c r="J52" s="773" t="s">
        <v>6122</v>
      </c>
      <c r="K52" s="125" t="s">
        <v>6046</v>
      </c>
      <c r="L52" s="8">
        <v>2</v>
      </c>
      <c r="M52" s="8"/>
      <c r="N52" s="774"/>
      <c r="O52" s="438"/>
      <c r="P52" s="572"/>
    </row>
    <row r="53" spans="1:16" s="17" customFormat="1" ht="33" customHeight="1">
      <c r="A53" s="618"/>
      <c r="B53" s="401">
        <v>46191</v>
      </c>
      <c r="C53" s="3" t="s">
        <v>21</v>
      </c>
      <c r="D53" s="3" t="s">
        <v>14</v>
      </c>
      <c r="E53" s="463" t="s">
        <v>1893</v>
      </c>
      <c r="F53" s="463" t="s">
        <v>4939</v>
      </c>
      <c r="G53" s="468" t="s">
        <v>482</v>
      </c>
      <c r="H53" s="462" t="s">
        <v>6043</v>
      </c>
      <c r="I53" s="462" t="s">
        <v>6155</v>
      </c>
      <c r="J53" s="462" t="s">
        <v>6016</v>
      </c>
      <c r="K53" s="125" t="s">
        <v>6046</v>
      </c>
      <c r="L53" s="464">
        <v>2</v>
      </c>
      <c r="M53" s="464"/>
      <c r="N53" s="774"/>
      <c r="O53" s="438"/>
      <c r="P53" s="572"/>
    </row>
    <row r="54" spans="1:16" s="17" customFormat="1" ht="33" customHeight="1">
      <c r="A54" s="619"/>
      <c r="B54" s="370">
        <v>46192</v>
      </c>
      <c r="C54" s="3" t="s">
        <v>21</v>
      </c>
      <c r="D54" s="3" t="s">
        <v>14</v>
      </c>
      <c r="E54" s="463" t="s">
        <v>1893</v>
      </c>
      <c r="F54" s="463" t="s">
        <v>4939</v>
      </c>
      <c r="G54" s="468" t="s">
        <v>482</v>
      </c>
      <c r="H54" s="462" t="s">
        <v>6043</v>
      </c>
      <c r="I54" s="462" t="s">
        <v>6155</v>
      </c>
      <c r="J54" s="462" t="s">
        <v>6016</v>
      </c>
      <c r="K54" s="125" t="s">
        <v>6046</v>
      </c>
      <c r="L54" s="464">
        <v>2</v>
      </c>
      <c r="M54" s="464"/>
      <c r="N54" s="774"/>
      <c r="O54" s="438"/>
      <c r="P54" s="572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29:K29"/>
    <mergeCell ref="B28:K28"/>
    <mergeCell ref="A12:A2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1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1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1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1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1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1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1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1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1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1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1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1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1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1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1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2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03" t="s">
        <v>53</v>
      </c>
      <c r="B21" s="803"/>
      <c r="C21" s="803"/>
      <c r="D21" s="803"/>
      <c r="E21" s="803"/>
      <c r="F21" s="803"/>
      <c r="G21" s="803"/>
      <c r="H21" s="803"/>
      <c r="I21" s="80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21" t="s">
        <v>53</v>
      </c>
      <c r="B26" s="1022"/>
      <c r="C26" s="1022"/>
      <c r="D26" s="1022"/>
      <c r="E26" s="1022"/>
      <c r="F26" s="1022"/>
      <c r="G26" s="1022"/>
      <c r="H26" s="1022"/>
      <c r="I26" s="102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1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1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1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1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1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21" t="s">
        <v>53</v>
      </c>
      <c r="B35" s="1022"/>
      <c r="C35" s="1022"/>
      <c r="D35" s="1022"/>
      <c r="E35" s="1022"/>
      <c r="F35" s="1022"/>
      <c r="G35" s="1022"/>
      <c r="H35" s="1022"/>
      <c r="I35" s="102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1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1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2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21" t="s">
        <v>53</v>
      </c>
      <c r="B42" s="1022"/>
      <c r="C42" s="1022"/>
      <c r="D42" s="1022"/>
      <c r="E42" s="1022"/>
      <c r="F42" s="1022"/>
      <c r="G42" s="1022"/>
      <c r="H42" s="1022"/>
      <c r="I42" s="102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21" t="s">
        <v>53</v>
      </c>
      <c r="B48" s="1022"/>
      <c r="C48" s="1022"/>
      <c r="D48" s="1022"/>
      <c r="E48" s="1022"/>
      <c r="F48" s="1022"/>
      <c r="G48" s="1022"/>
      <c r="H48" s="1022"/>
      <c r="I48" s="102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1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2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21" t="s">
        <v>53</v>
      </c>
      <c r="B54" s="1022"/>
      <c r="C54" s="1022"/>
      <c r="D54" s="1022"/>
      <c r="E54" s="1022"/>
      <c r="F54" s="1022"/>
      <c r="G54" s="1022"/>
      <c r="H54" s="1022"/>
      <c r="I54" s="102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1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1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1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19"/>
      <c r="B61" s="105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19"/>
      <c r="B62" s="105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19"/>
      <c r="B63" s="105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21" t="s">
        <v>53</v>
      </c>
      <c r="B64" s="1022"/>
      <c r="C64" s="1022"/>
      <c r="D64" s="1022"/>
      <c r="E64" s="1022"/>
      <c r="F64" s="1022"/>
      <c r="G64" s="1022"/>
      <c r="H64" s="1022"/>
      <c r="I64" s="102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4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21" t="s">
        <v>53</v>
      </c>
      <c r="B70" s="1022"/>
      <c r="C70" s="1022"/>
      <c r="D70" s="1022"/>
      <c r="E70" s="1022"/>
      <c r="F70" s="1022"/>
      <c r="G70" s="1022"/>
      <c r="H70" s="1022"/>
      <c r="I70" s="102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1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1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03" t="s">
        <v>53</v>
      </c>
      <c r="B78" s="803"/>
      <c r="C78" s="803"/>
      <c r="D78" s="803"/>
      <c r="E78" s="803"/>
      <c r="F78" s="803"/>
      <c r="G78" s="803"/>
      <c r="H78" s="803"/>
      <c r="I78" s="80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1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1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1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1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21" t="s">
        <v>53</v>
      </c>
      <c r="B86" s="1022"/>
      <c r="C86" s="1022"/>
      <c r="D86" s="1022"/>
      <c r="E86" s="1022"/>
      <c r="F86" s="1022"/>
      <c r="G86" s="1022"/>
      <c r="H86" s="1022"/>
      <c r="I86" s="102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21" t="s">
        <v>53</v>
      </c>
      <c r="B92" s="1022"/>
      <c r="C92" s="1022"/>
      <c r="D92" s="1022"/>
      <c r="E92" s="1022"/>
      <c r="F92" s="1022"/>
      <c r="G92" s="1022"/>
      <c r="H92" s="1022"/>
      <c r="I92" s="102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1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1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1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1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21" t="s">
        <v>53</v>
      </c>
      <c r="B101" s="1022"/>
      <c r="C101" s="1022"/>
      <c r="D101" s="1022"/>
      <c r="E101" s="1022"/>
      <c r="F101" s="1022"/>
      <c r="G101" s="1022"/>
      <c r="H101" s="1022"/>
      <c r="I101" s="102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1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19"/>
      <c r="B107" s="104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19"/>
      <c r="B108" s="104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1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1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2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03" t="s">
        <v>53</v>
      </c>
      <c r="B112" s="803"/>
      <c r="C112" s="803"/>
      <c r="D112" s="803"/>
      <c r="E112" s="803"/>
      <c r="F112" s="803"/>
      <c r="G112" s="803"/>
      <c r="H112" s="803"/>
      <c r="I112" s="80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00" t="s">
        <v>954</v>
      </c>
      <c r="B119" s="82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1"/>
      <c r="B120" s="83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03" t="s">
        <v>53</v>
      </c>
      <c r="B121" s="803"/>
      <c r="C121" s="803"/>
      <c r="D121" s="803"/>
      <c r="E121" s="803"/>
      <c r="F121" s="803"/>
      <c r="G121" s="803"/>
      <c r="H121" s="803"/>
      <c r="I121" s="80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00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1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1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1"/>
      <c r="B129" s="105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1" t="s">
        <v>90</v>
      </c>
      <c r="J129" s="1039">
        <v>2</v>
      </c>
      <c r="K129" s="25" t="s">
        <v>52</v>
      </c>
      <c r="L129" s="25" t="s">
        <v>51</v>
      </c>
    </row>
    <row r="130" spans="1:12">
      <c r="A130" s="801"/>
      <c r="B130" s="105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1"/>
      <c r="J130" s="1040"/>
      <c r="K130" s="25" t="s">
        <v>52</v>
      </c>
      <c r="L130" s="25" t="s">
        <v>51</v>
      </c>
    </row>
    <row r="131" spans="1:12">
      <c r="A131" s="801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1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1"/>
      <c r="B133" s="89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7" t="s">
        <v>1277</v>
      </c>
      <c r="J133" s="1039">
        <v>1</v>
      </c>
      <c r="K133" s="25" t="s">
        <v>52</v>
      </c>
      <c r="L133" s="25" t="s">
        <v>51</v>
      </c>
    </row>
    <row r="134" spans="1:12">
      <c r="A134" s="801"/>
      <c r="B134" s="89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07"/>
      <c r="J134" s="1040"/>
      <c r="K134" s="25" t="s">
        <v>52</v>
      </c>
      <c r="L134" s="25" t="s">
        <v>51</v>
      </c>
    </row>
    <row r="135" spans="1:12">
      <c r="A135" s="801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2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03" t="s">
        <v>53</v>
      </c>
      <c r="B137" s="803"/>
      <c r="C137" s="803"/>
      <c r="D137" s="803"/>
      <c r="E137" s="803"/>
      <c r="F137" s="803"/>
      <c r="G137" s="803"/>
      <c r="H137" s="803"/>
      <c r="I137" s="80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1" t="s">
        <v>1007</v>
      </c>
      <c r="B142" s="89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1"/>
      <c r="B143" s="89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1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03" t="s">
        <v>53</v>
      </c>
      <c r="B145" s="803"/>
      <c r="C145" s="803"/>
      <c r="D145" s="803"/>
      <c r="E145" s="803"/>
      <c r="F145" s="803"/>
      <c r="G145" s="803"/>
      <c r="H145" s="803"/>
      <c r="I145" s="80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5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56"/>
      <c r="B150" s="82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56"/>
      <c r="B151" s="83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5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5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793" t="s">
        <v>53</v>
      </c>
      <c r="B154" s="793"/>
      <c r="C154" s="793"/>
      <c r="D154" s="793"/>
      <c r="E154" s="793"/>
      <c r="F154" s="793"/>
      <c r="G154" s="793"/>
      <c r="H154" s="793"/>
      <c r="I154" s="79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00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1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1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1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2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03" t="s">
        <v>53</v>
      </c>
      <c r="B163" s="803"/>
      <c r="C163" s="803"/>
      <c r="D163" s="803"/>
      <c r="E163" s="803"/>
      <c r="F163" s="803"/>
      <c r="G163" s="803"/>
      <c r="H163" s="803"/>
      <c r="I163" s="80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793" t="s">
        <v>53</v>
      </c>
      <c r="B167" s="793"/>
      <c r="C167" s="793"/>
      <c r="D167" s="793"/>
      <c r="E167" s="793"/>
      <c r="F167" s="793"/>
      <c r="G167" s="793"/>
      <c r="H167" s="793"/>
      <c r="I167" s="79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00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1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1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1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1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1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1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1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1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2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03" t="s">
        <v>53</v>
      </c>
      <c r="B183" s="803"/>
      <c r="C183" s="803"/>
      <c r="D183" s="803"/>
      <c r="E183" s="803"/>
      <c r="F183" s="803"/>
      <c r="G183" s="803"/>
      <c r="H183" s="803"/>
      <c r="I183" s="80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50" t="s">
        <v>1061</v>
      </c>
      <c r="B189" s="82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1"/>
      <c r="B190" s="83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1"/>
      <c r="B191" s="82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1"/>
      <c r="B192" s="83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03" t="s">
        <v>53</v>
      </c>
      <c r="B193" s="803"/>
      <c r="C193" s="803"/>
      <c r="D193" s="803"/>
      <c r="E193" s="803"/>
      <c r="F193" s="803"/>
      <c r="G193" s="803"/>
      <c r="H193" s="803"/>
      <c r="I193" s="80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5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5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5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5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93" t="s">
        <v>53</v>
      </c>
      <c r="B203" s="793"/>
      <c r="C203" s="793"/>
      <c r="D203" s="793"/>
      <c r="E203" s="793"/>
      <c r="F203" s="793"/>
      <c r="G203" s="793"/>
      <c r="H203" s="793"/>
      <c r="I203" s="79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9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79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79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9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79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9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9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93" t="s">
        <v>53</v>
      </c>
      <c r="B214" s="793"/>
      <c r="C214" s="793"/>
      <c r="D214" s="793"/>
      <c r="E214" s="793"/>
      <c r="F214" s="793"/>
      <c r="G214" s="793"/>
      <c r="H214" s="793"/>
      <c r="I214" s="79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79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79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79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79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79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79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793" t="s">
        <v>1458</v>
      </c>
      <c r="B226" s="793"/>
      <c r="C226" s="793"/>
      <c r="D226" s="793"/>
      <c r="E226" s="793"/>
      <c r="F226" s="793"/>
      <c r="G226" s="793"/>
      <c r="H226" s="793"/>
      <c r="I226" s="79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79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79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79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79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79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79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79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793" t="s">
        <v>1499</v>
      </c>
      <c r="B236" s="793"/>
      <c r="C236" s="793"/>
      <c r="D236" s="793"/>
      <c r="E236" s="793"/>
      <c r="F236" s="793"/>
      <c r="G236" s="793"/>
      <c r="H236" s="793"/>
      <c r="I236" s="79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1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1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1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1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21" t="s">
        <v>53</v>
      </c>
      <c r="B244" s="1022"/>
      <c r="C244" s="1022"/>
      <c r="D244" s="1022"/>
      <c r="E244" s="1022"/>
      <c r="F244" s="1022"/>
      <c r="G244" s="1022"/>
      <c r="H244" s="1022"/>
      <c r="I244" s="102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1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1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1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21" t="s">
        <v>53</v>
      </c>
      <c r="B250" s="1022"/>
      <c r="C250" s="1022"/>
      <c r="D250" s="1022"/>
      <c r="E250" s="1022"/>
      <c r="F250" s="1022"/>
      <c r="G250" s="1022"/>
      <c r="H250" s="1022"/>
      <c r="I250" s="102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1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1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1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1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21" t="s">
        <v>53</v>
      </c>
      <c r="B257" s="1022"/>
      <c r="C257" s="1022"/>
      <c r="D257" s="1022"/>
      <c r="E257" s="1022"/>
      <c r="F257" s="1022"/>
      <c r="G257" s="1022"/>
      <c r="H257" s="1022"/>
      <c r="I257" s="1023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6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6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21" t="s">
        <v>53</v>
      </c>
      <c r="B262" s="1022"/>
      <c r="C262" s="1022"/>
      <c r="D262" s="1022"/>
      <c r="E262" s="1022"/>
      <c r="F262" s="1022"/>
      <c r="G262" s="1022"/>
      <c r="H262" s="1022"/>
      <c r="I262" s="1023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1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1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3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1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1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1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2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21" t="s">
        <v>53</v>
      </c>
      <c r="B271" s="1022"/>
      <c r="C271" s="1022"/>
      <c r="D271" s="1022"/>
      <c r="E271" s="1022"/>
      <c r="F271" s="1022"/>
      <c r="G271" s="1022"/>
      <c r="H271" s="1022"/>
      <c r="I271" s="1023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21" t="s">
        <v>53</v>
      </c>
      <c r="B275" s="1022"/>
      <c r="C275" s="1022"/>
      <c r="D275" s="1022"/>
      <c r="E275" s="1022"/>
      <c r="F275" s="1022"/>
      <c r="G275" s="1022"/>
      <c r="H275" s="1022"/>
      <c r="I275" s="1023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2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2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2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2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2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2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2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21" t="s">
        <v>1646</v>
      </c>
      <c r="B296" s="1022"/>
      <c r="C296" s="1022"/>
      <c r="D296" s="1022"/>
      <c r="E296" s="1022"/>
      <c r="F296" s="1022"/>
      <c r="G296" s="1022"/>
      <c r="H296" s="1022"/>
      <c r="I296" s="1022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79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79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79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79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793" t="s">
        <v>1659</v>
      </c>
      <c r="B305" s="793"/>
      <c r="C305" s="793"/>
      <c r="D305" s="793"/>
      <c r="E305" s="793"/>
      <c r="F305" s="793"/>
      <c r="G305" s="793"/>
      <c r="H305" s="793"/>
      <c r="I305" s="79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793" t="s">
        <v>53</v>
      </c>
      <c r="B309" s="793"/>
      <c r="C309" s="793"/>
      <c r="D309" s="793"/>
      <c r="E309" s="793"/>
      <c r="F309" s="793"/>
      <c r="G309" s="793"/>
      <c r="H309" s="793"/>
      <c r="I309" s="79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79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79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793" t="s">
        <v>1659</v>
      </c>
      <c r="B314" s="793"/>
      <c r="C314" s="793"/>
      <c r="D314" s="793"/>
      <c r="E314" s="793"/>
      <c r="F314" s="793"/>
      <c r="G314" s="793"/>
      <c r="H314" s="793"/>
      <c r="I314" s="79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79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9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9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793" t="s">
        <v>1659</v>
      </c>
      <c r="B321" s="793"/>
      <c r="C321" s="793"/>
      <c r="D321" s="793"/>
      <c r="E321" s="793"/>
      <c r="F321" s="793"/>
      <c r="G321" s="793"/>
      <c r="H321" s="793"/>
      <c r="I321" s="79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79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79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79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79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79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793" t="s">
        <v>1659</v>
      </c>
      <c r="B330" s="793"/>
      <c r="C330" s="793"/>
      <c r="D330" s="793"/>
      <c r="E330" s="793"/>
      <c r="F330" s="793"/>
      <c r="G330" s="793"/>
      <c r="H330" s="793"/>
      <c r="I330" s="79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793" t="s">
        <v>1659</v>
      </c>
      <c r="B338" s="793"/>
      <c r="C338" s="793"/>
      <c r="D338" s="793"/>
      <c r="E338" s="793"/>
      <c r="F338" s="793"/>
      <c r="G338" s="793"/>
      <c r="H338" s="793"/>
      <c r="I338" s="79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61" t="s">
        <v>1521</v>
      </c>
      <c r="B343" s="128" t="s">
        <v>1531</v>
      </c>
      <c r="C343" s="932" t="s">
        <v>306</v>
      </c>
      <c r="D343" s="932" t="s">
        <v>322</v>
      </c>
      <c r="E343" s="806" t="s">
        <v>307</v>
      </c>
      <c r="F343" s="1064">
        <v>4266</v>
      </c>
      <c r="G343" s="932" t="s">
        <v>640</v>
      </c>
      <c r="H343" s="1064" t="s">
        <v>1533</v>
      </c>
      <c r="I343" s="932" t="s">
        <v>1534</v>
      </c>
      <c r="J343" s="806">
        <v>2</v>
      </c>
      <c r="K343" s="1018" t="s">
        <v>50</v>
      </c>
      <c r="L343" s="1018" t="s">
        <v>51</v>
      </c>
    </row>
    <row r="344" spans="1:13">
      <c r="A344" s="1062"/>
      <c r="B344" s="129" t="s">
        <v>1532</v>
      </c>
      <c r="C344" s="807"/>
      <c r="D344" s="807"/>
      <c r="E344" s="807"/>
      <c r="F344" s="809"/>
      <c r="G344" s="807"/>
      <c r="H344" s="809"/>
      <c r="I344" s="807"/>
      <c r="J344" s="807"/>
      <c r="K344" s="1020"/>
      <c r="L344" s="1020"/>
    </row>
    <row r="345" spans="1:13">
      <c r="A345" s="1062"/>
      <c r="B345" s="128" t="s">
        <v>1536</v>
      </c>
      <c r="C345" s="806" t="s">
        <v>306</v>
      </c>
      <c r="D345" s="806" t="s">
        <v>322</v>
      </c>
      <c r="E345" s="806" t="s">
        <v>307</v>
      </c>
      <c r="F345" s="808">
        <v>3306</v>
      </c>
      <c r="G345" s="806" t="s">
        <v>1153</v>
      </c>
      <c r="H345" s="808" t="s">
        <v>1538</v>
      </c>
      <c r="I345" s="806" t="s">
        <v>1534</v>
      </c>
      <c r="J345" s="806">
        <v>2</v>
      </c>
      <c r="K345" s="1018" t="s">
        <v>50</v>
      </c>
      <c r="L345" s="1018" t="s">
        <v>51</v>
      </c>
    </row>
    <row r="346" spans="1:13">
      <c r="A346" s="1063"/>
      <c r="B346" s="129" t="s">
        <v>1537</v>
      </c>
      <c r="C346" s="807"/>
      <c r="D346" s="807"/>
      <c r="E346" s="807"/>
      <c r="F346" s="809"/>
      <c r="G346" s="807"/>
      <c r="H346" s="809"/>
      <c r="I346" s="807"/>
      <c r="J346" s="807"/>
      <c r="K346" s="1020"/>
      <c r="L346" s="1020"/>
    </row>
    <row r="347" spans="1:13">
      <c r="A347" s="1021" t="s">
        <v>53</v>
      </c>
      <c r="B347" s="1022"/>
      <c r="C347" s="1022"/>
      <c r="D347" s="1022"/>
      <c r="E347" s="1022"/>
      <c r="F347" s="1022"/>
      <c r="G347" s="1022"/>
      <c r="H347" s="1022"/>
      <c r="I347" s="1023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00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1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1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1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1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1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1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03" t="s">
        <v>53</v>
      </c>
      <c r="B357" s="803"/>
      <c r="C357" s="803"/>
      <c r="D357" s="803"/>
      <c r="E357" s="803"/>
      <c r="F357" s="803"/>
      <c r="G357" s="803"/>
      <c r="H357" s="803"/>
      <c r="I357" s="80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793" t="s">
        <v>1458</v>
      </c>
      <c r="B361" s="793"/>
      <c r="C361" s="793"/>
      <c r="D361" s="793"/>
      <c r="E361" s="793"/>
      <c r="F361" s="793"/>
      <c r="G361" s="793"/>
      <c r="H361" s="793"/>
      <c r="I361" s="79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5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9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9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9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9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79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793" t="s">
        <v>1659</v>
      </c>
      <c r="B370" s="793"/>
      <c r="C370" s="793"/>
      <c r="D370" s="793"/>
      <c r="E370" s="793"/>
      <c r="F370" s="793"/>
      <c r="G370" s="793"/>
      <c r="H370" s="793"/>
      <c r="I370" s="79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03" t="s">
        <v>1646</v>
      </c>
      <c r="B378" s="803"/>
      <c r="C378" s="803"/>
      <c r="D378" s="803"/>
      <c r="E378" s="803"/>
      <c r="F378" s="803"/>
      <c r="G378" s="803"/>
      <c r="H378" s="803"/>
      <c r="I378" s="803"/>
      <c r="J378" s="803"/>
      <c r="K378" s="4">
        <v>25</v>
      </c>
      <c r="L378" s="55"/>
    </row>
    <row r="381" spans="1:12">
      <c r="B381" s="1044" t="s">
        <v>1</v>
      </c>
      <c r="C381" s="1044" t="s">
        <v>2</v>
      </c>
      <c r="D381" s="1044" t="s">
        <v>3</v>
      </c>
      <c r="E381" s="36" t="s">
        <v>54</v>
      </c>
      <c r="F381" s="1044" t="s">
        <v>5</v>
      </c>
      <c r="G381" s="1044" t="s">
        <v>6</v>
      </c>
      <c r="H381" s="1044" t="s">
        <v>7</v>
      </c>
      <c r="I381" s="1044" t="s">
        <v>55</v>
      </c>
      <c r="J381" s="1044" t="s">
        <v>9</v>
      </c>
      <c r="K381" s="1046" t="s">
        <v>56</v>
      </c>
      <c r="L381" s="1044" t="s">
        <v>57</v>
      </c>
    </row>
    <row r="382" spans="1:12">
      <c r="B382" s="1045"/>
      <c r="C382" s="1045"/>
      <c r="D382" s="1045"/>
      <c r="E382" s="37" t="s">
        <v>59</v>
      </c>
      <c r="F382" s="1045"/>
      <c r="G382" s="1045"/>
      <c r="H382" s="1045"/>
      <c r="I382" s="1045"/>
      <c r="J382" s="1045"/>
      <c r="K382" s="1047"/>
      <c r="L382" s="1045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793" t="s">
        <v>53</v>
      </c>
      <c r="B394" s="793"/>
      <c r="C394" s="793"/>
      <c r="D394" s="793"/>
      <c r="E394" s="793"/>
      <c r="F394" s="793"/>
      <c r="G394" s="793"/>
      <c r="H394" s="793"/>
      <c r="I394" s="79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793" t="s">
        <v>53</v>
      </c>
      <c r="B401" s="793"/>
      <c r="C401" s="793"/>
      <c r="D401" s="793"/>
      <c r="E401" s="793"/>
      <c r="F401" s="793"/>
      <c r="G401" s="793"/>
      <c r="H401" s="793"/>
      <c r="I401" s="79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6" t="s">
        <v>229</v>
      </c>
      <c r="B405" s="1029" t="s">
        <v>1805</v>
      </c>
      <c r="C405" s="1029" t="s">
        <v>700</v>
      </c>
      <c r="D405" s="1025" t="s">
        <v>675</v>
      </c>
      <c r="E405" s="1029" t="s">
        <v>1806</v>
      </c>
      <c r="F405" s="1029" t="s">
        <v>1807</v>
      </c>
      <c r="G405" s="1029" t="s">
        <v>662</v>
      </c>
      <c r="H405" s="1030" t="s">
        <v>1808</v>
      </c>
      <c r="I405" s="1025"/>
      <c r="J405" s="1030">
        <v>1</v>
      </c>
      <c r="K405" s="1018" t="s">
        <v>631</v>
      </c>
      <c r="L405" s="813" t="s">
        <v>51</v>
      </c>
    </row>
    <row r="406" spans="1:12" ht="13.5" customHeight="1">
      <c r="A406" s="1036"/>
      <c r="B406" s="1029"/>
      <c r="C406" s="1029"/>
      <c r="D406" s="1025"/>
      <c r="E406" s="1029"/>
      <c r="F406" s="1029"/>
      <c r="G406" s="1029"/>
      <c r="H406" s="1030"/>
      <c r="I406" s="1025"/>
      <c r="J406" s="1030"/>
      <c r="K406" s="1020"/>
      <c r="L406" s="815"/>
    </row>
    <row r="407" spans="1:12" ht="27" customHeight="1">
      <c r="A407" s="103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103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1036" t="s">
        <v>1646</v>
      </c>
      <c r="B409" s="1036"/>
      <c r="C409" s="1036"/>
      <c r="D409" s="1036"/>
      <c r="E409" s="1036"/>
      <c r="F409" s="1036"/>
      <c r="G409" s="1036"/>
      <c r="H409" s="1036"/>
      <c r="I409" s="103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6" t="s">
        <v>2008</v>
      </c>
      <c r="B412" s="1041" t="s">
        <v>2009</v>
      </c>
      <c r="C412" s="1018" t="s">
        <v>21</v>
      </c>
      <c r="D412" s="889" t="s">
        <v>14</v>
      </c>
      <c r="E412" s="1018" t="s">
        <v>78</v>
      </c>
      <c r="F412" s="1029" t="s">
        <v>2010</v>
      </c>
      <c r="G412" s="1029" t="s">
        <v>40</v>
      </c>
      <c r="H412" s="1030" t="s">
        <v>614</v>
      </c>
      <c r="I412" s="1025"/>
      <c r="J412" s="1030">
        <v>1</v>
      </c>
      <c r="K412" s="1018" t="s">
        <v>2011</v>
      </c>
      <c r="L412" s="813" t="s">
        <v>1997</v>
      </c>
    </row>
    <row r="413" spans="1:12" ht="20.100000000000001" customHeight="1">
      <c r="A413" s="1036"/>
      <c r="B413" s="1029"/>
      <c r="C413" s="1020"/>
      <c r="D413" s="891"/>
      <c r="E413" s="1020"/>
      <c r="F413" s="1029"/>
      <c r="G413" s="1029"/>
      <c r="H413" s="1030"/>
      <c r="I413" s="1025"/>
      <c r="J413" s="1030"/>
      <c r="K413" s="1020"/>
      <c r="L413" s="815"/>
    </row>
    <row r="414" spans="1:12" ht="20.100000000000001" customHeight="1">
      <c r="A414" s="1036" t="s">
        <v>1646</v>
      </c>
      <c r="B414" s="1036"/>
      <c r="C414" s="1036"/>
      <c r="D414" s="1036"/>
      <c r="E414" s="1036"/>
      <c r="F414" s="1036"/>
      <c r="G414" s="1036"/>
      <c r="H414" s="1036"/>
      <c r="I414" s="103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1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814"/>
      <c r="B418" s="78" t="s">
        <v>1748</v>
      </c>
      <c r="C418" s="1025" t="s">
        <v>306</v>
      </c>
      <c r="D418" s="1025" t="s">
        <v>322</v>
      </c>
      <c r="E418" s="1025" t="s">
        <v>307</v>
      </c>
      <c r="F418" s="1030">
        <v>3306</v>
      </c>
      <c r="G418" s="1025" t="s">
        <v>1153</v>
      </c>
      <c r="H418" s="1030" t="s">
        <v>1749</v>
      </c>
      <c r="I418" s="1025" t="s">
        <v>664</v>
      </c>
      <c r="J418" s="1025">
        <v>4</v>
      </c>
      <c r="K418" s="1018" t="s">
        <v>631</v>
      </c>
      <c r="L418" s="813" t="s">
        <v>51</v>
      </c>
    </row>
    <row r="419" spans="1:12" ht="13.5" customHeight="1">
      <c r="A419" s="814"/>
      <c r="B419" s="79" t="s">
        <v>1751</v>
      </c>
      <c r="C419" s="1025"/>
      <c r="D419" s="1025"/>
      <c r="E419" s="1025"/>
      <c r="F419" s="1030"/>
      <c r="G419" s="1025"/>
      <c r="H419" s="1030"/>
      <c r="I419" s="1025"/>
      <c r="J419" s="1025"/>
      <c r="K419" s="1020"/>
      <c r="L419" s="815"/>
    </row>
    <row r="420" spans="1:12" ht="13.5" customHeight="1">
      <c r="A420" s="814"/>
      <c r="B420" s="78" t="s">
        <v>1800</v>
      </c>
      <c r="C420" s="1025" t="s">
        <v>306</v>
      </c>
      <c r="D420" s="1025" t="s">
        <v>322</v>
      </c>
      <c r="E420" s="1025" t="s">
        <v>307</v>
      </c>
      <c r="F420" s="1030" t="s">
        <v>1801</v>
      </c>
      <c r="G420" s="1025" t="s">
        <v>1802</v>
      </c>
      <c r="H420" s="1030" t="s">
        <v>1803</v>
      </c>
      <c r="I420" s="1025" t="s">
        <v>664</v>
      </c>
      <c r="J420" s="1025">
        <v>5</v>
      </c>
      <c r="K420" s="1018" t="s">
        <v>631</v>
      </c>
      <c r="L420" s="813" t="s">
        <v>51</v>
      </c>
    </row>
    <row r="421" spans="1:12" ht="13.5" customHeight="1">
      <c r="A421" s="814"/>
      <c r="B421" s="79" t="s">
        <v>1795</v>
      </c>
      <c r="C421" s="1025"/>
      <c r="D421" s="1025"/>
      <c r="E421" s="1025"/>
      <c r="F421" s="1030"/>
      <c r="G421" s="1025"/>
      <c r="H421" s="1030"/>
      <c r="I421" s="1025"/>
      <c r="J421" s="1025"/>
      <c r="K421" s="1020"/>
      <c r="L421" s="815"/>
    </row>
    <row r="422" spans="1:12" ht="27" customHeight="1">
      <c r="A422" s="81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1036" t="s">
        <v>1646</v>
      </c>
      <c r="B423" s="1036"/>
      <c r="C423" s="1036"/>
      <c r="D423" s="1036"/>
      <c r="E423" s="1036"/>
      <c r="F423" s="1036"/>
      <c r="G423" s="1036"/>
      <c r="H423" s="1036"/>
      <c r="I423" s="103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3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3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3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3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793" t="s">
        <v>1646</v>
      </c>
      <c r="B431" s="793"/>
      <c r="C431" s="793"/>
      <c r="D431" s="793"/>
      <c r="E431" s="793"/>
      <c r="F431" s="793"/>
      <c r="G431" s="793"/>
      <c r="H431" s="793"/>
      <c r="I431" s="79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3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3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793" t="s">
        <v>1646</v>
      </c>
      <c r="B435" s="793"/>
      <c r="C435" s="793"/>
      <c r="D435" s="793"/>
      <c r="E435" s="793"/>
      <c r="F435" s="793"/>
      <c r="G435" s="793"/>
      <c r="H435" s="793"/>
      <c r="I435" s="79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28" t="s">
        <v>2027</v>
      </c>
      <c r="B438" s="252" t="s">
        <v>1760</v>
      </c>
      <c r="C438" s="894" t="s">
        <v>306</v>
      </c>
      <c r="D438" s="894" t="s">
        <v>322</v>
      </c>
      <c r="E438" s="894" t="s">
        <v>307</v>
      </c>
      <c r="F438" s="1037" t="s">
        <v>1761</v>
      </c>
      <c r="G438" s="894" t="s">
        <v>329</v>
      </c>
      <c r="H438" s="1039" t="s">
        <v>1762</v>
      </c>
      <c r="I438" s="877" t="s">
        <v>664</v>
      </c>
      <c r="J438" s="1034">
        <v>2</v>
      </c>
      <c r="K438" s="1018" t="s">
        <v>1996</v>
      </c>
      <c r="L438" s="1018" t="s">
        <v>51</v>
      </c>
    </row>
    <row r="439" spans="1:12" ht="13.5" customHeight="1">
      <c r="A439" s="829"/>
      <c r="B439" s="253" t="s">
        <v>2028</v>
      </c>
      <c r="C439" s="895"/>
      <c r="D439" s="895"/>
      <c r="E439" s="895"/>
      <c r="F439" s="1038"/>
      <c r="G439" s="895"/>
      <c r="H439" s="1040"/>
      <c r="I439" s="878"/>
      <c r="J439" s="1035"/>
      <c r="K439" s="1020"/>
      <c r="L439" s="1020"/>
    </row>
    <row r="440" spans="1:12" ht="13.5" customHeight="1">
      <c r="A440" s="829"/>
      <c r="B440" s="254" t="s">
        <v>1794</v>
      </c>
      <c r="C440" s="946" t="s">
        <v>306</v>
      </c>
      <c r="D440" s="946" t="s">
        <v>322</v>
      </c>
      <c r="E440" s="946" t="s">
        <v>307</v>
      </c>
      <c r="F440" s="948" t="s">
        <v>1796</v>
      </c>
      <c r="G440" s="946" t="s">
        <v>1797</v>
      </c>
      <c r="H440" s="948" t="s">
        <v>1792</v>
      </c>
      <c r="I440" s="946" t="s">
        <v>664</v>
      </c>
      <c r="J440" s="806">
        <v>4</v>
      </c>
      <c r="K440" s="1018" t="s">
        <v>631</v>
      </c>
      <c r="L440" s="1018" t="s">
        <v>1997</v>
      </c>
    </row>
    <row r="441" spans="1:12" ht="13.5" customHeight="1">
      <c r="A441" s="829"/>
      <c r="B441" s="255" t="s">
        <v>1795</v>
      </c>
      <c r="C441" s="946"/>
      <c r="D441" s="946"/>
      <c r="E441" s="946"/>
      <c r="F441" s="948"/>
      <c r="G441" s="946"/>
      <c r="H441" s="948"/>
      <c r="I441" s="946"/>
      <c r="J441" s="807"/>
      <c r="K441" s="1020"/>
      <c r="L441" s="1020"/>
    </row>
    <row r="442" spans="1:12" ht="20.100000000000001" customHeight="1">
      <c r="A442" s="82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2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2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2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2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2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2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21" t="s">
        <v>1646</v>
      </c>
      <c r="B450" s="1022"/>
      <c r="C450" s="1022"/>
      <c r="D450" s="1022"/>
      <c r="E450" s="1022"/>
      <c r="F450" s="1022"/>
      <c r="G450" s="1022"/>
      <c r="H450" s="1022"/>
      <c r="I450" s="1022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00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1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1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03" t="s">
        <v>2059</v>
      </c>
      <c r="B459" s="803"/>
      <c r="C459" s="803"/>
      <c r="D459" s="803"/>
      <c r="E459" s="803"/>
      <c r="F459" s="803"/>
      <c r="G459" s="803"/>
      <c r="H459" s="803"/>
      <c r="I459" s="80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3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32"/>
      <c r="B463" s="1026" t="s">
        <v>1767</v>
      </c>
      <c r="C463" s="1027" t="s">
        <v>311</v>
      </c>
      <c r="D463" s="1027" t="s">
        <v>320</v>
      </c>
      <c r="E463" s="1027" t="s">
        <v>709</v>
      </c>
      <c r="F463" s="1027" t="s">
        <v>1768</v>
      </c>
      <c r="G463" s="1026" t="s">
        <v>1769</v>
      </c>
      <c r="H463" s="258" t="s">
        <v>1770</v>
      </c>
      <c r="I463" s="1027"/>
      <c r="J463" s="1027">
        <v>1</v>
      </c>
      <c r="K463" s="889" t="s">
        <v>631</v>
      </c>
      <c r="L463" s="921" t="s">
        <v>51</v>
      </c>
    </row>
    <row r="464" spans="1:12" ht="13.5" customHeight="1">
      <c r="A464" s="1032"/>
      <c r="B464" s="1026"/>
      <c r="C464" s="1027"/>
      <c r="D464" s="1027"/>
      <c r="E464" s="1027"/>
      <c r="F464" s="1027"/>
      <c r="G464" s="1026"/>
      <c r="H464" s="259" t="s">
        <v>1773</v>
      </c>
      <c r="I464" s="1027"/>
      <c r="J464" s="1027"/>
      <c r="K464" s="891"/>
      <c r="L464" s="922"/>
    </row>
    <row r="465" spans="1:12" ht="13.5" customHeight="1">
      <c r="A465" s="1032"/>
      <c r="B465" s="1028" t="s">
        <v>1813</v>
      </c>
      <c r="C465" s="1029" t="s">
        <v>700</v>
      </c>
      <c r="D465" s="1025" t="s">
        <v>320</v>
      </c>
      <c r="E465" s="1025" t="s">
        <v>337</v>
      </c>
      <c r="F465" s="1029" t="s">
        <v>353</v>
      </c>
      <c r="G465" s="1029" t="s">
        <v>1814</v>
      </c>
      <c r="H465" s="1030" t="s">
        <v>1815</v>
      </c>
      <c r="I465" s="1025" t="s">
        <v>638</v>
      </c>
      <c r="J465" s="1030">
        <v>2</v>
      </c>
      <c r="K465" s="1018" t="s">
        <v>631</v>
      </c>
      <c r="L465" s="1018" t="s">
        <v>51</v>
      </c>
    </row>
    <row r="466" spans="1:12" ht="13.5" customHeight="1">
      <c r="A466" s="1032"/>
      <c r="B466" s="1028"/>
      <c r="C466" s="1029"/>
      <c r="D466" s="1025"/>
      <c r="E466" s="1025"/>
      <c r="F466" s="1029"/>
      <c r="G466" s="1029"/>
      <c r="H466" s="1030"/>
      <c r="I466" s="1025"/>
      <c r="J466" s="1030"/>
      <c r="K466" s="1020"/>
      <c r="L466" s="1020"/>
    </row>
    <row r="467" spans="1:12" ht="27" customHeight="1">
      <c r="A467" s="103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32"/>
      <c r="B468" s="1029" t="s">
        <v>1820</v>
      </c>
      <c r="C468" s="1029" t="s">
        <v>700</v>
      </c>
      <c r="D468" s="1025" t="s">
        <v>320</v>
      </c>
      <c r="E468" s="1025" t="s">
        <v>709</v>
      </c>
      <c r="F468" s="1025" t="s">
        <v>1768</v>
      </c>
      <c r="G468" s="1029" t="s">
        <v>1821</v>
      </c>
      <c r="H468" s="261" t="s">
        <v>1822</v>
      </c>
      <c r="I468" s="1025" t="s">
        <v>638</v>
      </c>
      <c r="J468" s="1025">
        <v>2</v>
      </c>
      <c r="K468" s="1018" t="s">
        <v>631</v>
      </c>
      <c r="L468" s="1018" t="s">
        <v>51</v>
      </c>
    </row>
    <row r="469" spans="1:12" ht="13.5" customHeight="1">
      <c r="A469" s="1032"/>
      <c r="B469" s="1029"/>
      <c r="C469" s="1029"/>
      <c r="D469" s="1025"/>
      <c r="E469" s="1025"/>
      <c r="F469" s="1025"/>
      <c r="G469" s="1029"/>
      <c r="H469" s="262" t="s">
        <v>1823</v>
      </c>
      <c r="I469" s="1025"/>
      <c r="J469" s="1025"/>
      <c r="K469" s="1020"/>
      <c r="L469" s="1020"/>
    </row>
    <row r="470" spans="1:12" ht="27" customHeight="1">
      <c r="A470" s="103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3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793" t="s">
        <v>53</v>
      </c>
      <c r="B472" s="793"/>
      <c r="C472" s="793"/>
      <c r="D472" s="793"/>
      <c r="E472" s="793"/>
      <c r="F472" s="793"/>
      <c r="G472" s="793"/>
      <c r="H472" s="793"/>
      <c r="I472" s="79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793" t="s">
        <v>228</v>
      </c>
      <c r="B476" s="1026" t="s">
        <v>1767</v>
      </c>
      <c r="C476" s="1027" t="s">
        <v>311</v>
      </c>
      <c r="D476" s="1027" t="s">
        <v>320</v>
      </c>
      <c r="E476" s="1027" t="s">
        <v>709</v>
      </c>
      <c r="F476" s="1027" t="s">
        <v>1768</v>
      </c>
      <c r="G476" s="1026" t="s">
        <v>1769</v>
      </c>
      <c r="H476" s="258" t="s">
        <v>1770</v>
      </c>
      <c r="I476" s="1027"/>
      <c r="J476" s="1027">
        <v>1</v>
      </c>
      <c r="K476" s="889" t="s">
        <v>631</v>
      </c>
      <c r="L476" s="921" t="s">
        <v>51</v>
      </c>
    </row>
    <row r="477" spans="1:12" ht="13.5" customHeight="1">
      <c r="A477" s="793"/>
      <c r="B477" s="1026"/>
      <c r="C477" s="1027"/>
      <c r="D477" s="1027"/>
      <c r="E477" s="1027"/>
      <c r="F477" s="1027"/>
      <c r="G477" s="1026"/>
      <c r="H477" s="259" t="s">
        <v>1773</v>
      </c>
      <c r="I477" s="1027"/>
      <c r="J477" s="1027"/>
      <c r="K477" s="891"/>
      <c r="L477" s="922"/>
    </row>
    <row r="478" spans="1:12" ht="27" customHeight="1">
      <c r="A478" s="79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793" t="s">
        <v>1646</v>
      </c>
      <c r="B479" s="793"/>
      <c r="C479" s="793"/>
      <c r="D479" s="793"/>
      <c r="E479" s="793"/>
      <c r="F479" s="793"/>
      <c r="G479" s="793"/>
      <c r="H479" s="793"/>
      <c r="I479" s="79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1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1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1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1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2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21" t="s">
        <v>53</v>
      </c>
      <c r="B487" s="1022"/>
      <c r="C487" s="1022"/>
      <c r="D487" s="1022"/>
      <c r="E487" s="1022"/>
      <c r="F487" s="1022"/>
      <c r="G487" s="1022"/>
      <c r="H487" s="1022"/>
      <c r="I487" s="1023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1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17"/>
      <c r="B494" s="1015" t="s">
        <v>2182</v>
      </c>
      <c r="C494" s="1015" t="s">
        <v>306</v>
      </c>
      <c r="D494" s="1015" t="s">
        <v>322</v>
      </c>
      <c r="E494" s="1015" t="s">
        <v>307</v>
      </c>
      <c r="F494" s="1024" t="s">
        <v>1919</v>
      </c>
      <c r="G494" s="1015" t="s">
        <v>662</v>
      </c>
      <c r="H494" s="1024" t="s">
        <v>1920</v>
      </c>
      <c r="I494" s="1015" t="s">
        <v>349</v>
      </c>
      <c r="J494" s="1015">
        <v>2</v>
      </c>
      <c r="K494" s="1029" t="s">
        <v>50</v>
      </c>
      <c r="L494" s="222">
        <v>23</v>
      </c>
    </row>
    <row r="495" spans="1:12" ht="12.6" customHeight="1">
      <c r="A495" s="1017"/>
      <c r="B495" s="1015"/>
      <c r="C495" s="1015"/>
      <c r="D495" s="1015"/>
      <c r="E495" s="1015"/>
      <c r="F495" s="1024"/>
      <c r="G495" s="1015"/>
      <c r="H495" s="1024"/>
      <c r="I495" s="1015"/>
      <c r="J495" s="1015"/>
      <c r="K495" s="1029"/>
    </row>
    <row r="496" spans="1:12" ht="24.95" customHeight="1">
      <c r="A496" s="101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1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1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1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793" t="s">
        <v>53</v>
      </c>
      <c r="B500" s="793"/>
      <c r="C500" s="793"/>
      <c r="D500" s="793"/>
      <c r="E500" s="793"/>
      <c r="F500" s="793"/>
      <c r="G500" s="793"/>
      <c r="H500" s="793"/>
      <c r="I500" s="79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0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0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0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0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0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793" t="s">
        <v>2217</v>
      </c>
      <c r="B511" s="793"/>
      <c r="C511" s="793"/>
      <c r="D511" s="793"/>
      <c r="E511" s="793"/>
      <c r="F511" s="793"/>
      <c r="G511" s="793"/>
      <c r="H511" s="793"/>
      <c r="I511" s="79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0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0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0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0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0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0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0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03" t="s">
        <v>2233</v>
      </c>
      <c r="B522" s="803"/>
      <c r="C522" s="803"/>
      <c r="D522" s="803"/>
      <c r="E522" s="803"/>
      <c r="F522" s="803"/>
      <c r="G522" s="803"/>
      <c r="H522" s="803"/>
      <c r="I522" s="80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793" t="s">
        <v>2238</v>
      </c>
      <c r="B528" s="793"/>
      <c r="C528" s="793"/>
      <c r="D528" s="793"/>
      <c r="E528" s="793"/>
      <c r="F528" s="793"/>
      <c r="G528" s="793"/>
      <c r="H528" s="793"/>
      <c r="I528" s="79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0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0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0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793" t="s">
        <v>2233</v>
      </c>
      <c r="B535" s="793"/>
      <c r="C535" s="793"/>
      <c r="D535" s="793"/>
      <c r="E535" s="793"/>
      <c r="F535" s="793"/>
      <c r="G535" s="793"/>
      <c r="H535" s="793"/>
      <c r="I535" s="79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21" t="s">
        <v>2238</v>
      </c>
      <c r="B540" s="1022"/>
      <c r="C540" s="1022"/>
      <c r="D540" s="1022"/>
      <c r="E540" s="1022"/>
      <c r="F540" s="1022"/>
      <c r="G540" s="1022"/>
      <c r="H540" s="1022"/>
      <c r="I540" s="1023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79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79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6" t="s">
        <v>2233</v>
      </c>
      <c r="B546" s="1036"/>
      <c r="C546" s="1036"/>
      <c r="D546" s="1036"/>
      <c r="E546" s="1036"/>
      <c r="F546" s="1036"/>
      <c r="G546" s="1036"/>
      <c r="H546" s="1036"/>
      <c r="I546" s="103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793" t="s">
        <v>2233</v>
      </c>
      <c r="B550" s="793"/>
      <c r="C550" s="793"/>
      <c r="D550" s="793"/>
      <c r="E550" s="793"/>
      <c r="F550" s="793"/>
      <c r="G550" s="793"/>
      <c r="H550" s="793"/>
      <c r="I550" s="79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69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69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69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69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69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69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69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69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69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69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69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793" t="s">
        <v>2233</v>
      </c>
      <c r="B565" s="793"/>
      <c r="C565" s="793"/>
      <c r="D565" s="793"/>
      <c r="E565" s="793"/>
      <c r="F565" s="793"/>
      <c r="G565" s="793"/>
      <c r="H565" s="793"/>
      <c r="I565" s="793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37" t="s">
        <v>306</v>
      </c>
      <c r="D569" s="837" t="s">
        <v>322</v>
      </c>
      <c r="E569" s="837" t="s">
        <v>307</v>
      </c>
      <c r="F569" s="837">
        <v>3306</v>
      </c>
      <c r="G569" s="837" t="s">
        <v>1153</v>
      </c>
      <c r="H569" s="837" t="s">
        <v>1907</v>
      </c>
      <c r="I569" s="837" t="s">
        <v>1111</v>
      </c>
      <c r="J569" s="837" t="s">
        <v>692</v>
      </c>
      <c r="K569" s="1067" t="s">
        <v>2291</v>
      </c>
    </row>
    <row r="570" spans="1:12">
      <c r="B570" s="243" t="s">
        <v>1909</v>
      </c>
      <c r="C570" s="838"/>
      <c r="D570" s="838"/>
      <c r="E570" s="838"/>
      <c r="F570" s="838"/>
      <c r="G570" s="838"/>
      <c r="H570" s="838"/>
      <c r="I570" s="838"/>
      <c r="J570" s="838"/>
      <c r="K570" s="1068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1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1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1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1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1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1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1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793" t="s">
        <v>1458</v>
      </c>
      <c r="B582" s="793"/>
      <c r="C582" s="793"/>
      <c r="D582" s="793"/>
      <c r="E582" s="793"/>
      <c r="F582" s="793"/>
      <c r="G582" s="793"/>
      <c r="H582" s="793"/>
      <c r="I582" s="79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0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0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793" t="s">
        <v>2393</v>
      </c>
      <c r="B588" s="793"/>
      <c r="C588" s="793"/>
      <c r="D588" s="793"/>
      <c r="E588" s="793"/>
      <c r="F588" s="793"/>
      <c r="G588" s="793"/>
      <c r="H588" s="793"/>
      <c r="I588" s="79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03" t="s">
        <v>2406</v>
      </c>
      <c r="B592" s="803"/>
      <c r="C592" s="803"/>
      <c r="D592" s="803"/>
      <c r="E592" s="803"/>
      <c r="F592" s="803"/>
      <c r="G592" s="803"/>
      <c r="H592" s="803"/>
      <c r="I592" s="80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0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0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0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0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0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0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03" t="s">
        <v>2406</v>
      </c>
      <c r="B601" s="803"/>
      <c r="C601" s="803"/>
      <c r="D601" s="803"/>
      <c r="E601" s="803"/>
      <c r="F601" s="803"/>
      <c r="G601" s="803"/>
      <c r="H601" s="803"/>
      <c r="I601" s="80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793" t="s">
        <v>2437</v>
      </c>
      <c r="B606" s="793"/>
      <c r="C606" s="793"/>
      <c r="D606" s="793"/>
      <c r="E606" s="793"/>
      <c r="F606" s="793"/>
      <c r="G606" s="793"/>
      <c r="H606" s="793"/>
      <c r="I606" s="79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0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0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0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793" t="s">
        <v>2406</v>
      </c>
      <c r="B613" s="793"/>
      <c r="C613" s="793"/>
      <c r="D613" s="793"/>
      <c r="E613" s="793"/>
      <c r="F613" s="793"/>
      <c r="G613" s="793"/>
      <c r="H613" s="793"/>
      <c r="I613" s="79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69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6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69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69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69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69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69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69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69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69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793" t="s">
        <v>2406</v>
      </c>
      <c r="B627" s="793"/>
      <c r="C627" s="793"/>
      <c r="D627" s="793"/>
      <c r="E627" s="793"/>
      <c r="F627" s="793"/>
      <c r="G627" s="793"/>
      <c r="H627" s="793"/>
      <c r="I627" s="793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10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10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10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10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10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10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10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10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10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10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10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10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10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10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1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1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12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12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12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13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14" t="s">
        <v>1646</v>
      </c>
      <c r="B655" s="1014"/>
      <c r="C655" s="1014"/>
      <c r="D655" s="1014"/>
      <c r="E655" s="1014"/>
      <c r="F655" s="1014"/>
      <c r="G655" s="1014"/>
      <c r="H655" s="1014"/>
      <c r="I655" s="1014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14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14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14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14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14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14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14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14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14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14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14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14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14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14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14" t="s">
        <v>1646</v>
      </c>
      <c r="B674" s="1014"/>
      <c r="C674" s="1014"/>
      <c r="D674" s="1014"/>
      <c r="E674" s="1014"/>
      <c r="F674" s="1014"/>
      <c r="G674" s="1014"/>
      <c r="H674" s="1014"/>
      <c r="I674" s="1014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14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14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14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14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14" t="s">
        <v>1646</v>
      </c>
      <c r="B681" s="1014"/>
      <c r="C681" s="1014"/>
      <c r="D681" s="1014"/>
      <c r="E681" s="1014"/>
      <c r="F681" s="1014"/>
      <c r="G681" s="1014"/>
      <c r="H681" s="1014"/>
      <c r="I681" s="1014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09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09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09" t="s">
        <v>1646</v>
      </c>
      <c r="B688" s="1009"/>
      <c r="C688" s="1009"/>
      <c r="D688" s="1009"/>
      <c r="E688" s="1009"/>
      <c r="F688" s="1009"/>
      <c r="G688" s="1009"/>
      <c r="H688" s="1009"/>
      <c r="I688" s="1009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10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10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10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10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10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10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10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09" t="s">
        <v>1646</v>
      </c>
      <c r="B699" s="1009"/>
      <c r="C699" s="1009"/>
      <c r="D699" s="1009"/>
      <c r="E699" s="1009"/>
      <c r="F699" s="1009"/>
      <c r="G699" s="1009"/>
      <c r="H699" s="1009"/>
      <c r="I699" s="1009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1065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1065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1065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1065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1065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1065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1065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1065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1065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1065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1065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1065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1065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1066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1003" t="s">
        <v>1646</v>
      </c>
      <c r="B717" s="1003"/>
      <c r="C717" s="1003"/>
      <c r="D717" s="1003"/>
      <c r="E717" s="1003"/>
      <c r="F717" s="1003"/>
      <c r="G717" s="1003"/>
      <c r="H717" s="1003"/>
      <c r="I717" s="1003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04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05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05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05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05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05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05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06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1003" t="s">
        <v>1646</v>
      </c>
      <c r="B731" s="1003"/>
      <c r="C731" s="1003"/>
      <c r="D731" s="1003"/>
      <c r="E731" s="1003"/>
      <c r="F731" s="1003"/>
      <c r="G731" s="1003"/>
      <c r="H731" s="1003"/>
      <c r="I731" s="1003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07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07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07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07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07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07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07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07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07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07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07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07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07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1003" t="s">
        <v>1646</v>
      </c>
      <c r="B749" s="1003"/>
      <c r="C749" s="1003"/>
      <c r="D749" s="1003"/>
      <c r="E749" s="1003"/>
      <c r="F749" s="1003"/>
      <c r="G749" s="1003"/>
      <c r="H749" s="1003"/>
      <c r="I749" s="1003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994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995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995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995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995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995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995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995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08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996" t="s">
        <v>1646</v>
      </c>
      <c r="B762" s="996"/>
      <c r="C762" s="996"/>
      <c r="D762" s="996"/>
      <c r="E762" s="996"/>
      <c r="F762" s="996"/>
      <c r="G762" s="996"/>
      <c r="H762" s="996"/>
      <c r="I762" s="996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999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5762</v>
      </c>
      <c r="I765" s="748" t="s">
        <v>1534</v>
      </c>
      <c r="J765" s="748">
        <v>2</v>
      </c>
      <c r="K765" s="646" t="s">
        <v>50</v>
      </c>
    </row>
    <row r="766" spans="1:12">
      <c r="A766" s="1000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5762</v>
      </c>
      <c r="I766" s="748" t="s">
        <v>1534</v>
      </c>
      <c r="J766" s="748">
        <v>2</v>
      </c>
      <c r="K766" s="646" t="s">
        <v>50</v>
      </c>
    </row>
    <row r="767" spans="1:12">
      <c r="A767" s="1000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5762</v>
      </c>
      <c r="I767" s="748" t="s">
        <v>1534</v>
      </c>
      <c r="J767" s="748">
        <v>2</v>
      </c>
      <c r="K767" s="646" t="s">
        <v>50</v>
      </c>
    </row>
    <row r="768" spans="1:12">
      <c r="A768" s="1000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5859</v>
      </c>
      <c r="I768" s="748" t="s">
        <v>1534</v>
      </c>
      <c r="J768" s="678">
        <v>1</v>
      </c>
      <c r="K768" s="646" t="s">
        <v>50</v>
      </c>
    </row>
    <row r="769" spans="1:12">
      <c r="A769" s="1001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5859</v>
      </c>
      <c r="I769" s="748" t="s">
        <v>1534</v>
      </c>
      <c r="J769" s="678">
        <v>1</v>
      </c>
      <c r="K769" s="646" t="s">
        <v>50</v>
      </c>
    </row>
    <row r="770" spans="1:12">
      <c r="A770" s="996" t="s">
        <v>1646</v>
      </c>
      <c r="B770" s="996"/>
      <c r="C770" s="996"/>
      <c r="D770" s="996"/>
      <c r="E770" s="996"/>
      <c r="F770" s="996"/>
      <c r="G770" s="996"/>
      <c r="H770" s="996"/>
      <c r="I770" s="996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02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02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02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02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02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996" t="s">
        <v>1646</v>
      </c>
      <c r="B778" s="996"/>
      <c r="C778" s="996"/>
      <c r="D778" s="996"/>
      <c r="E778" s="996"/>
      <c r="F778" s="996"/>
      <c r="G778" s="996"/>
      <c r="H778" s="996"/>
      <c r="I778" s="996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02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02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02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02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02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02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02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02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996" t="s">
        <v>1646</v>
      </c>
      <c r="B790" s="996"/>
      <c r="C790" s="996"/>
      <c r="D790" s="996"/>
      <c r="E790" s="996"/>
      <c r="F790" s="996"/>
      <c r="G790" s="996"/>
      <c r="H790" s="996"/>
      <c r="I790" s="996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994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>
      <c r="A795" s="995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>
      <c r="A796" s="995"/>
      <c r="B796" s="676" t="s">
        <v>5765</v>
      </c>
      <c r="C796" s="748" t="s">
        <v>306</v>
      </c>
      <c r="D796" s="748" t="s">
        <v>322</v>
      </c>
      <c r="E796" s="676" t="s">
        <v>5400</v>
      </c>
      <c r="F796" s="676" t="s">
        <v>5766</v>
      </c>
      <c r="G796" s="676" t="s">
        <v>5767</v>
      </c>
      <c r="H796" s="692" t="s">
        <v>5768</v>
      </c>
      <c r="I796" s="748" t="s">
        <v>664</v>
      </c>
      <c r="J796" s="748">
        <v>4</v>
      </c>
      <c r="K796" s="646" t="s">
        <v>50</v>
      </c>
    </row>
    <row r="797" spans="1:11">
      <c r="A797" s="995"/>
      <c r="B797" s="745" t="s">
        <v>5861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995"/>
      <c r="B798" s="745" t="s">
        <v>5862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5863</v>
      </c>
      <c r="I798" s="748" t="s">
        <v>5447</v>
      </c>
      <c r="J798" s="678">
        <v>2</v>
      </c>
      <c r="K798" s="646" t="s">
        <v>50</v>
      </c>
    </row>
    <row r="799" spans="1:11">
      <c r="A799" s="995"/>
      <c r="B799" s="745" t="s">
        <v>5866</v>
      </c>
      <c r="C799" s="746" t="s">
        <v>306</v>
      </c>
      <c r="D799" s="746" t="s">
        <v>322</v>
      </c>
      <c r="E799" s="745" t="s">
        <v>5400</v>
      </c>
      <c r="F799" s="745" t="s">
        <v>5766</v>
      </c>
      <c r="G799" s="745" t="s">
        <v>1047</v>
      </c>
      <c r="H799" s="747" t="s">
        <v>5863</v>
      </c>
      <c r="I799" s="748" t="s">
        <v>5447</v>
      </c>
      <c r="J799" s="678">
        <v>2</v>
      </c>
      <c r="K799" s="646" t="s">
        <v>50</v>
      </c>
    </row>
    <row r="800" spans="1:11">
      <c r="A800" s="995"/>
      <c r="B800" s="672" t="s">
        <v>5852</v>
      </c>
      <c r="C800" s="660" t="s">
        <v>19</v>
      </c>
      <c r="D800" s="660" t="s">
        <v>25</v>
      </c>
      <c r="E800" s="745" t="s">
        <v>5839</v>
      </c>
      <c r="F800" s="661" t="s">
        <v>5848</v>
      </c>
      <c r="G800" s="664" t="s">
        <v>331</v>
      </c>
      <c r="H800" s="751" t="s">
        <v>5854</v>
      </c>
      <c r="I800" s="748" t="s">
        <v>664</v>
      </c>
      <c r="J800" s="751">
        <v>2</v>
      </c>
      <c r="K800" s="646" t="s">
        <v>50</v>
      </c>
    </row>
    <row r="801" spans="1:11">
      <c r="A801" s="995"/>
      <c r="B801" s="672">
        <v>46171</v>
      </c>
      <c r="C801" s="660" t="s">
        <v>19</v>
      </c>
      <c r="D801" s="660" t="s">
        <v>25</v>
      </c>
      <c r="E801" s="745" t="s">
        <v>5839</v>
      </c>
      <c r="F801" s="661" t="s">
        <v>5848</v>
      </c>
      <c r="G801" s="745" t="s">
        <v>18</v>
      </c>
      <c r="H801" s="747" t="s">
        <v>5851</v>
      </c>
      <c r="I801" s="748" t="s">
        <v>664</v>
      </c>
      <c r="J801" s="751">
        <v>2</v>
      </c>
      <c r="K801" s="646" t="s">
        <v>50</v>
      </c>
    </row>
    <row r="802" spans="1:11">
      <c r="A802" s="996" t="s">
        <v>1646</v>
      </c>
      <c r="B802" s="996"/>
      <c r="C802" s="996"/>
      <c r="D802" s="996"/>
      <c r="E802" s="996"/>
      <c r="F802" s="996"/>
      <c r="G802" s="996"/>
      <c r="H802" s="996"/>
      <c r="I802" s="996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997" t="s">
        <v>5985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5986</v>
      </c>
      <c r="I806" s="750" t="s">
        <v>202</v>
      </c>
      <c r="J806" s="750">
        <v>1</v>
      </c>
      <c r="K806" s="646" t="s">
        <v>50</v>
      </c>
    </row>
    <row r="807" spans="1:11">
      <c r="A807" s="998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998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998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5987</v>
      </c>
      <c r="I809" s="750" t="s">
        <v>120</v>
      </c>
      <c r="J809" s="752">
        <v>1</v>
      </c>
      <c r="K809" s="646" t="s">
        <v>50</v>
      </c>
    </row>
    <row r="810" spans="1:11">
      <c r="A810" s="998"/>
      <c r="B810" s="676" t="s">
        <v>5867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5988</v>
      </c>
      <c r="I810" s="676" t="s">
        <v>5869</v>
      </c>
      <c r="J810" s="676">
        <v>1</v>
      </c>
      <c r="K810" s="646" t="s">
        <v>50</v>
      </c>
    </row>
    <row r="811" spans="1:11">
      <c r="A811" s="998"/>
      <c r="B811" s="676" t="s">
        <v>5861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5753</v>
      </c>
      <c r="I811" s="692"/>
      <c r="J811" s="692">
        <v>2</v>
      </c>
      <c r="K811" s="646" t="s">
        <v>50</v>
      </c>
    </row>
    <row r="812" spans="1:11">
      <c r="A812" s="996" t="s">
        <v>1646</v>
      </c>
      <c r="B812" s="996"/>
      <c r="C812" s="996"/>
      <c r="D812" s="996"/>
      <c r="E812" s="996"/>
      <c r="F812" s="996"/>
      <c r="G812" s="996"/>
      <c r="H812" s="996"/>
      <c r="I812" s="996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803" t="s">
        <v>5991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5989</v>
      </c>
      <c r="I817" s="750" t="s">
        <v>202</v>
      </c>
      <c r="J817" s="750">
        <v>2</v>
      </c>
      <c r="K817" s="646" t="s">
        <v>50</v>
      </c>
    </row>
    <row r="818" spans="1:12">
      <c r="A818" s="803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5990</v>
      </c>
      <c r="I818" s="750" t="s">
        <v>202</v>
      </c>
      <c r="J818" s="750">
        <v>2</v>
      </c>
      <c r="K818" s="646" t="s">
        <v>50</v>
      </c>
    </row>
    <row r="819" spans="1:12">
      <c r="A819" s="996" t="s">
        <v>1646</v>
      </c>
      <c r="B819" s="996"/>
      <c r="C819" s="996"/>
      <c r="D819" s="996"/>
      <c r="E819" s="996"/>
      <c r="F819" s="996"/>
      <c r="G819" s="996"/>
      <c r="H819" s="996"/>
      <c r="I819" s="996"/>
      <c r="J819" s="646">
        <f>SUM(J813:J818)</f>
        <v>4</v>
      </c>
      <c r="K819" s="687"/>
    </row>
    <row r="823" spans="1:12" s="765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>
      <c r="A824" s="999" t="s">
        <v>6000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>
      <c r="A825" s="1000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>
      <c r="A826" s="1000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>
      <c r="A827" s="1000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>
      <c r="A828" s="1000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>
      <c r="A829" s="1000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>
      <c r="A830" s="1000"/>
      <c r="B830" s="676" t="s">
        <v>5759</v>
      </c>
      <c r="C830" s="748" t="s">
        <v>306</v>
      </c>
      <c r="D830" s="748" t="s">
        <v>322</v>
      </c>
      <c r="E830" s="676" t="s">
        <v>5400</v>
      </c>
      <c r="F830" s="676" t="s">
        <v>5760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>
      <c r="A831" s="1000"/>
      <c r="B831" s="676" t="s">
        <v>5764</v>
      </c>
      <c r="C831" s="748" t="s">
        <v>306</v>
      </c>
      <c r="D831" s="748" t="s">
        <v>322</v>
      </c>
      <c r="E831" s="676" t="s">
        <v>5400</v>
      </c>
      <c r="F831" s="676" t="s">
        <v>5760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>
      <c r="A832" s="1000"/>
      <c r="B832" s="676" t="s">
        <v>5858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5859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>
      <c r="A833" s="1001"/>
      <c r="B833" s="691">
        <v>46165</v>
      </c>
      <c r="C833" s="646" t="s">
        <v>19</v>
      </c>
      <c r="D833" s="646" t="s">
        <v>25</v>
      </c>
      <c r="E833" s="676" t="s">
        <v>5839</v>
      </c>
      <c r="F833" s="676" t="s">
        <v>5051</v>
      </c>
      <c r="G833" s="676" t="s">
        <v>5841</v>
      </c>
      <c r="H833" s="692" t="s">
        <v>5842</v>
      </c>
      <c r="I833" s="748"/>
      <c r="J833" s="748">
        <v>2</v>
      </c>
      <c r="K833" s="646" t="s">
        <v>50</v>
      </c>
      <c r="L833" s="764"/>
    </row>
    <row r="834" spans="1:12" s="765" customFormat="1" ht="11.25">
      <c r="A834" s="996" t="s">
        <v>1646</v>
      </c>
      <c r="B834" s="996"/>
      <c r="C834" s="996"/>
      <c r="D834" s="996"/>
      <c r="E834" s="996"/>
      <c r="F834" s="996"/>
      <c r="G834" s="996"/>
      <c r="H834" s="996"/>
      <c r="I834" s="996"/>
      <c r="J834" s="646">
        <f>SUM(J824:J833)</f>
        <v>21</v>
      </c>
      <c r="K834" s="687"/>
      <c r="L834" s="764"/>
    </row>
    <row r="835" spans="1:12" s="765" customFormat="1" ht="11.25">
      <c r="L835" s="764"/>
    </row>
    <row r="836" spans="1:12" s="765" customFormat="1" ht="11.25">
      <c r="L836" s="764"/>
    </row>
    <row r="837" spans="1:12" s="765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>
      <c r="A838" s="999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>
      <c r="A839" s="1000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>
      <c r="A840" s="1001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>
      <c r="A841" s="996" t="s">
        <v>1646</v>
      </c>
      <c r="B841" s="996"/>
      <c r="C841" s="996"/>
      <c r="D841" s="996"/>
      <c r="E841" s="996"/>
      <c r="F841" s="996"/>
      <c r="G841" s="996"/>
      <c r="H841" s="996"/>
      <c r="I841" s="996"/>
      <c r="J841" s="646">
        <f>SUM(J838:J840)</f>
        <v>3</v>
      </c>
      <c r="K841" s="687"/>
      <c r="L841" s="764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803" t="s">
        <v>5385</v>
      </c>
      <c r="I12" s="803"/>
      <c r="J12" s="803"/>
      <c r="K12" s="803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1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>
      <c r="H20" s="803" t="s">
        <v>5386</v>
      </c>
      <c r="I20" s="803"/>
      <c r="J20" s="803"/>
      <c r="K20" s="803"/>
      <c r="L20" s="569">
        <f>SUM(L16:L19)</f>
        <v>3647500</v>
      </c>
    </row>
    <row r="22" spans="1:13">
      <c r="H22" s="570" t="s">
        <v>5389</v>
      </c>
      <c r="I22" s="569">
        <f>L12-L20</f>
        <v>22875</v>
      </c>
    </row>
    <row r="23" spans="1:13">
      <c r="A23" s="783" t="s">
        <v>2</v>
      </c>
      <c r="B23" s="783" t="s">
        <v>6146</v>
      </c>
      <c r="C23" s="783" t="s">
        <v>6147</v>
      </c>
    </row>
    <row r="24" spans="1:13">
      <c r="A24" s="783" t="s">
        <v>6148</v>
      </c>
      <c r="B24" s="782">
        <v>10500000</v>
      </c>
      <c r="C24" s="783" t="s">
        <v>6149</v>
      </c>
    </row>
    <row r="25" spans="1:13">
      <c r="A25" s="783" t="s">
        <v>6150</v>
      </c>
      <c r="B25" s="782">
        <v>4500000</v>
      </c>
      <c r="C25" s="783" t="s">
        <v>6151</v>
      </c>
    </row>
    <row r="26" spans="1:13">
      <c r="A26" s="783" t="s">
        <v>6152</v>
      </c>
      <c r="B26" s="782">
        <v>15000000</v>
      </c>
      <c r="C26" s="783" t="s">
        <v>6153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1074" t="s">
        <v>6207</v>
      </c>
      <c r="E4" s="1070" t="s">
        <v>6208</v>
      </c>
      <c r="F4" s="1070" t="s">
        <v>6</v>
      </c>
      <c r="G4" s="1070" t="s">
        <v>6209</v>
      </c>
      <c r="H4" s="1070" t="s">
        <v>6210</v>
      </c>
      <c r="I4" s="1070" t="s">
        <v>6211</v>
      </c>
    </row>
    <row r="5" spans="4:9" ht="66">
      <c r="D5" s="1075">
        <v>5</v>
      </c>
      <c r="E5" s="1072">
        <v>45701</v>
      </c>
      <c r="F5" s="1073" t="s">
        <v>6212</v>
      </c>
      <c r="G5" s="1073" t="s">
        <v>6213</v>
      </c>
      <c r="H5" s="1073" t="s">
        <v>6214</v>
      </c>
      <c r="I5" s="1073" t="s">
        <v>6215</v>
      </c>
    </row>
    <row r="6" spans="4:9" ht="82.5">
      <c r="D6" s="1075">
        <v>51</v>
      </c>
      <c r="E6" s="1072">
        <v>45746</v>
      </c>
      <c r="F6" s="1073" t="s">
        <v>6216</v>
      </c>
      <c r="G6" s="1073" t="s">
        <v>6217</v>
      </c>
      <c r="H6" s="1073" t="s">
        <v>6218</v>
      </c>
      <c r="I6" s="1073" t="s">
        <v>6219</v>
      </c>
    </row>
    <row r="7" spans="4:9" ht="49.5">
      <c r="D7" s="1075">
        <v>61</v>
      </c>
      <c r="E7" s="1072">
        <v>45783</v>
      </c>
      <c r="F7" s="1073" t="s">
        <v>6220</v>
      </c>
      <c r="G7" s="1073" t="s">
        <v>6221</v>
      </c>
      <c r="H7" s="1073" t="s">
        <v>6222</v>
      </c>
      <c r="I7" s="1073" t="s">
        <v>6223</v>
      </c>
    </row>
    <row r="8" spans="4:9" ht="66">
      <c r="D8" s="1075">
        <v>87</v>
      </c>
      <c r="E8" s="1072">
        <v>45859</v>
      </c>
      <c r="F8" s="1073" t="s">
        <v>6224</v>
      </c>
      <c r="G8" s="1073" t="s">
        <v>6225</v>
      </c>
      <c r="H8" s="1073" t="s">
        <v>6226</v>
      </c>
      <c r="I8" s="1073" t="s">
        <v>6227</v>
      </c>
    </row>
    <row r="9" spans="4:9" ht="49.5">
      <c r="D9" s="1075">
        <v>88</v>
      </c>
      <c r="E9" s="1072">
        <v>45859</v>
      </c>
      <c r="F9" s="1073" t="s">
        <v>6228</v>
      </c>
      <c r="G9" s="1073" t="s">
        <v>6229</v>
      </c>
      <c r="H9" s="1073" t="s">
        <v>6230</v>
      </c>
      <c r="I9" s="1073" t="s">
        <v>6231</v>
      </c>
    </row>
    <row r="10" spans="4:9" ht="33">
      <c r="D10" s="1075">
        <v>96</v>
      </c>
      <c r="E10" s="1072">
        <v>45872</v>
      </c>
      <c r="F10" s="1073" t="s">
        <v>6232</v>
      </c>
      <c r="G10" s="1073" t="s">
        <v>6233</v>
      </c>
      <c r="H10" s="1073" t="s">
        <v>6234</v>
      </c>
      <c r="I10" s="1073" t="s">
        <v>6235</v>
      </c>
    </row>
    <row r="11" spans="4:9" ht="49.5">
      <c r="D11" s="1075">
        <v>114</v>
      </c>
      <c r="E11" s="1072">
        <v>45899</v>
      </c>
      <c r="F11" s="1073" t="s">
        <v>6232</v>
      </c>
      <c r="G11" s="1073" t="s">
        <v>6236</v>
      </c>
      <c r="H11" s="1073" t="s">
        <v>6237</v>
      </c>
      <c r="I11" s="1073" t="s">
        <v>6238</v>
      </c>
    </row>
    <row r="12" spans="4:9" ht="49.5">
      <c r="D12" s="1075">
        <v>130</v>
      </c>
      <c r="E12" s="1071" t="s">
        <v>6239</v>
      </c>
      <c r="F12" s="1073" t="s">
        <v>6240</v>
      </c>
      <c r="G12" s="1073" t="s">
        <v>6241</v>
      </c>
      <c r="H12" s="1073" t="s">
        <v>6242</v>
      </c>
      <c r="I12" s="1073" t="s">
        <v>6243</v>
      </c>
    </row>
    <row r="13" spans="4:9" ht="33">
      <c r="D13" s="1075">
        <v>150</v>
      </c>
      <c r="E13" s="1071" t="s">
        <v>6239</v>
      </c>
      <c r="F13" s="1073" t="s">
        <v>6244</v>
      </c>
      <c r="G13" s="1073" t="s">
        <v>6245</v>
      </c>
      <c r="H13" s="1073" t="s">
        <v>6246</v>
      </c>
      <c r="I13" s="1073" t="s">
        <v>6247</v>
      </c>
    </row>
    <row r="14" spans="4:9" ht="33">
      <c r="D14" s="1075">
        <v>158</v>
      </c>
      <c r="E14" s="1071" t="s">
        <v>6239</v>
      </c>
      <c r="F14" s="1073" t="s">
        <v>6248</v>
      </c>
      <c r="G14" s="1073" t="s">
        <v>6249</v>
      </c>
      <c r="H14" s="1073" t="s">
        <v>6250</v>
      </c>
      <c r="I14" s="1073" t="s">
        <v>6251</v>
      </c>
    </row>
    <row r="15" spans="4:9" ht="66">
      <c r="D15" s="1075">
        <v>166</v>
      </c>
      <c r="E15" s="1072">
        <v>46051</v>
      </c>
      <c r="F15" s="1073" t="s">
        <v>6252</v>
      </c>
      <c r="G15" s="1073" t="s">
        <v>6253</v>
      </c>
      <c r="H15" s="1073" t="s">
        <v>6254</v>
      </c>
      <c r="I15" s="1073" t="s">
        <v>6255</v>
      </c>
    </row>
    <row r="16" spans="4:9" ht="49.5">
      <c r="D16" s="1075">
        <v>168</v>
      </c>
      <c r="E16" s="1071" t="s">
        <v>6239</v>
      </c>
      <c r="F16" s="1073" t="s">
        <v>6256</v>
      </c>
      <c r="G16" s="1073" t="s">
        <v>6257</v>
      </c>
      <c r="H16" s="1073" t="s">
        <v>6258</v>
      </c>
      <c r="I16" s="1073" t="s">
        <v>6259</v>
      </c>
    </row>
    <row r="17" spans="4:9" ht="33">
      <c r="D17" s="1075">
        <v>176</v>
      </c>
      <c r="E17" s="1071" t="s">
        <v>6239</v>
      </c>
      <c r="F17" s="1073" t="s">
        <v>6260</v>
      </c>
      <c r="G17" s="1073" t="s">
        <v>6261</v>
      </c>
      <c r="H17" s="1073" t="s">
        <v>6262</v>
      </c>
      <c r="I17" s="1073" t="s">
        <v>6263</v>
      </c>
    </row>
    <row r="18" spans="4:9" ht="49.5">
      <c r="D18" s="1075">
        <v>177</v>
      </c>
      <c r="E18" s="1071" t="s">
        <v>6239</v>
      </c>
      <c r="F18" s="1073" t="s">
        <v>6264</v>
      </c>
      <c r="G18" s="1073" t="s">
        <v>6265</v>
      </c>
      <c r="H18" s="1073" t="s">
        <v>6266</v>
      </c>
      <c r="I18" s="1073" t="s">
        <v>6267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2026-06-16T23:52:32Z</dcterms:modified>
</cp:coreProperties>
</file>