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<sst xmlns="http://schemas.openxmlformats.org/spreadsheetml/2006/main" count="29475" uniqueCount="7259">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</sst>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6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0" fillId="0" borderId="7" xfId="0" applyFont="1" applyBorder="1" applyAlignment="1">
      <alignment horizontal="center"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 shrinkToFit="1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7"/>
  <sheetViews>
    <sheetView showGridLines="0" tabSelected="1" topLeftCell="B687" zoomScaleNormal="100" workbookViewId="0">
      <selection activeCell="G701" sqref="G701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3" t="s">
        <v>3261</v>
      </c>
      <c r="B1" s="833"/>
      <c r="C1" s="833"/>
      <c r="D1" s="833"/>
      <c r="E1" s="833"/>
      <c r="F1" s="833"/>
      <c r="G1" s="833"/>
      <c r="H1" s="833"/>
      <c r="I1" s="833"/>
      <c r="J1" s="833"/>
      <c r="K1" s="833"/>
      <c r="L1" s="833"/>
      <c r="M1" s="83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0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1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4"/>
      <c r="Q22" s="835"/>
      <c r="R22" s="835"/>
      <c r="S22" s="83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2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2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2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4"/>
      <c r="Q27" s="835"/>
      <c r="R27" s="835"/>
      <c r="S27" s="83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2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2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2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2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2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2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0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0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4"/>
      <c r="Q36" s="835"/>
      <c r="R36" s="835"/>
      <c r="S36" s="83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4"/>
      <c r="Q37" s="835"/>
      <c r="R37" s="835"/>
      <c r="S37" s="83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0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0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4"/>
      <c r="Q40" s="835"/>
      <c r="R40" s="835"/>
      <c r="S40" s="83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4"/>
      <c r="Q41" s="835"/>
      <c r="R41" s="835"/>
      <c r="S41" s="83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0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4" t="s">
        <v>4390</v>
      </c>
      <c r="Q43" s="835"/>
      <c r="R43" s="835"/>
      <c r="S43" s="83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1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1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3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3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2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2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2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2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2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2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2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2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2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2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4"/>
      <c r="Q61" s="835"/>
      <c r="R61" s="835"/>
      <c r="S61" s="83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4"/>
      <c r="Q64" s="835"/>
      <c r="R64" s="835"/>
      <c r="S64" s="83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4"/>
      <c r="Q67" s="835"/>
      <c r="R67" s="835"/>
      <c r="S67" s="83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4"/>
      <c r="Q74" s="835"/>
      <c r="R74" s="835"/>
      <c r="S74" s="83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4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5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5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5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4"/>
      <c r="Q83" s="835"/>
      <c r="R83" s="835"/>
      <c r="S83" s="83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5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4"/>
      <c r="Q85" s="835"/>
      <c r="R85" s="835"/>
      <c r="S85" s="83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4" t="s">
        <v>4390</v>
      </c>
      <c r="Q93" s="835"/>
      <c r="R93" s="835"/>
      <c r="S93" s="83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1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1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1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1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6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6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6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6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38"/>
      <c r="Q169" s="839"/>
      <c r="R169" s="839"/>
      <c r="S169" s="83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1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36" t="s">
        <v>4688</v>
      </c>
      <c r="Q182" s="837"/>
      <c r="R182" s="837"/>
      <c r="S182" s="83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7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7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8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8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9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7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7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0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1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1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1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1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1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1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1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1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1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1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1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1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1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1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1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1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1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1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1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1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1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1" t="s">
        <v>33</v>
      </c>
      <c r="M426" s="732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1" t="s">
        <v>6218</v>
      </c>
      <c r="M428" s="732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1" t="s">
        <v>4550</v>
      </c>
      <c r="M432" s="732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2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2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2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2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1" t="s">
        <v>4550</v>
      </c>
      <c r="M442" s="732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2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2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2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2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2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2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2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2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5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5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5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8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8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7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7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7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6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2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2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2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2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2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0" t="s">
        <v>6741</v>
      </c>
      <c r="B548" s="758" t="s">
        <v>6640</v>
      </c>
      <c r="C548" s="272" t="s">
        <v>21</v>
      </c>
      <c r="D548" s="272" t="s">
        <v>14</v>
      </c>
      <c r="E548" s="760" t="s">
        <v>211</v>
      </c>
      <c r="F548" s="760" t="s">
        <v>5754</v>
      </c>
      <c r="G548" s="761" t="s">
        <v>18</v>
      </c>
      <c r="H548" s="759" t="s">
        <v>6350</v>
      </c>
      <c r="I548" s="760"/>
      <c r="J548" s="759"/>
      <c r="K548" s="762"/>
      <c r="L548" s="761"/>
      <c r="M548" s="763"/>
      <c r="N548" s="764"/>
      <c r="O548" s="769"/>
      <c r="P548" s="31"/>
    </row>
    <row r="549" spans="1:16" s="17" customFormat="1" ht="33" customHeight="1" x14ac:dyDescent="0.3">
      <c r="A549" s="841"/>
      <c r="B549" s="758" t="s">
        <v>6640</v>
      </c>
      <c r="C549" s="272" t="s">
        <v>21</v>
      </c>
      <c r="D549" s="272" t="s">
        <v>14</v>
      </c>
      <c r="E549" s="760" t="s">
        <v>107</v>
      </c>
      <c r="F549" s="760" t="s">
        <v>2959</v>
      </c>
      <c r="G549" s="761" t="s">
        <v>6642</v>
      </c>
      <c r="H549" s="759" t="s">
        <v>6643</v>
      </c>
      <c r="I549" s="760"/>
      <c r="J549" s="760" t="s">
        <v>6634</v>
      </c>
      <c r="K549" s="762" t="s">
        <v>15</v>
      </c>
      <c r="L549" s="761" t="s">
        <v>4550</v>
      </c>
      <c r="M549" s="763"/>
      <c r="N549" s="764"/>
      <c r="O549" s="769"/>
      <c r="P549" s="31"/>
    </row>
    <row r="550" spans="1:16" s="17" customFormat="1" ht="33" customHeight="1" x14ac:dyDescent="0.3">
      <c r="A550" s="841"/>
      <c r="B550" s="758" t="s">
        <v>6641</v>
      </c>
      <c r="C550" s="272" t="s">
        <v>21</v>
      </c>
      <c r="D550" s="272" t="s">
        <v>14</v>
      </c>
      <c r="E550" s="760" t="s">
        <v>107</v>
      </c>
      <c r="F550" s="760" t="s">
        <v>2959</v>
      </c>
      <c r="G550" s="761" t="s">
        <v>1895</v>
      </c>
      <c r="H550" s="759" t="s">
        <v>6635</v>
      </c>
      <c r="I550" s="760"/>
      <c r="J550" s="760" t="s">
        <v>6634</v>
      </c>
      <c r="K550" s="762" t="s">
        <v>15</v>
      </c>
      <c r="L550" s="761" t="s">
        <v>4550</v>
      </c>
      <c r="M550" s="763"/>
      <c r="N550" s="764"/>
      <c r="O550" s="766"/>
      <c r="P550" s="31"/>
    </row>
    <row r="551" spans="1:16" s="17" customFormat="1" ht="33" customHeight="1" x14ac:dyDescent="0.3">
      <c r="A551" s="842"/>
      <c r="B551" s="758" t="s">
        <v>6575</v>
      </c>
      <c r="C551" s="272" t="s">
        <v>21</v>
      </c>
      <c r="D551" s="272" t="s">
        <v>14</v>
      </c>
      <c r="E551" s="759" t="s">
        <v>107</v>
      </c>
      <c r="F551" s="760" t="s">
        <v>3386</v>
      </c>
      <c r="G551" s="761" t="s">
        <v>102</v>
      </c>
      <c r="H551" s="759" t="s">
        <v>6578</v>
      </c>
      <c r="I551" s="760" t="s">
        <v>1948</v>
      </c>
      <c r="J551" s="760" t="s">
        <v>6591</v>
      </c>
      <c r="K551" s="762" t="s">
        <v>15</v>
      </c>
      <c r="L551" s="761" t="s">
        <v>6575</v>
      </c>
      <c r="M551" s="763">
        <v>3</v>
      </c>
      <c r="N551" s="765"/>
      <c r="O551" s="766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0" t="s">
        <v>6741</v>
      </c>
      <c r="B570" s="758" t="s">
        <v>6575</v>
      </c>
      <c r="C570" s="272" t="s">
        <v>21</v>
      </c>
      <c r="D570" s="272" t="s">
        <v>14</v>
      </c>
      <c r="E570" s="760" t="s">
        <v>211</v>
      </c>
      <c r="F570" s="760" t="s">
        <v>5754</v>
      </c>
      <c r="G570" s="761" t="s">
        <v>18</v>
      </c>
      <c r="H570" s="759" t="s">
        <v>6767</v>
      </c>
      <c r="I570" s="760"/>
      <c r="J570" s="759"/>
      <c r="K570" s="762"/>
      <c r="L570" s="761"/>
      <c r="M570" s="763"/>
      <c r="N570" s="764"/>
      <c r="O570" s="769"/>
      <c r="P570" s="31"/>
    </row>
    <row r="571" spans="1:16" s="17" customFormat="1" ht="33" customHeight="1" x14ac:dyDescent="0.3">
      <c r="A571" s="841"/>
      <c r="B571" s="758" t="s">
        <v>6575</v>
      </c>
      <c r="C571" s="272" t="s">
        <v>21</v>
      </c>
      <c r="D571" s="272" t="s">
        <v>6749</v>
      </c>
      <c r="E571" s="759" t="s">
        <v>6750</v>
      </c>
      <c r="F571" s="760" t="s">
        <v>6746</v>
      </c>
      <c r="G571" s="761" t="s">
        <v>6747</v>
      </c>
      <c r="H571" s="759" t="s">
        <v>6748</v>
      </c>
      <c r="I571" s="760"/>
      <c r="J571" s="759"/>
      <c r="K571" s="762"/>
      <c r="L571" s="761"/>
      <c r="M571" s="763"/>
      <c r="N571" s="764"/>
      <c r="O571" s="769"/>
      <c r="P571" s="31"/>
    </row>
    <row r="572" spans="1:16" s="17" customFormat="1" ht="33" customHeight="1" x14ac:dyDescent="0.3">
      <c r="A572" s="841"/>
      <c r="B572" s="758" t="s">
        <v>6575</v>
      </c>
      <c r="C572" s="272" t="s">
        <v>21</v>
      </c>
      <c r="D572" s="272" t="s">
        <v>14</v>
      </c>
      <c r="E572" s="760" t="s">
        <v>107</v>
      </c>
      <c r="F572" s="760" t="s">
        <v>3386</v>
      </c>
      <c r="G572" s="761" t="s">
        <v>102</v>
      </c>
      <c r="H572" s="759" t="s">
        <v>6810</v>
      </c>
      <c r="I572" s="760"/>
      <c r="J572" s="760"/>
      <c r="K572" s="762"/>
      <c r="L572" s="761"/>
      <c r="M572" s="763"/>
      <c r="N572" s="760"/>
      <c r="O572" s="779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1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1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3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4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5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5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5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7" t="s">
        <v>78</v>
      </c>
      <c r="F609" s="787" t="s">
        <v>6666</v>
      </c>
      <c r="G609" s="16" t="s">
        <v>207</v>
      </c>
      <c r="H609" s="793" t="s">
        <v>6867</v>
      </c>
      <c r="I609" s="787"/>
      <c r="J609" s="793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6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1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6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6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2"/>
      <c r="O614" s="430"/>
      <c r="P614" s="787"/>
    </row>
    <row r="615" spans="1:17" s="17" customFormat="1" ht="33" customHeight="1" x14ac:dyDescent="0.3">
      <c r="A615" s="786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2"/>
      <c r="O615" s="430"/>
      <c r="P615" s="787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6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7"/>
      <c r="O619" s="430" t="s">
        <v>7014</v>
      </c>
      <c r="P619" s="787"/>
    </row>
    <row r="620" spans="1:17" s="17" customFormat="1" ht="33" customHeight="1" x14ac:dyDescent="0.3">
      <c r="A620" s="786"/>
      <c r="B620" s="399">
        <v>46265</v>
      </c>
      <c r="C620" s="4" t="s">
        <v>6707</v>
      </c>
      <c r="D620" s="4" t="s">
        <v>25</v>
      </c>
      <c r="E620" s="787" t="s">
        <v>6895</v>
      </c>
      <c r="F620" s="787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7"/>
      <c r="O620" s="430"/>
      <c r="P620" s="787"/>
    </row>
    <row r="621" spans="1:17" s="17" customFormat="1" ht="33" customHeight="1" x14ac:dyDescent="0.3">
      <c r="A621" s="786"/>
      <c r="B621" s="399">
        <v>46265</v>
      </c>
      <c r="C621" s="4" t="s">
        <v>6707</v>
      </c>
      <c r="D621" s="4" t="s">
        <v>25</v>
      </c>
      <c r="E621" s="787" t="s">
        <v>6709</v>
      </c>
      <c r="F621" s="787">
        <v>7065</v>
      </c>
      <c r="G621" s="16" t="s">
        <v>145</v>
      </c>
      <c r="H621" s="793" t="s">
        <v>6706</v>
      </c>
      <c r="I621" s="787" t="s">
        <v>6312</v>
      </c>
      <c r="J621" s="787"/>
      <c r="K621" s="277" t="s">
        <v>209</v>
      </c>
      <c r="L621" s="16"/>
      <c r="M621" s="8">
        <v>1</v>
      </c>
      <c r="N621" s="787"/>
      <c r="O621" s="430"/>
      <c r="P621" s="787"/>
    </row>
    <row r="622" spans="1:17" s="17" customFormat="1" ht="33" customHeight="1" x14ac:dyDescent="0.3">
      <c r="A622" s="786"/>
      <c r="B622" s="399">
        <v>46265</v>
      </c>
      <c r="C622" s="4" t="s">
        <v>138</v>
      </c>
      <c r="D622" s="4" t="s">
        <v>7010</v>
      </c>
      <c r="E622" s="787" t="s">
        <v>6964</v>
      </c>
      <c r="F622" s="787" t="s">
        <v>7009</v>
      </c>
      <c r="G622" s="16" t="s">
        <v>7007</v>
      </c>
      <c r="H622" s="793" t="s">
        <v>7008</v>
      </c>
      <c r="I622" s="787" t="s">
        <v>7011</v>
      </c>
      <c r="J622" s="787" t="s">
        <v>5606</v>
      </c>
      <c r="K622" s="277" t="s">
        <v>7012</v>
      </c>
      <c r="L622" s="16" t="s">
        <v>6287</v>
      </c>
      <c r="M622" s="8">
        <v>3</v>
      </c>
      <c r="N622" s="787"/>
      <c r="O622" s="430" t="s">
        <v>7015</v>
      </c>
      <c r="P622" s="787"/>
    </row>
    <row r="623" spans="1:17" s="17" customFormat="1" ht="33" customHeight="1" x14ac:dyDescent="0.3">
      <c r="A623" s="795"/>
      <c r="B623" s="399">
        <v>46266</v>
      </c>
      <c r="C623" s="3" t="s">
        <v>21</v>
      </c>
      <c r="D623" s="3" t="s">
        <v>14</v>
      </c>
      <c r="E623" s="454" t="s">
        <v>7031</v>
      </c>
      <c r="F623" s="454" t="s">
        <v>3415</v>
      </c>
      <c r="G623" s="459" t="s">
        <v>23</v>
      </c>
      <c r="H623" s="802" t="s">
        <v>7026</v>
      </c>
      <c r="I623" s="799"/>
      <c r="J623" s="799" t="s">
        <v>7029</v>
      </c>
      <c r="K623" s="277" t="s">
        <v>15</v>
      </c>
      <c r="L623" s="16" t="s">
        <v>7030</v>
      </c>
      <c r="M623" s="8">
        <v>2</v>
      </c>
      <c r="N623" s="799"/>
      <c r="O623" s="430"/>
      <c r="P623" s="799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5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7032</v>
      </c>
      <c r="H625" s="453" t="s">
        <v>7033</v>
      </c>
      <c r="I625" s="453" t="s">
        <v>1690</v>
      </c>
      <c r="J625" s="454" t="s">
        <v>316</v>
      </c>
      <c r="K625" s="136" t="s">
        <v>1356</v>
      </c>
      <c r="L625" s="459" t="s">
        <v>7034</v>
      </c>
      <c r="M625" s="455">
        <v>2</v>
      </c>
      <c r="N625" s="799"/>
      <c r="O625" s="430"/>
      <c r="P625" s="799"/>
    </row>
    <row r="626" spans="1:16" s="17" customFormat="1" ht="33" customHeight="1" x14ac:dyDescent="0.3">
      <c r="A626" s="786"/>
      <c r="B626" s="399">
        <v>46266</v>
      </c>
      <c r="C626" s="4" t="s">
        <v>21</v>
      </c>
      <c r="D626" s="4" t="s">
        <v>17</v>
      </c>
      <c r="E626" s="787" t="s">
        <v>78</v>
      </c>
      <c r="F626" s="787">
        <v>7060</v>
      </c>
      <c r="G626" s="16" t="s">
        <v>36</v>
      </c>
      <c r="H626" s="793" t="s">
        <v>7027</v>
      </c>
      <c r="I626" s="787" t="s">
        <v>6842</v>
      </c>
      <c r="J626" s="787"/>
      <c r="K626" s="125" t="s">
        <v>15</v>
      </c>
      <c r="L626" s="16">
        <v>9080</v>
      </c>
      <c r="M626" s="8">
        <v>2</v>
      </c>
      <c r="N626" s="787"/>
      <c r="O626" s="431"/>
      <c r="P626" s="787"/>
    </row>
    <row r="627" spans="1:16" s="17" customFormat="1" ht="33" customHeight="1" x14ac:dyDescent="0.3">
      <c r="A627" s="786"/>
      <c r="B627" s="399">
        <v>46266</v>
      </c>
      <c r="C627" s="4" t="s">
        <v>21</v>
      </c>
      <c r="D627" s="4" t="s">
        <v>14</v>
      </c>
      <c r="E627" s="787" t="s">
        <v>140</v>
      </c>
      <c r="F627" s="787" t="s">
        <v>2959</v>
      </c>
      <c r="G627" s="16" t="s">
        <v>6980</v>
      </c>
      <c r="H627" s="793" t="s">
        <v>6949</v>
      </c>
      <c r="I627" s="787" t="s">
        <v>6996</v>
      </c>
      <c r="J627" s="787" t="s">
        <v>686</v>
      </c>
      <c r="K627" s="125" t="s">
        <v>15</v>
      </c>
      <c r="L627" s="16" t="s">
        <v>6287</v>
      </c>
      <c r="M627" s="8">
        <v>2</v>
      </c>
      <c r="N627" s="787"/>
      <c r="O627" s="430" t="s">
        <v>6116</v>
      </c>
      <c r="P627" s="787"/>
    </row>
    <row r="628" spans="1:16" s="17" customFormat="1" ht="33" customHeight="1" x14ac:dyDescent="0.3">
      <c r="A628" s="795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2" t="s">
        <v>7036</v>
      </c>
      <c r="I628" s="799" t="s">
        <v>7035</v>
      </c>
      <c r="J628" s="799"/>
      <c r="K628" s="125" t="s">
        <v>1356</v>
      </c>
      <c r="L628" s="16">
        <v>9080</v>
      </c>
      <c r="M628" s="8">
        <v>2</v>
      </c>
      <c r="N628" s="799"/>
      <c r="O628" s="430"/>
      <c r="P628" s="799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7037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6"/>
      <c r="B630" s="399">
        <v>46267</v>
      </c>
      <c r="C630" s="4" t="s">
        <v>21</v>
      </c>
      <c r="D630" s="4" t="s">
        <v>14</v>
      </c>
      <c r="E630" s="787" t="s">
        <v>140</v>
      </c>
      <c r="F630" s="787" t="s">
        <v>2959</v>
      </c>
      <c r="G630" s="16" t="s">
        <v>143</v>
      </c>
      <c r="H630" s="793" t="s">
        <v>6949</v>
      </c>
      <c r="I630" s="787"/>
      <c r="J630" s="787" t="s">
        <v>641</v>
      </c>
      <c r="K630" s="125" t="s">
        <v>15</v>
      </c>
      <c r="L630" s="16" t="s">
        <v>6287</v>
      </c>
      <c r="M630" s="8">
        <v>2</v>
      </c>
      <c r="N630" s="792"/>
      <c r="O630" s="430" t="s">
        <v>6997</v>
      </c>
      <c r="P630" s="787"/>
    </row>
    <row r="631" spans="1:16" s="17" customFormat="1" ht="33" customHeight="1" x14ac:dyDescent="0.3">
      <c r="A631" s="786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2"/>
      <c r="O631" s="430" t="s">
        <v>7002</v>
      </c>
      <c r="P631" s="787"/>
    </row>
    <row r="632" spans="1:16" s="17" customFormat="1" ht="33" customHeight="1" x14ac:dyDescent="0.3">
      <c r="A632" s="786"/>
      <c r="B632" s="399">
        <v>46268</v>
      </c>
      <c r="C632" s="4" t="s">
        <v>6707</v>
      </c>
      <c r="D632" s="4" t="s">
        <v>25</v>
      </c>
      <c r="E632" s="787" t="s">
        <v>6709</v>
      </c>
      <c r="F632" s="787">
        <v>7065</v>
      </c>
      <c r="G632" s="16" t="s">
        <v>145</v>
      </c>
      <c r="H632" s="793" t="s">
        <v>6706</v>
      </c>
      <c r="I632" s="787" t="s">
        <v>6312</v>
      </c>
      <c r="J632" s="787"/>
      <c r="K632" s="277" t="s">
        <v>209</v>
      </c>
      <c r="L632" s="16">
        <v>9080</v>
      </c>
      <c r="M632" s="8">
        <v>1</v>
      </c>
      <c r="N632" s="792"/>
      <c r="O632" s="430"/>
      <c r="P632" s="787"/>
    </row>
    <row r="633" spans="1:16" s="17" customFormat="1" ht="33" customHeight="1" x14ac:dyDescent="0.3">
      <c r="A633" s="786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2"/>
      <c r="O633" s="430" t="s">
        <v>5899</v>
      </c>
      <c r="P633" s="787"/>
    </row>
    <row r="634" spans="1:16" s="17" customFormat="1" ht="33" customHeight="1" x14ac:dyDescent="0.3">
      <c r="A634" s="795"/>
      <c r="B634" s="399">
        <v>46268</v>
      </c>
      <c r="C634" s="4" t="s">
        <v>21</v>
      </c>
      <c r="D634" s="4" t="s">
        <v>14</v>
      </c>
      <c r="E634" s="799" t="s">
        <v>140</v>
      </c>
      <c r="F634" s="799" t="s">
        <v>2959</v>
      </c>
      <c r="G634" s="16" t="s">
        <v>143</v>
      </c>
      <c r="H634" s="802" t="s">
        <v>6949</v>
      </c>
      <c r="I634" s="799"/>
      <c r="J634" s="799" t="s">
        <v>641</v>
      </c>
      <c r="K634" s="125" t="s">
        <v>15</v>
      </c>
      <c r="L634" s="16" t="s">
        <v>6287</v>
      </c>
      <c r="M634" s="8">
        <v>2</v>
      </c>
      <c r="N634" s="801"/>
      <c r="O634" s="430" t="s">
        <v>7038</v>
      </c>
      <c r="P634" s="799"/>
    </row>
    <row r="635" spans="1:16" s="17" customFormat="1" ht="33" customHeight="1" x14ac:dyDescent="0.3">
      <c r="A635" s="786"/>
      <c r="B635" s="399">
        <v>46268</v>
      </c>
      <c r="C635" s="4" t="s">
        <v>21</v>
      </c>
      <c r="D635" s="4" t="s">
        <v>14</v>
      </c>
      <c r="E635" s="787" t="s">
        <v>140</v>
      </c>
      <c r="F635" s="787" t="s">
        <v>2959</v>
      </c>
      <c r="G635" s="16" t="s">
        <v>6979</v>
      </c>
      <c r="H635" s="793" t="s">
        <v>6949</v>
      </c>
      <c r="I635" s="787"/>
      <c r="J635" s="787" t="s">
        <v>6998</v>
      </c>
      <c r="K635" s="125" t="s">
        <v>15</v>
      </c>
      <c r="L635" s="16" t="s">
        <v>6287</v>
      </c>
      <c r="M635" s="8">
        <v>3</v>
      </c>
      <c r="N635" s="792"/>
      <c r="O635" s="430" t="s">
        <v>6999</v>
      </c>
      <c r="P635" s="787"/>
    </row>
    <row r="636" spans="1:16" s="17" customFormat="1" ht="33" customHeight="1" x14ac:dyDescent="0.3">
      <c r="A636" s="786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2"/>
      <c r="O636" s="430" t="s">
        <v>7002</v>
      </c>
      <c r="P636" s="787"/>
    </row>
    <row r="637" spans="1:16" s="17" customFormat="1" ht="33" customHeight="1" x14ac:dyDescent="0.3">
      <c r="A637" s="795"/>
      <c r="B637" s="399">
        <v>46269</v>
      </c>
      <c r="C637" s="3" t="s">
        <v>21</v>
      </c>
      <c r="D637" s="3" t="s">
        <v>14</v>
      </c>
      <c r="E637" s="454" t="s">
        <v>7031</v>
      </c>
      <c r="F637" s="454" t="s">
        <v>3415</v>
      </c>
      <c r="G637" s="459" t="s">
        <v>23</v>
      </c>
      <c r="H637" s="802" t="s">
        <v>7044</v>
      </c>
      <c r="I637" s="799"/>
      <c r="J637" s="799" t="s">
        <v>7045</v>
      </c>
      <c r="K637" s="277" t="s">
        <v>15</v>
      </c>
      <c r="L637" s="16" t="s">
        <v>4550</v>
      </c>
      <c r="M637" s="8">
        <v>1</v>
      </c>
      <c r="N637" s="801"/>
      <c r="O637" s="430"/>
      <c r="P637" s="799"/>
    </row>
    <row r="638" spans="1:16" s="17" customFormat="1" ht="33" customHeight="1" x14ac:dyDescent="0.3">
      <c r="A638" s="786"/>
      <c r="B638" s="399">
        <v>46269</v>
      </c>
      <c r="C638" s="4" t="s">
        <v>6707</v>
      </c>
      <c r="D638" s="4" t="s">
        <v>25</v>
      </c>
      <c r="E638" s="787" t="s">
        <v>6709</v>
      </c>
      <c r="F638" s="787">
        <v>7065</v>
      </c>
      <c r="G638" s="16" t="s">
        <v>145</v>
      </c>
      <c r="H638" s="793" t="s">
        <v>6706</v>
      </c>
      <c r="I638" s="787" t="s">
        <v>6312</v>
      </c>
      <c r="J638" s="787"/>
      <c r="K638" s="277" t="s">
        <v>209</v>
      </c>
      <c r="L638" s="16">
        <v>9080</v>
      </c>
      <c r="M638" s="8">
        <v>1</v>
      </c>
      <c r="N638" s="792" t="s">
        <v>7039</v>
      </c>
      <c r="O638" s="430"/>
      <c r="P638" s="787"/>
    </row>
    <row r="639" spans="1:16" s="17" customFormat="1" ht="33" customHeight="1" x14ac:dyDescent="0.3">
      <c r="A639" s="786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2"/>
      <c r="O639" s="430" t="s">
        <v>5899</v>
      </c>
      <c r="P639" s="787"/>
    </row>
    <row r="640" spans="1:16" s="17" customFormat="1" ht="33" customHeight="1" x14ac:dyDescent="0.3">
      <c r="A640" s="786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2"/>
      <c r="O640" s="430" t="s">
        <v>7002</v>
      </c>
      <c r="P640" s="787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7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5"/>
      <c r="B646" s="399">
        <v>46272</v>
      </c>
      <c r="C646" s="4" t="s">
        <v>7058</v>
      </c>
      <c r="D646" s="4" t="s">
        <v>17</v>
      </c>
      <c r="E646" s="802" t="s">
        <v>7059</v>
      </c>
      <c r="F646" s="799" t="s">
        <v>7060</v>
      </c>
      <c r="G646" s="16" t="s">
        <v>7061</v>
      </c>
      <c r="H646" s="802" t="s">
        <v>7062</v>
      </c>
      <c r="I646" s="799"/>
      <c r="J646" s="799" t="s">
        <v>7063</v>
      </c>
      <c r="K646" s="125" t="s">
        <v>7064</v>
      </c>
      <c r="L646" s="16" t="s">
        <v>7065</v>
      </c>
      <c r="M646" s="8">
        <v>2</v>
      </c>
      <c r="N646" s="801"/>
      <c r="O646" s="428" t="s">
        <v>7066</v>
      </c>
      <c r="P646" s="799"/>
    </row>
    <row r="647" spans="1:16" s="17" customFormat="1" ht="33" customHeight="1" x14ac:dyDescent="0.3">
      <c r="A647" s="795"/>
      <c r="B647" s="399">
        <v>46272</v>
      </c>
      <c r="C647" s="4" t="s">
        <v>6707</v>
      </c>
      <c r="D647" s="4" t="s">
        <v>25</v>
      </c>
      <c r="E647" s="799" t="s">
        <v>6709</v>
      </c>
      <c r="F647" s="799">
        <v>7065</v>
      </c>
      <c r="G647" s="16" t="s">
        <v>145</v>
      </c>
      <c r="H647" s="802" t="s">
        <v>6706</v>
      </c>
      <c r="I647" s="799" t="s">
        <v>6312</v>
      </c>
      <c r="J647" s="799"/>
      <c r="K647" s="277" t="s">
        <v>209</v>
      </c>
      <c r="L647" s="16">
        <v>9080</v>
      </c>
      <c r="M647" s="8">
        <v>1</v>
      </c>
      <c r="N647" s="801"/>
      <c r="O647" s="428"/>
      <c r="P647" s="799"/>
    </row>
    <row r="648" spans="1:16" s="17" customFormat="1" ht="33" customHeight="1" x14ac:dyDescent="0.3">
      <c r="A648" s="795"/>
      <c r="B648" s="399">
        <v>46272</v>
      </c>
      <c r="C648" s="4" t="s">
        <v>21</v>
      </c>
      <c r="D648" s="4" t="s">
        <v>14</v>
      </c>
      <c r="E648" s="799" t="s">
        <v>140</v>
      </c>
      <c r="F648" s="799" t="s">
        <v>2959</v>
      </c>
      <c r="G648" s="16" t="s">
        <v>143</v>
      </c>
      <c r="H648" s="802" t="s">
        <v>6949</v>
      </c>
      <c r="I648" s="799" t="s">
        <v>7068</v>
      </c>
      <c r="J648" s="799" t="s">
        <v>7067</v>
      </c>
      <c r="K648" s="125" t="s">
        <v>15</v>
      </c>
      <c r="L648" s="16" t="s">
        <v>7076</v>
      </c>
      <c r="M648" s="8">
        <v>2</v>
      </c>
      <c r="N648" s="801"/>
      <c r="O648" s="428" t="s">
        <v>7070</v>
      </c>
      <c r="P648" s="799"/>
    </row>
    <row r="649" spans="1:16" s="17" customFormat="1" ht="33" customHeight="1" x14ac:dyDescent="0.3">
      <c r="A649" s="795"/>
      <c r="B649" s="399">
        <v>46273</v>
      </c>
      <c r="C649" s="4" t="s">
        <v>21</v>
      </c>
      <c r="D649" s="4" t="s">
        <v>14</v>
      </c>
      <c r="E649" s="799" t="s">
        <v>140</v>
      </c>
      <c r="F649" s="799" t="s">
        <v>2959</v>
      </c>
      <c r="G649" s="16" t="s">
        <v>143</v>
      </c>
      <c r="H649" s="802" t="s">
        <v>6949</v>
      </c>
      <c r="I649" s="799" t="s">
        <v>7068</v>
      </c>
      <c r="J649" s="799" t="s">
        <v>7069</v>
      </c>
      <c r="K649" s="125" t="s">
        <v>15</v>
      </c>
      <c r="L649" s="16" t="s">
        <v>7076</v>
      </c>
      <c r="M649" s="8">
        <v>2</v>
      </c>
      <c r="N649" s="801"/>
      <c r="O649" s="428" t="s">
        <v>7071</v>
      </c>
      <c r="P649" s="799"/>
    </row>
    <row r="650" spans="1:16" s="17" customFormat="1" ht="33" customHeight="1" x14ac:dyDescent="0.3">
      <c r="A650" s="795"/>
      <c r="B650" s="399">
        <v>46273</v>
      </c>
      <c r="C650" s="4" t="s">
        <v>21</v>
      </c>
      <c r="D650" s="4" t="s">
        <v>14</v>
      </c>
      <c r="E650" s="799" t="s">
        <v>107</v>
      </c>
      <c r="F650" s="799" t="s">
        <v>2959</v>
      </c>
      <c r="G650" s="16" t="s">
        <v>7046</v>
      </c>
      <c r="H650" s="802" t="s">
        <v>7109</v>
      </c>
      <c r="I650" s="799" t="s">
        <v>7068</v>
      </c>
      <c r="J650" s="799" t="s">
        <v>7069</v>
      </c>
      <c r="K650" s="125" t="s">
        <v>15</v>
      </c>
      <c r="L650" s="16" t="s">
        <v>7076</v>
      </c>
      <c r="M650" s="8">
        <v>2</v>
      </c>
      <c r="N650" s="801"/>
      <c r="O650" s="428" t="s">
        <v>7071</v>
      </c>
      <c r="P650" s="799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5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2" t="s">
        <v>7040</v>
      </c>
      <c r="I652" s="802" t="s">
        <v>7072</v>
      </c>
      <c r="J652" s="799" t="s">
        <v>68</v>
      </c>
      <c r="K652" s="125" t="s">
        <v>1356</v>
      </c>
      <c r="L652" s="16">
        <v>9080</v>
      </c>
      <c r="M652" s="8">
        <v>4</v>
      </c>
      <c r="N652" s="799"/>
      <c r="O652" s="428"/>
      <c r="P652" s="799"/>
    </row>
    <row r="653" spans="1:16" s="17" customFormat="1" ht="33" customHeight="1" x14ac:dyDescent="0.3">
      <c r="A653" s="795"/>
      <c r="B653" s="399">
        <v>46274</v>
      </c>
      <c r="C653" s="4" t="s">
        <v>6707</v>
      </c>
      <c r="D653" s="4" t="s">
        <v>25</v>
      </c>
      <c r="E653" s="799" t="s">
        <v>6709</v>
      </c>
      <c r="F653" s="799">
        <v>7065</v>
      </c>
      <c r="G653" s="16" t="s">
        <v>145</v>
      </c>
      <c r="H653" s="802" t="s">
        <v>6706</v>
      </c>
      <c r="I653" s="799" t="s">
        <v>6312</v>
      </c>
      <c r="J653" s="799"/>
      <c r="K653" s="277" t="s">
        <v>209</v>
      </c>
      <c r="L653" s="16">
        <v>9080</v>
      </c>
      <c r="M653" s="8">
        <v>1</v>
      </c>
      <c r="N653" s="799"/>
      <c r="O653" s="428"/>
      <c r="P653" s="799"/>
    </row>
    <row r="654" spans="1:16" s="17" customFormat="1" ht="33" customHeight="1" x14ac:dyDescent="0.3">
      <c r="A654" s="795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2" t="s">
        <v>7041</v>
      </c>
      <c r="I654" s="799" t="s">
        <v>7042</v>
      </c>
      <c r="J654" s="802" t="s">
        <v>7043</v>
      </c>
      <c r="K654" s="125" t="s">
        <v>1356</v>
      </c>
      <c r="L654" s="16" t="s">
        <v>33</v>
      </c>
      <c r="M654" s="8">
        <v>5</v>
      </c>
      <c r="N654" s="801"/>
      <c r="O654" s="821" t="s">
        <v>7075</v>
      </c>
      <c r="P654" s="799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6"/>
      <c r="B656" s="399">
        <v>46274</v>
      </c>
      <c r="C656" s="4" t="s">
        <v>21</v>
      </c>
      <c r="D656" s="4" t="s">
        <v>6984</v>
      </c>
      <c r="E656" s="787" t="s">
        <v>6985</v>
      </c>
      <c r="F656" s="787" t="s">
        <v>6986</v>
      </c>
      <c r="G656" s="16" t="s">
        <v>205</v>
      </c>
      <c r="H656" s="793" t="s">
        <v>6988</v>
      </c>
      <c r="I656" s="787"/>
      <c r="J656" s="787" t="s">
        <v>6987</v>
      </c>
      <c r="K656" s="125" t="s">
        <v>15</v>
      </c>
      <c r="L656" s="16" t="s">
        <v>4550</v>
      </c>
      <c r="M656" s="8">
        <v>1</v>
      </c>
      <c r="N656" s="792"/>
      <c r="O656" s="428"/>
      <c r="P656" s="787"/>
    </row>
    <row r="657" spans="1:16" s="17" customFormat="1" ht="33" customHeight="1" x14ac:dyDescent="0.3">
      <c r="A657" s="795"/>
      <c r="B657" s="399">
        <v>46274</v>
      </c>
      <c r="C657" s="4" t="s">
        <v>21</v>
      </c>
      <c r="D657" s="4" t="s">
        <v>14</v>
      </c>
      <c r="E657" s="799" t="s">
        <v>107</v>
      </c>
      <c r="F657" s="799" t="s">
        <v>2959</v>
      </c>
      <c r="G657" s="16" t="s">
        <v>7057</v>
      </c>
      <c r="H657" s="802" t="s">
        <v>7074</v>
      </c>
      <c r="I657" s="799" t="s">
        <v>7068</v>
      </c>
      <c r="J657" s="799" t="s">
        <v>1300</v>
      </c>
      <c r="K657" s="125" t="s">
        <v>15</v>
      </c>
      <c r="L657" s="16" t="s">
        <v>7077</v>
      </c>
      <c r="M657" s="8">
        <v>2</v>
      </c>
      <c r="N657" s="801"/>
      <c r="O657" s="428" t="s">
        <v>7049</v>
      </c>
      <c r="P657" s="799"/>
    </row>
    <row r="658" spans="1:16" s="17" customFormat="1" ht="33" customHeight="1" x14ac:dyDescent="0.3">
      <c r="A658" s="807"/>
      <c r="B658" s="399">
        <v>46275</v>
      </c>
      <c r="C658" s="4" t="s">
        <v>21</v>
      </c>
      <c r="D658" s="4" t="s">
        <v>14</v>
      </c>
      <c r="E658" s="809" t="s">
        <v>5583</v>
      </c>
      <c r="F658" s="809" t="s">
        <v>5408</v>
      </c>
      <c r="G658" s="16" t="s">
        <v>205</v>
      </c>
      <c r="H658" s="820" t="s">
        <v>7112</v>
      </c>
      <c r="I658" s="809" t="s">
        <v>7113</v>
      </c>
      <c r="J658" s="809" t="s">
        <v>7119</v>
      </c>
      <c r="K658" s="125" t="s">
        <v>7115</v>
      </c>
      <c r="L658" s="16" t="s">
        <v>7116</v>
      </c>
      <c r="M658" s="8">
        <v>2</v>
      </c>
      <c r="N658" s="819"/>
      <c r="O658" s="428" t="s">
        <v>7121</v>
      </c>
      <c r="P658" s="809"/>
    </row>
    <row r="659" spans="1:16" s="17" customFormat="1" ht="33" customHeight="1" x14ac:dyDescent="0.3">
      <c r="A659" s="786"/>
      <c r="B659" s="399">
        <v>46275</v>
      </c>
      <c r="C659" s="4" t="s">
        <v>21</v>
      </c>
      <c r="D659" s="4" t="s">
        <v>14</v>
      </c>
      <c r="E659" s="809" t="s">
        <v>5583</v>
      </c>
      <c r="F659" s="809" t="s">
        <v>5408</v>
      </c>
      <c r="G659" s="16" t="s">
        <v>7053</v>
      </c>
      <c r="H659" s="793" t="s">
        <v>7117</v>
      </c>
      <c r="I659" s="787" t="s">
        <v>7118</v>
      </c>
      <c r="J659" s="787" t="s">
        <v>7054</v>
      </c>
      <c r="K659" s="125" t="s">
        <v>7055</v>
      </c>
      <c r="L659" s="16" t="s">
        <v>7056</v>
      </c>
      <c r="M659" s="8">
        <v>2</v>
      </c>
      <c r="N659" s="792" t="s">
        <v>7120</v>
      </c>
      <c r="O659" s="428" t="s">
        <v>5909</v>
      </c>
      <c r="P659" s="787"/>
    </row>
    <row r="660" spans="1:16" s="17" customFormat="1" ht="33" customHeight="1" x14ac:dyDescent="0.3">
      <c r="A660" s="807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0" t="s">
        <v>7122</v>
      </c>
      <c r="I660" s="809" t="s">
        <v>7123</v>
      </c>
      <c r="J660" s="809"/>
      <c r="K660" s="125" t="s">
        <v>7124</v>
      </c>
      <c r="L660" s="16" t="s">
        <v>7125</v>
      </c>
      <c r="M660" s="8">
        <v>1</v>
      </c>
      <c r="N660" s="819"/>
      <c r="O660" s="428"/>
      <c r="P660" s="809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7105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7093</v>
      </c>
      <c r="O661" s="428"/>
      <c r="P661" s="31"/>
    </row>
    <row r="662" spans="1:16" s="17" customFormat="1" ht="33" customHeight="1" x14ac:dyDescent="0.3">
      <c r="A662" s="807"/>
      <c r="B662" s="399">
        <v>46275</v>
      </c>
      <c r="C662" s="4" t="s">
        <v>6707</v>
      </c>
      <c r="D662" s="4" t="s">
        <v>25</v>
      </c>
      <c r="E662" s="809" t="s">
        <v>6709</v>
      </c>
      <c r="F662" s="809">
        <v>7065</v>
      </c>
      <c r="G662" s="16" t="s">
        <v>145</v>
      </c>
      <c r="H662" s="820" t="s">
        <v>6706</v>
      </c>
      <c r="I662" s="809" t="s">
        <v>6312</v>
      </c>
      <c r="J662" s="809"/>
      <c r="K662" s="277" t="s">
        <v>209</v>
      </c>
      <c r="L662" s="16">
        <v>9080</v>
      </c>
      <c r="M662" s="8">
        <v>1</v>
      </c>
      <c r="N662" s="819" t="s">
        <v>7143</v>
      </c>
      <c r="O662" s="428"/>
      <c r="P662" s="809"/>
    </row>
    <row r="663" spans="1:16" s="17" customFormat="1" ht="33" customHeight="1" x14ac:dyDescent="0.3">
      <c r="A663" s="795"/>
      <c r="B663" s="399">
        <v>46276</v>
      </c>
      <c r="C663" s="4" t="s">
        <v>6707</v>
      </c>
      <c r="D663" s="4" t="s">
        <v>25</v>
      </c>
      <c r="E663" s="809" t="s">
        <v>6709</v>
      </c>
      <c r="F663" s="809">
        <v>7065</v>
      </c>
      <c r="G663" s="16" t="s">
        <v>145</v>
      </c>
      <c r="H663" s="820" t="s">
        <v>6706</v>
      </c>
      <c r="I663" s="809" t="s">
        <v>6312</v>
      </c>
      <c r="J663" s="809"/>
      <c r="K663" s="277" t="s">
        <v>209</v>
      </c>
      <c r="L663" s="16">
        <v>9080</v>
      </c>
      <c r="M663" s="8">
        <v>1</v>
      </c>
      <c r="N663" s="801" t="s">
        <v>7094</v>
      </c>
      <c r="O663" s="428"/>
      <c r="P663" s="799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7"/>
      <c r="B665" s="399">
        <v>46276</v>
      </c>
      <c r="C665" s="4" t="s">
        <v>7128</v>
      </c>
      <c r="D665" s="4" t="s">
        <v>7129</v>
      </c>
      <c r="E665" s="809" t="s">
        <v>7132</v>
      </c>
      <c r="F665" s="809" t="s">
        <v>7131</v>
      </c>
      <c r="G665" s="809" t="s">
        <v>7130</v>
      </c>
      <c r="H665" s="820" t="s">
        <v>7133</v>
      </c>
      <c r="I665" s="809" t="s">
        <v>7113</v>
      </c>
      <c r="J665" s="809"/>
      <c r="K665" s="125"/>
      <c r="L665" s="16" t="s">
        <v>7134</v>
      </c>
      <c r="M665" s="8">
        <v>1</v>
      </c>
      <c r="N665" s="819"/>
      <c r="O665" s="430"/>
      <c r="P665" s="809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7050</v>
      </c>
      <c r="D668" s="4" t="s">
        <v>7051</v>
      </c>
      <c r="E668" s="31" t="s">
        <v>107</v>
      </c>
      <c r="F668" s="31" t="s">
        <v>7052</v>
      </c>
      <c r="G668" s="16" t="s">
        <v>1721</v>
      </c>
      <c r="H668" s="193" t="s">
        <v>7110</v>
      </c>
      <c r="I668" s="31" t="s">
        <v>7113</v>
      </c>
      <c r="J668" s="31" t="s">
        <v>7114</v>
      </c>
      <c r="K668" s="125" t="s">
        <v>7115</v>
      </c>
      <c r="L668" s="16" t="s">
        <v>7139</v>
      </c>
      <c r="M668" s="8">
        <v>2</v>
      </c>
      <c r="N668" s="31" t="s">
        <v>7127</v>
      </c>
      <c r="O668" s="438" t="s">
        <v>7159</v>
      </c>
      <c r="P668" s="31"/>
    </row>
    <row r="669" spans="1:16" s="17" customFormat="1" ht="33" customHeight="1" x14ac:dyDescent="0.3">
      <c r="A669" s="807"/>
      <c r="B669" s="399">
        <v>46279</v>
      </c>
      <c r="C669" s="4" t="s">
        <v>21</v>
      </c>
      <c r="D669" s="4" t="s">
        <v>14</v>
      </c>
      <c r="E669" s="809" t="s">
        <v>1787</v>
      </c>
      <c r="F669" s="809" t="s">
        <v>2978</v>
      </c>
      <c r="G669" s="16" t="s">
        <v>7106</v>
      </c>
      <c r="H669" s="820" t="s">
        <v>7135</v>
      </c>
      <c r="I669" s="809"/>
      <c r="J669" s="809" t="s">
        <v>7136</v>
      </c>
      <c r="K669" s="125" t="s">
        <v>7115</v>
      </c>
      <c r="L669" s="16" t="s">
        <v>7137</v>
      </c>
      <c r="M669" s="8">
        <v>1</v>
      </c>
      <c r="N669" s="809"/>
      <c r="O669" s="438"/>
      <c r="P669" s="809"/>
    </row>
    <row r="670" spans="1:16" s="17" customFormat="1" ht="33" customHeight="1" x14ac:dyDescent="0.3">
      <c r="A670" s="807"/>
      <c r="B670" s="399">
        <v>46279</v>
      </c>
      <c r="C670" s="4" t="s">
        <v>21</v>
      </c>
      <c r="D670" s="4" t="s">
        <v>7152</v>
      </c>
      <c r="E670" s="809" t="s">
        <v>7153</v>
      </c>
      <c r="F670" s="809">
        <v>7060</v>
      </c>
      <c r="G670" s="16" t="s">
        <v>7154</v>
      </c>
      <c r="H670" s="820" t="s">
        <v>7155</v>
      </c>
      <c r="I670" s="809" t="s">
        <v>7156</v>
      </c>
      <c r="J670" s="809" t="s">
        <v>7157</v>
      </c>
      <c r="K670" s="125" t="s">
        <v>7115</v>
      </c>
      <c r="L670" s="16">
        <v>9080</v>
      </c>
      <c r="M670" s="8">
        <v>2</v>
      </c>
      <c r="N670" s="809"/>
      <c r="O670" s="438" t="s">
        <v>7158</v>
      </c>
      <c r="P670" s="809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9" t="s">
        <v>78</v>
      </c>
      <c r="F671" s="799" t="s">
        <v>6936</v>
      </c>
      <c r="G671" s="16" t="s">
        <v>1470</v>
      </c>
      <c r="H671" s="802" t="s">
        <v>6941</v>
      </c>
      <c r="I671" s="799" t="s">
        <v>1690</v>
      </c>
      <c r="J671" s="802"/>
      <c r="K671" s="125" t="s">
        <v>15</v>
      </c>
      <c r="L671" s="16" t="s">
        <v>6938</v>
      </c>
      <c r="M671" s="8">
        <v>1</v>
      </c>
      <c r="N671" s="31" t="s">
        <v>7126</v>
      </c>
      <c r="O671" s="438"/>
      <c r="P671" s="31"/>
    </row>
    <row r="672" spans="1:16" s="17" customFormat="1" ht="33" customHeight="1" x14ac:dyDescent="0.3">
      <c r="A672" s="807"/>
      <c r="B672" s="399">
        <v>46280</v>
      </c>
      <c r="C672" s="4" t="s">
        <v>6707</v>
      </c>
      <c r="D672" s="4" t="s">
        <v>25</v>
      </c>
      <c r="E672" s="809" t="s">
        <v>6709</v>
      </c>
      <c r="F672" s="809">
        <v>7065</v>
      </c>
      <c r="G672" s="16" t="s">
        <v>145</v>
      </c>
      <c r="H672" s="820" t="s">
        <v>6706</v>
      </c>
      <c r="I672" s="809" t="s">
        <v>6312</v>
      </c>
      <c r="J672" s="809"/>
      <c r="K672" s="277" t="s">
        <v>209</v>
      </c>
      <c r="L672" s="16">
        <v>9080</v>
      </c>
      <c r="M672" s="8">
        <v>1</v>
      </c>
      <c r="N672" s="809"/>
      <c r="O672" s="438"/>
      <c r="P672" s="809"/>
    </row>
    <row r="673" spans="1:16" s="17" customFormat="1" ht="33" customHeight="1" x14ac:dyDescent="0.3">
      <c r="A673" s="807"/>
      <c r="B673" s="399">
        <v>46280</v>
      </c>
      <c r="C673" s="4" t="s">
        <v>7050</v>
      </c>
      <c r="D673" s="4" t="s">
        <v>14</v>
      </c>
      <c r="E673" s="809" t="s">
        <v>107</v>
      </c>
      <c r="F673" s="809" t="s">
        <v>5269</v>
      </c>
      <c r="G673" s="16" t="s">
        <v>1721</v>
      </c>
      <c r="H673" s="820" t="s">
        <v>7191</v>
      </c>
      <c r="I673" s="809" t="s">
        <v>7140</v>
      </c>
      <c r="J673" s="809" t="s">
        <v>7192</v>
      </c>
      <c r="K673" s="125" t="s">
        <v>7115</v>
      </c>
      <c r="L673" s="16" t="s">
        <v>7142</v>
      </c>
      <c r="M673" s="8">
        <v>2</v>
      </c>
      <c r="N673" s="809" t="s">
        <v>7176</v>
      </c>
      <c r="O673" s="1136" t="s">
        <v>7193</v>
      </c>
      <c r="P673" s="809"/>
    </row>
    <row r="674" spans="1:16" s="17" customFormat="1" ht="33" customHeight="1" x14ac:dyDescent="0.3">
      <c r="A674" s="807"/>
      <c r="B674" s="399">
        <v>46280</v>
      </c>
      <c r="C674" s="4" t="s">
        <v>7050</v>
      </c>
      <c r="D674" s="4" t="s">
        <v>14</v>
      </c>
      <c r="E674" s="809" t="s">
        <v>107</v>
      </c>
      <c r="F674" s="809" t="s">
        <v>5269</v>
      </c>
      <c r="G674" s="16" t="s">
        <v>1721</v>
      </c>
      <c r="H674" s="820" t="s">
        <v>7107</v>
      </c>
      <c r="I674" s="809" t="s">
        <v>7113</v>
      </c>
      <c r="J674" s="809" t="s">
        <v>7138</v>
      </c>
      <c r="K674" s="125" t="s">
        <v>7115</v>
      </c>
      <c r="L674" s="16" t="s">
        <v>7139</v>
      </c>
      <c r="M674" s="8">
        <v>2</v>
      </c>
      <c r="N674" s="809"/>
      <c r="O674" s="438" t="s">
        <v>7108</v>
      </c>
      <c r="P674" s="809"/>
    </row>
    <row r="675" spans="1:16" s="17" customFormat="1" ht="33" customHeight="1" x14ac:dyDescent="0.3">
      <c r="A675" s="807"/>
      <c r="B675" s="399">
        <v>46280</v>
      </c>
      <c r="C675" s="4" t="s">
        <v>7050</v>
      </c>
      <c r="D675" s="4" t="s">
        <v>14</v>
      </c>
      <c r="E675" s="809" t="s">
        <v>107</v>
      </c>
      <c r="F675" s="809" t="s">
        <v>7160</v>
      </c>
      <c r="G675" s="16" t="s">
        <v>7161</v>
      </c>
      <c r="H675" s="820" t="s">
        <v>7162</v>
      </c>
      <c r="I675" s="809"/>
      <c r="J675" s="809" t="s">
        <v>7163</v>
      </c>
      <c r="K675" s="125" t="s">
        <v>7164</v>
      </c>
      <c r="L675" s="16" t="s">
        <v>7165</v>
      </c>
      <c r="M675" s="8">
        <v>4</v>
      </c>
      <c r="N675" s="809"/>
      <c r="O675" s="438" t="s">
        <v>7170</v>
      </c>
      <c r="P675" s="809"/>
    </row>
    <row r="676" spans="1:16" s="17" customFormat="1" ht="33" customHeight="1" x14ac:dyDescent="0.3">
      <c r="A676" s="807"/>
      <c r="B676" s="399">
        <v>46280</v>
      </c>
      <c r="C676" s="4" t="s">
        <v>7050</v>
      </c>
      <c r="D676" s="4" t="s">
        <v>14</v>
      </c>
      <c r="E676" s="809" t="s">
        <v>107</v>
      </c>
      <c r="F676" s="809" t="s">
        <v>7173</v>
      </c>
      <c r="G676" s="16" t="s">
        <v>7161</v>
      </c>
      <c r="H676" s="820" t="s">
        <v>7190</v>
      </c>
      <c r="I676" s="809" t="s">
        <v>7174</v>
      </c>
      <c r="J676" s="809" t="s">
        <v>7175</v>
      </c>
      <c r="K676" s="125" t="s">
        <v>15</v>
      </c>
      <c r="L676" s="16" t="s">
        <v>7172</v>
      </c>
      <c r="M676" s="8">
        <v>2</v>
      </c>
      <c r="N676" s="809"/>
      <c r="O676" s="438"/>
      <c r="P676" s="809"/>
    </row>
    <row r="677" spans="1:16" s="17" customFormat="1" ht="33" customHeight="1" x14ac:dyDescent="0.3">
      <c r="A677" s="595"/>
      <c r="B677" s="399">
        <v>46281</v>
      </c>
      <c r="C677" s="4" t="s">
        <v>7144</v>
      </c>
      <c r="D677" s="4" t="s">
        <v>7145</v>
      </c>
      <c r="E677" s="31" t="s">
        <v>7146</v>
      </c>
      <c r="F677" s="31" t="s">
        <v>7147</v>
      </c>
      <c r="G677" s="16" t="s">
        <v>7148</v>
      </c>
      <c r="H677" s="193" t="s">
        <v>7168</v>
      </c>
      <c r="I677" s="31"/>
      <c r="J677" s="193" t="s">
        <v>7166</v>
      </c>
      <c r="K677" s="125" t="s">
        <v>7149</v>
      </c>
      <c r="L677" s="16" t="s">
        <v>7137</v>
      </c>
      <c r="M677" s="8">
        <v>2</v>
      </c>
      <c r="N677" s="422"/>
      <c r="O677" s="438" t="s">
        <v>7171</v>
      </c>
      <c r="P677" s="31"/>
    </row>
    <row r="678" spans="1:16" s="17" customFormat="1" ht="33" customHeight="1" x14ac:dyDescent="0.3">
      <c r="A678" s="807"/>
      <c r="B678" s="399">
        <v>46281</v>
      </c>
      <c r="C678" s="4" t="s">
        <v>6707</v>
      </c>
      <c r="D678" s="4" t="s">
        <v>25</v>
      </c>
      <c r="E678" s="809" t="s">
        <v>6709</v>
      </c>
      <c r="F678" s="809">
        <v>7065</v>
      </c>
      <c r="G678" s="16" t="s">
        <v>145</v>
      </c>
      <c r="H678" s="820" t="s">
        <v>6706</v>
      </c>
      <c r="I678" s="809" t="s">
        <v>6312</v>
      </c>
      <c r="J678" s="809"/>
      <c r="K678" s="277" t="s">
        <v>209</v>
      </c>
      <c r="L678" s="16">
        <v>9080</v>
      </c>
      <c r="M678" s="8">
        <v>1</v>
      </c>
      <c r="N678" s="819"/>
      <c r="O678" s="438"/>
      <c r="P678" s="809"/>
    </row>
    <row r="679" spans="1:16" s="17" customFormat="1" ht="33" customHeight="1" x14ac:dyDescent="0.3">
      <c r="A679" s="807"/>
      <c r="B679" s="399">
        <v>46281</v>
      </c>
      <c r="C679" s="4" t="s">
        <v>7050</v>
      </c>
      <c r="D679" s="4" t="s">
        <v>14</v>
      </c>
      <c r="E679" s="809" t="s">
        <v>107</v>
      </c>
      <c r="F679" s="809" t="s">
        <v>7160</v>
      </c>
      <c r="G679" s="16" t="s">
        <v>7161</v>
      </c>
      <c r="H679" s="820" t="s">
        <v>7162</v>
      </c>
      <c r="I679" s="809"/>
      <c r="J679" s="809" t="s">
        <v>7163</v>
      </c>
      <c r="K679" s="125" t="s">
        <v>7164</v>
      </c>
      <c r="L679" s="16" t="s">
        <v>7165</v>
      </c>
      <c r="M679" s="8">
        <v>4</v>
      </c>
      <c r="N679" s="819"/>
      <c r="O679" s="438" t="s">
        <v>7170</v>
      </c>
      <c r="P679" s="809"/>
    </row>
    <row r="680" spans="1:16" s="17" customFormat="1" ht="33" customHeight="1" x14ac:dyDescent="0.3">
      <c r="A680" s="807"/>
      <c r="B680" s="399">
        <v>46282</v>
      </c>
      <c r="C680" s="4" t="s">
        <v>21</v>
      </c>
      <c r="D680" s="4" t="s">
        <v>14</v>
      </c>
      <c r="E680" s="809" t="s">
        <v>1787</v>
      </c>
      <c r="F680" s="809" t="s">
        <v>2978</v>
      </c>
      <c r="G680" s="16" t="s">
        <v>7106</v>
      </c>
      <c r="H680" s="16" t="s">
        <v>7169</v>
      </c>
      <c r="I680" s="809" t="s">
        <v>7118</v>
      </c>
      <c r="J680" s="809" t="s">
        <v>7114</v>
      </c>
      <c r="K680" s="277" t="s">
        <v>15</v>
      </c>
      <c r="L680" s="16" t="s">
        <v>7139</v>
      </c>
      <c r="M680" s="8">
        <v>2</v>
      </c>
      <c r="N680" s="819"/>
      <c r="O680" s="438"/>
      <c r="P680" s="809"/>
    </row>
    <row r="681" spans="1:16" s="17" customFormat="1" ht="33" customHeight="1" x14ac:dyDescent="0.3">
      <c r="A681" s="595"/>
      <c r="B681" s="399">
        <v>46282</v>
      </c>
      <c r="C681" s="4" t="s">
        <v>7144</v>
      </c>
      <c r="D681" s="4" t="s">
        <v>7145</v>
      </c>
      <c r="E681" s="809" t="s">
        <v>7146</v>
      </c>
      <c r="F681" s="809" t="s">
        <v>7147</v>
      </c>
      <c r="G681" s="16" t="s">
        <v>7148</v>
      </c>
      <c r="H681" s="820" t="s">
        <v>7167</v>
      </c>
      <c r="I681" s="809"/>
      <c r="J681" s="820" t="s">
        <v>7166</v>
      </c>
      <c r="K681" s="125" t="s">
        <v>7149</v>
      </c>
      <c r="L681" s="16" t="s">
        <v>7137</v>
      </c>
      <c r="M681" s="8">
        <v>2</v>
      </c>
      <c r="N681" s="422"/>
      <c r="O681" s="438" t="s">
        <v>7171</v>
      </c>
      <c r="P681" s="31"/>
    </row>
    <row r="682" spans="1:16" s="17" customFormat="1" ht="33" customHeight="1" x14ac:dyDescent="0.3">
      <c r="A682" s="807"/>
      <c r="B682" s="399">
        <v>46282</v>
      </c>
      <c r="C682" s="4" t="s">
        <v>6707</v>
      </c>
      <c r="D682" s="4" t="s">
        <v>25</v>
      </c>
      <c r="E682" s="809" t="s">
        <v>6709</v>
      </c>
      <c r="F682" s="809">
        <v>7065</v>
      </c>
      <c r="G682" s="16" t="s">
        <v>145</v>
      </c>
      <c r="H682" s="820" t="s">
        <v>6706</v>
      </c>
      <c r="I682" s="809" t="s">
        <v>6312</v>
      </c>
      <c r="J682" s="809"/>
      <c r="K682" s="277" t="s">
        <v>209</v>
      </c>
      <c r="L682" s="16">
        <v>9080</v>
      </c>
      <c r="M682" s="8">
        <v>1</v>
      </c>
      <c r="N682" s="819"/>
      <c r="O682" s="438"/>
      <c r="P682" s="809"/>
    </row>
    <row r="683" spans="1:16" s="17" customFormat="1" ht="33" customHeight="1" x14ac:dyDescent="0.3">
      <c r="A683" s="807"/>
      <c r="B683" s="399">
        <v>46282</v>
      </c>
      <c r="C683" s="4" t="s">
        <v>7050</v>
      </c>
      <c r="D683" s="4" t="s">
        <v>14</v>
      </c>
      <c r="E683" s="809" t="s">
        <v>107</v>
      </c>
      <c r="F683" s="809" t="s">
        <v>7160</v>
      </c>
      <c r="G683" s="16" t="s">
        <v>7161</v>
      </c>
      <c r="H683" s="820" t="s">
        <v>7162</v>
      </c>
      <c r="I683" s="809"/>
      <c r="J683" s="809" t="s">
        <v>7163</v>
      </c>
      <c r="K683" s="125" t="s">
        <v>7164</v>
      </c>
      <c r="L683" s="16" t="s">
        <v>7165</v>
      </c>
      <c r="M683" s="8">
        <v>4</v>
      </c>
      <c r="N683" s="819"/>
      <c r="O683" s="438" t="s">
        <v>7170</v>
      </c>
      <c r="P683" s="809"/>
    </row>
    <row r="684" spans="1:16" s="17" customFormat="1" ht="33" customHeight="1" x14ac:dyDescent="0.3">
      <c r="A684" s="807"/>
      <c r="B684" s="399">
        <v>46283</v>
      </c>
      <c r="C684" s="4" t="s">
        <v>7050</v>
      </c>
      <c r="D684" s="4" t="s">
        <v>14</v>
      </c>
      <c r="E684" s="809" t="s">
        <v>107</v>
      </c>
      <c r="F684" s="809" t="s">
        <v>7160</v>
      </c>
      <c r="G684" s="16" t="s">
        <v>7161</v>
      </c>
      <c r="H684" s="820" t="s">
        <v>7162</v>
      </c>
      <c r="I684" s="809"/>
      <c r="J684" s="809" t="s">
        <v>7163</v>
      </c>
      <c r="K684" s="125" t="s">
        <v>7164</v>
      </c>
      <c r="L684" s="16" t="s">
        <v>7165</v>
      </c>
      <c r="M684" s="8">
        <v>4</v>
      </c>
      <c r="N684" s="819" t="s">
        <v>7188</v>
      </c>
      <c r="O684" s="438" t="s">
        <v>7170</v>
      </c>
      <c r="P684" s="809"/>
    </row>
    <row r="685" spans="1:16" s="17" customFormat="1" ht="33" customHeight="1" x14ac:dyDescent="0.3">
      <c r="A685" s="807"/>
      <c r="B685" s="399">
        <v>46283</v>
      </c>
      <c r="C685" s="4" t="s">
        <v>6707</v>
      </c>
      <c r="D685" s="4" t="s">
        <v>25</v>
      </c>
      <c r="E685" s="809" t="s">
        <v>6709</v>
      </c>
      <c r="F685" s="809">
        <v>7065</v>
      </c>
      <c r="G685" s="16" t="s">
        <v>145</v>
      </c>
      <c r="H685" s="820" t="s">
        <v>6706</v>
      </c>
      <c r="I685" s="809" t="s">
        <v>6312</v>
      </c>
      <c r="J685" s="809"/>
      <c r="K685" s="277" t="s">
        <v>209</v>
      </c>
      <c r="L685" s="16">
        <v>9080</v>
      </c>
      <c r="M685" s="8">
        <v>1</v>
      </c>
      <c r="N685" s="819"/>
      <c r="O685" s="438"/>
      <c r="P685" s="809"/>
    </row>
    <row r="686" spans="1:16" s="17" customFormat="1" ht="33" customHeight="1" x14ac:dyDescent="0.3">
      <c r="A686" s="823"/>
      <c r="B686" s="399">
        <v>46283</v>
      </c>
      <c r="C686" s="4" t="s">
        <v>7216</v>
      </c>
      <c r="D686" s="4" t="s">
        <v>7217</v>
      </c>
      <c r="E686" s="832" t="s">
        <v>7218</v>
      </c>
      <c r="F686" s="827">
        <v>3306</v>
      </c>
      <c r="G686" s="16" t="s">
        <v>7219</v>
      </c>
      <c r="H686" s="832" t="s">
        <v>7220</v>
      </c>
      <c r="I686" s="832" t="s">
        <v>7221</v>
      </c>
      <c r="J686" s="832" t="s">
        <v>7222</v>
      </c>
      <c r="K686" s="125" t="s">
        <v>66</v>
      </c>
      <c r="L686" s="16" t="s">
        <v>7223</v>
      </c>
      <c r="M686" s="8">
        <v>4</v>
      </c>
      <c r="N686" s="831"/>
      <c r="O686" s="438"/>
      <c r="P686" s="827"/>
    </row>
    <row r="687" spans="1:16" s="17" customFormat="1" ht="33" customHeight="1" x14ac:dyDescent="0.3">
      <c r="A687" s="824"/>
      <c r="B687" s="399">
        <v>46284</v>
      </c>
      <c r="C687" s="4" t="s">
        <v>7216</v>
      </c>
      <c r="D687" s="4" t="s">
        <v>7217</v>
      </c>
      <c r="E687" s="832" t="s">
        <v>7218</v>
      </c>
      <c r="F687" s="827">
        <v>3306</v>
      </c>
      <c r="G687" s="16" t="s">
        <v>7219</v>
      </c>
      <c r="H687" s="832" t="s">
        <v>7220</v>
      </c>
      <c r="I687" s="832" t="s">
        <v>7221</v>
      </c>
      <c r="J687" s="832" t="s">
        <v>7222</v>
      </c>
      <c r="K687" s="125" t="s">
        <v>66</v>
      </c>
      <c r="L687" s="16" t="s">
        <v>7223</v>
      </c>
      <c r="M687" s="8">
        <v>4</v>
      </c>
      <c r="N687" s="827"/>
      <c r="O687" s="432"/>
      <c r="P687" s="827"/>
    </row>
    <row r="688" spans="1:16" s="17" customFormat="1" ht="33" customHeight="1" x14ac:dyDescent="0.3">
      <c r="A688" s="596"/>
      <c r="B688" s="399">
        <v>46285</v>
      </c>
      <c r="C688" s="4" t="s">
        <v>7216</v>
      </c>
      <c r="D688" s="4" t="s">
        <v>7217</v>
      </c>
      <c r="E688" s="832" t="s">
        <v>7218</v>
      </c>
      <c r="F688" s="827">
        <v>3306</v>
      </c>
      <c r="G688" s="16" t="s">
        <v>7219</v>
      </c>
      <c r="H688" s="832" t="s">
        <v>7220</v>
      </c>
      <c r="I688" s="832" t="s">
        <v>7221</v>
      </c>
      <c r="J688" s="832" t="s">
        <v>7222</v>
      </c>
      <c r="K688" s="125" t="s">
        <v>66</v>
      </c>
      <c r="L688" s="16" t="s">
        <v>7223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7199</v>
      </c>
      <c r="I690" s="827" t="s">
        <v>7225</v>
      </c>
      <c r="J690" s="31"/>
      <c r="K690" s="125" t="s">
        <v>6967</v>
      </c>
      <c r="L690" s="16" t="s">
        <v>7200</v>
      </c>
      <c r="M690" s="18" t="s">
        <v>7211</v>
      </c>
      <c r="N690" s="31"/>
      <c r="O690" s="430"/>
      <c r="P690" s="31"/>
    </row>
    <row r="691" spans="1:16" s="17" customFormat="1" ht="33" customHeight="1" x14ac:dyDescent="0.3">
      <c r="A691" s="823"/>
      <c r="B691" s="399">
        <v>46286</v>
      </c>
      <c r="C691" s="4" t="s">
        <v>3650</v>
      </c>
      <c r="D691" s="4" t="s">
        <v>17</v>
      </c>
      <c r="E691" s="832" t="s">
        <v>7059</v>
      </c>
      <c r="F691" s="827" t="s">
        <v>7060</v>
      </c>
      <c r="G691" s="16" t="s">
        <v>23</v>
      </c>
      <c r="H691" s="832" t="s">
        <v>7062</v>
      </c>
      <c r="I691" s="827"/>
      <c r="J691" s="832" t="s">
        <v>487</v>
      </c>
      <c r="K691" s="125" t="s">
        <v>42</v>
      </c>
      <c r="L691" s="16" t="s">
        <v>7224</v>
      </c>
      <c r="M691" s="8">
        <v>2</v>
      </c>
      <c r="N691" s="827"/>
      <c r="O691" s="437" t="s">
        <v>7230</v>
      </c>
      <c r="P691" s="827"/>
    </row>
    <row r="692" spans="1:16" s="17" customFormat="1" ht="33" customHeight="1" x14ac:dyDescent="0.3">
      <c r="A692" s="823"/>
      <c r="B692" s="399">
        <v>46286</v>
      </c>
      <c r="C692" s="4" t="s">
        <v>6707</v>
      </c>
      <c r="D692" s="4" t="s">
        <v>25</v>
      </c>
      <c r="E692" s="827" t="s">
        <v>6709</v>
      </c>
      <c r="F692" s="827">
        <v>7065</v>
      </c>
      <c r="G692" s="16" t="s">
        <v>145</v>
      </c>
      <c r="H692" s="832" t="s">
        <v>6706</v>
      </c>
      <c r="I692" s="827" t="s">
        <v>7225</v>
      </c>
      <c r="J692" s="832"/>
      <c r="K692" s="277" t="s">
        <v>7213</v>
      </c>
      <c r="L692" s="16">
        <v>9080</v>
      </c>
      <c r="M692" s="8">
        <v>2</v>
      </c>
      <c r="N692" s="827"/>
      <c r="O692" s="430"/>
      <c r="P692" s="827"/>
    </row>
    <row r="693" spans="1:16" s="17" customFormat="1" ht="33" customHeight="1" x14ac:dyDescent="0.3">
      <c r="A693" s="823"/>
      <c r="B693" s="399">
        <v>46286</v>
      </c>
      <c r="C693" s="4" t="s">
        <v>7216</v>
      </c>
      <c r="D693" s="4" t="s">
        <v>7217</v>
      </c>
      <c r="E693" s="832" t="s">
        <v>7218</v>
      </c>
      <c r="F693" s="827">
        <v>3306</v>
      </c>
      <c r="G693" s="16" t="s">
        <v>7219</v>
      </c>
      <c r="H693" s="832" t="s">
        <v>7220</v>
      </c>
      <c r="I693" s="832" t="s">
        <v>7221</v>
      </c>
      <c r="J693" s="832" t="s">
        <v>7222</v>
      </c>
      <c r="K693" s="125" t="s">
        <v>66</v>
      </c>
      <c r="L693" s="16" t="s">
        <v>7223</v>
      </c>
      <c r="M693" s="8">
        <v>4</v>
      </c>
      <c r="N693" s="827"/>
      <c r="O693" s="430"/>
      <c r="P693" s="827"/>
    </row>
    <row r="694" spans="1:16" s="17" customFormat="1" ht="33" customHeight="1" x14ac:dyDescent="0.3">
      <c r="A694" s="795"/>
      <c r="B694" s="399">
        <v>46286</v>
      </c>
      <c r="C694" s="4" t="s">
        <v>64</v>
      </c>
      <c r="D694" s="4" t="s">
        <v>14</v>
      </c>
      <c r="E694" s="827" t="s">
        <v>107</v>
      </c>
      <c r="F694" s="827" t="s">
        <v>2959</v>
      </c>
      <c r="G694" s="16" t="s">
        <v>67</v>
      </c>
      <c r="H694" s="802" t="s">
        <v>7228</v>
      </c>
      <c r="I694" s="799"/>
      <c r="J694" s="832" t="s">
        <v>7227</v>
      </c>
      <c r="K694" s="125" t="s">
        <v>66</v>
      </c>
      <c r="L694" s="16" t="s">
        <v>7201</v>
      </c>
      <c r="M694" s="8">
        <v>3</v>
      </c>
      <c r="N694" s="799"/>
      <c r="O694" s="431" t="s">
        <v>7232</v>
      </c>
      <c r="P694" s="799"/>
    </row>
    <row r="695" spans="1:16" s="17" customFormat="1" ht="33" customHeight="1" x14ac:dyDescent="0.3">
      <c r="A695" s="823"/>
      <c r="B695" s="399">
        <v>46287</v>
      </c>
      <c r="C695" s="4" t="s">
        <v>64</v>
      </c>
      <c r="D695" s="4" t="s">
        <v>14</v>
      </c>
      <c r="E695" s="827" t="s">
        <v>107</v>
      </c>
      <c r="F695" s="827" t="s">
        <v>2959</v>
      </c>
      <c r="G695" s="16" t="s">
        <v>67</v>
      </c>
      <c r="H695" s="832" t="s">
        <v>7229</v>
      </c>
      <c r="I695" s="827"/>
      <c r="J695" s="832" t="s">
        <v>7227</v>
      </c>
      <c r="K695" s="125" t="s">
        <v>66</v>
      </c>
      <c r="L695" s="16" t="s">
        <v>7201</v>
      </c>
      <c r="M695" s="8">
        <v>3</v>
      </c>
      <c r="N695" s="827"/>
      <c r="O695" s="431" t="s">
        <v>7232</v>
      </c>
      <c r="P695" s="827"/>
    </row>
    <row r="696" spans="1:16" s="17" customFormat="1" ht="33" customHeight="1" x14ac:dyDescent="0.3">
      <c r="A696" s="823"/>
      <c r="B696" s="399">
        <v>46287</v>
      </c>
      <c r="C696" s="4" t="s">
        <v>6707</v>
      </c>
      <c r="D696" s="4" t="s">
        <v>25</v>
      </c>
      <c r="E696" s="827" t="s">
        <v>6709</v>
      </c>
      <c r="F696" s="827">
        <v>7065</v>
      </c>
      <c r="G696" s="16" t="s">
        <v>145</v>
      </c>
      <c r="H696" s="832" t="s">
        <v>6706</v>
      </c>
      <c r="I696" s="827" t="s">
        <v>7212</v>
      </c>
      <c r="J696" s="832"/>
      <c r="K696" s="277" t="s">
        <v>7213</v>
      </c>
      <c r="L696" s="16">
        <v>9080</v>
      </c>
      <c r="M696" s="18" t="s">
        <v>7226</v>
      </c>
      <c r="N696" s="827"/>
      <c r="O696" s="431"/>
      <c r="P696" s="827"/>
    </row>
    <row r="697" spans="1:16" s="17" customFormat="1" ht="33" customHeight="1" x14ac:dyDescent="0.3">
      <c r="A697" s="823"/>
      <c r="B697" s="399">
        <v>46287</v>
      </c>
      <c r="C697" s="4" t="s">
        <v>7216</v>
      </c>
      <c r="D697" s="4" t="s">
        <v>7217</v>
      </c>
      <c r="E697" s="832" t="s">
        <v>7218</v>
      </c>
      <c r="F697" s="827">
        <v>3306</v>
      </c>
      <c r="G697" s="16" t="s">
        <v>7219</v>
      </c>
      <c r="H697" s="832" t="s">
        <v>7220</v>
      </c>
      <c r="I697" s="832" t="s">
        <v>7221</v>
      </c>
      <c r="J697" s="832" t="s">
        <v>7222</v>
      </c>
      <c r="K697" s="125" t="s">
        <v>66</v>
      </c>
      <c r="L697" s="16" t="s">
        <v>7223</v>
      </c>
      <c r="M697" s="8">
        <v>4</v>
      </c>
      <c r="N697" s="827"/>
      <c r="O697" s="431"/>
      <c r="P697" s="827"/>
    </row>
    <row r="698" spans="1:16" s="17" customFormat="1" ht="33" customHeight="1" x14ac:dyDescent="0.3">
      <c r="A698" s="807"/>
      <c r="B698" s="399">
        <v>46287</v>
      </c>
      <c r="C698" s="4" t="s">
        <v>21</v>
      </c>
      <c r="D698" s="4" t="s">
        <v>14</v>
      </c>
      <c r="E698" s="809" t="s">
        <v>7183</v>
      </c>
      <c r="F698" s="809" t="s">
        <v>7184</v>
      </c>
      <c r="G698" s="16" t="s">
        <v>7185</v>
      </c>
      <c r="H698" s="820" t="s">
        <v>7189</v>
      </c>
      <c r="I698" s="809" t="s">
        <v>7186</v>
      </c>
      <c r="J698" s="820"/>
      <c r="K698" s="125" t="s">
        <v>7187</v>
      </c>
      <c r="L698" s="16" t="s">
        <v>4550</v>
      </c>
      <c r="M698" s="8">
        <v>1</v>
      </c>
      <c r="N698" s="809"/>
      <c r="O698" s="431"/>
      <c r="P698" s="809"/>
    </row>
    <row r="699" spans="1:16" s="17" customFormat="1" ht="33" customHeight="1" x14ac:dyDescent="0.3">
      <c r="A699" s="823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2" t="s">
        <v>7194</v>
      </c>
      <c r="I699" s="827" t="s">
        <v>7195</v>
      </c>
      <c r="J699" s="832" t="s">
        <v>7196</v>
      </c>
      <c r="K699" s="125" t="s">
        <v>7197</v>
      </c>
      <c r="L699" s="16" t="s">
        <v>7198</v>
      </c>
      <c r="M699" s="8">
        <v>3</v>
      </c>
      <c r="N699" s="827"/>
      <c r="O699" s="431" t="s">
        <v>7231</v>
      </c>
      <c r="P699" s="827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7" t="s">
        <v>6709</v>
      </c>
      <c r="F700" s="827">
        <v>7065</v>
      </c>
      <c r="G700" s="16" t="s">
        <v>145</v>
      </c>
      <c r="H700" s="832" t="s">
        <v>6706</v>
      </c>
      <c r="I700" s="827" t="s">
        <v>7214</v>
      </c>
      <c r="J700" s="832"/>
      <c r="K700" s="277" t="s">
        <v>7213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2" t="s">
        <v>7150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7150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7151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 t="s">
        <v>21</v>
      </c>
      <c r="D705" s="4" t="s">
        <v>14</v>
      </c>
      <c r="E705" s="809" t="s">
        <v>107</v>
      </c>
      <c r="F705" s="820" t="s">
        <v>6745</v>
      </c>
      <c r="G705" s="16" t="s">
        <v>7111</v>
      </c>
      <c r="H705" s="820" t="s">
        <v>4109</v>
      </c>
      <c r="I705" s="809"/>
      <c r="J705" s="809" t="s">
        <v>6987</v>
      </c>
      <c r="K705" s="125" t="s">
        <v>15</v>
      </c>
      <c r="L705" s="16" t="s">
        <v>4550</v>
      </c>
      <c r="M705" s="8">
        <v>1</v>
      </c>
      <c r="N705" s="31"/>
      <c r="O705" s="431" t="s">
        <v>7028</v>
      </c>
      <c r="P705" s="31"/>
    </row>
    <row r="706" spans="1:16" s="17" customFormat="1" ht="33" customHeight="1" x14ac:dyDescent="0.3">
      <c r="A706" s="823"/>
      <c r="B706" s="399">
        <v>46293</v>
      </c>
      <c r="C706" s="4" t="s">
        <v>6707</v>
      </c>
      <c r="D706" s="4" t="s">
        <v>25</v>
      </c>
      <c r="E706" s="827" t="s">
        <v>6709</v>
      </c>
      <c r="F706" s="827">
        <v>7065</v>
      </c>
      <c r="G706" s="16" t="s">
        <v>145</v>
      </c>
      <c r="H706" s="832" t="s">
        <v>6706</v>
      </c>
      <c r="I706" s="827" t="s">
        <v>7212</v>
      </c>
      <c r="J706" s="832"/>
      <c r="K706" s="277" t="s">
        <v>7213</v>
      </c>
      <c r="L706" s="16">
        <v>9080</v>
      </c>
      <c r="M706" s="18" t="s">
        <v>7226</v>
      </c>
      <c r="N706" s="827"/>
      <c r="O706" s="431"/>
      <c r="P706" s="827"/>
    </row>
    <row r="707" spans="1:16" s="17" customFormat="1" ht="33" customHeight="1" x14ac:dyDescent="0.3">
      <c r="A707" s="595"/>
      <c r="B707" s="399">
        <v>46294</v>
      </c>
      <c r="C707" s="4" t="s">
        <v>64</v>
      </c>
      <c r="D707" s="4" t="s">
        <v>7202</v>
      </c>
      <c r="E707" s="291" t="s">
        <v>7203</v>
      </c>
      <c r="F707" s="31" t="s">
        <v>7204</v>
      </c>
      <c r="G707" s="16" t="s">
        <v>7205</v>
      </c>
      <c r="H707" s="193" t="s">
        <v>7209</v>
      </c>
      <c r="I707" s="31" t="s">
        <v>7206</v>
      </c>
      <c r="J707" s="31"/>
      <c r="K707" s="125" t="s">
        <v>7197</v>
      </c>
      <c r="L707" s="16" t="s">
        <v>7210</v>
      </c>
      <c r="M707" s="8">
        <v>2</v>
      </c>
      <c r="N707" s="31"/>
      <c r="O707" s="430" t="s">
        <v>6766</v>
      </c>
      <c r="P707" s="31"/>
    </row>
    <row r="708" spans="1:16" s="17" customFormat="1" ht="33" customHeight="1" x14ac:dyDescent="0.3">
      <c r="A708" s="823"/>
      <c r="B708" s="399">
        <v>46294</v>
      </c>
      <c r="C708" s="4" t="s">
        <v>64</v>
      </c>
      <c r="D708" s="4" t="s">
        <v>7202</v>
      </c>
      <c r="E708" s="291" t="s">
        <v>7203</v>
      </c>
      <c r="F708" s="827" t="s">
        <v>7204</v>
      </c>
      <c r="G708" s="16" t="s">
        <v>7207</v>
      </c>
      <c r="H708" s="832" t="s">
        <v>7208</v>
      </c>
      <c r="I708" s="827" t="s">
        <v>7206</v>
      </c>
      <c r="J708" s="827"/>
      <c r="K708" s="125" t="s">
        <v>7197</v>
      </c>
      <c r="L708" s="16" t="s">
        <v>7210</v>
      </c>
      <c r="M708" s="8">
        <v>2</v>
      </c>
      <c r="N708" s="827"/>
      <c r="O708" s="431"/>
      <c r="P708" s="827"/>
    </row>
    <row r="709" spans="1:16" s="17" customFormat="1" ht="33" customHeight="1" x14ac:dyDescent="0.3">
      <c r="A709" s="823"/>
      <c r="B709" s="399">
        <v>46294</v>
      </c>
      <c r="C709" s="4" t="s">
        <v>6707</v>
      </c>
      <c r="D709" s="4" t="s">
        <v>25</v>
      </c>
      <c r="E709" s="827" t="s">
        <v>6709</v>
      </c>
      <c r="F709" s="827">
        <v>7065</v>
      </c>
      <c r="G709" s="16" t="s">
        <v>145</v>
      </c>
      <c r="H709" s="832" t="s">
        <v>6706</v>
      </c>
      <c r="I709" s="827" t="s">
        <v>7212</v>
      </c>
      <c r="J709" s="832"/>
      <c r="K709" s="277" t="s">
        <v>7213</v>
      </c>
      <c r="L709" s="16">
        <v>9080</v>
      </c>
      <c r="M709" s="18" t="s">
        <v>7226</v>
      </c>
      <c r="N709" s="827"/>
      <c r="O709" s="431"/>
      <c r="P709" s="827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27" t="s">
        <v>1787</v>
      </c>
      <c r="F710" s="827" t="s">
        <v>2978</v>
      </c>
      <c r="G710" s="16" t="s">
        <v>23</v>
      </c>
      <c r="H710" s="832" t="s">
        <v>7215</v>
      </c>
      <c r="I710" s="827"/>
      <c r="J710" s="827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823"/>
      <c r="B711" s="399">
        <v>46295</v>
      </c>
      <c r="C711" s="4" t="s">
        <v>6707</v>
      </c>
      <c r="D711" s="4" t="s">
        <v>25</v>
      </c>
      <c r="E711" s="827" t="s">
        <v>6709</v>
      </c>
      <c r="F711" s="827">
        <v>7065</v>
      </c>
      <c r="G711" s="16" t="s">
        <v>145</v>
      </c>
      <c r="H711" s="832" t="s">
        <v>6706</v>
      </c>
      <c r="I711" s="827" t="s">
        <v>7212</v>
      </c>
      <c r="J711" s="832"/>
      <c r="K711" s="277" t="s">
        <v>7213</v>
      </c>
      <c r="L711" s="16">
        <v>9080</v>
      </c>
      <c r="M711" s="18" t="s">
        <v>7226</v>
      </c>
      <c r="N711" s="831"/>
      <c r="O711" s="430"/>
      <c r="P711" s="827"/>
    </row>
    <row r="712" spans="1:16" s="17" customFormat="1" ht="33" customHeight="1" x14ac:dyDescent="0.3">
      <c r="A712" s="595"/>
      <c r="B712" s="399">
        <v>46296</v>
      </c>
      <c r="C712" s="4"/>
      <c r="D712" s="4"/>
      <c r="E712" s="31"/>
      <c r="F712" s="31"/>
      <c r="G712" s="16"/>
      <c r="H712" s="193"/>
      <c r="I712" s="31"/>
      <c r="J712" s="193"/>
      <c r="K712" s="125"/>
      <c r="L712" s="16"/>
      <c r="M712" s="8"/>
      <c r="N712" s="422"/>
      <c r="O712" s="430"/>
      <c r="P712" s="31"/>
    </row>
    <row r="713" spans="1:16" s="17" customFormat="1" ht="33" customHeight="1" x14ac:dyDescent="0.3">
      <c r="A713" s="823"/>
      <c r="B713" s="399">
        <v>46296</v>
      </c>
      <c r="C713" s="4" t="s">
        <v>6707</v>
      </c>
      <c r="D713" s="4" t="s">
        <v>25</v>
      </c>
      <c r="E713" s="827" t="s">
        <v>6709</v>
      </c>
      <c r="F713" s="827">
        <v>7065</v>
      </c>
      <c r="G713" s="16" t="s">
        <v>145</v>
      </c>
      <c r="H713" s="832" t="s">
        <v>6706</v>
      </c>
      <c r="I713" s="827" t="s">
        <v>7212</v>
      </c>
      <c r="J713" s="832"/>
      <c r="K713" s="277" t="s">
        <v>7213</v>
      </c>
      <c r="L713" s="16">
        <v>9080</v>
      </c>
      <c r="M713" s="18" t="s">
        <v>7226</v>
      </c>
      <c r="N713" s="831"/>
      <c r="O713" s="430"/>
      <c r="P713" s="827"/>
    </row>
    <row r="714" spans="1:16" s="17" customFormat="1" ht="33" customHeight="1" x14ac:dyDescent="0.3">
      <c r="A714" s="595"/>
      <c r="B714" s="399">
        <v>46297</v>
      </c>
      <c r="C714" s="4"/>
      <c r="D714" s="4"/>
      <c r="E714" s="809"/>
      <c r="F714" s="820"/>
      <c r="G714" s="16"/>
      <c r="H714" s="820"/>
      <c r="I714" s="809"/>
      <c r="J714" s="809"/>
      <c r="K714" s="125"/>
      <c r="L714" s="16"/>
      <c r="M714" s="8"/>
      <c r="N714" s="422"/>
      <c r="O714" s="430"/>
      <c r="P714" s="31"/>
    </row>
    <row r="715" spans="1:16" s="17" customFormat="1" ht="33" customHeight="1" x14ac:dyDescent="0.3">
      <c r="A715" s="823"/>
      <c r="B715" s="399">
        <v>46297</v>
      </c>
      <c r="C715" s="4" t="s">
        <v>6707</v>
      </c>
      <c r="D715" s="4" t="s">
        <v>25</v>
      </c>
      <c r="E715" s="827" t="s">
        <v>6709</v>
      </c>
      <c r="F715" s="827">
        <v>7065</v>
      </c>
      <c r="G715" s="16" t="s">
        <v>145</v>
      </c>
      <c r="H715" s="832" t="s">
        <v>6706</v>
      </c>
      <c r="I715" s="827" t="s">
        <v>7212</v>
      </c>
      <c r="J715" s="832"/>
      <c r="K715" s="277" t="s">
        <v>7213</v>
      </c>
      <c r="L715" s="16">
        <v>9080</v>
      </c>
      <c r="M715" s="18" t="s">
        <v>7226</v>
      </c>
      <c r="N715" s="831"/>
      <c r="O715" s="430"/>
      <c r="P715" s="827"/>
    </row>
    <row r="716" spans="1:16" s="17" customFormat="1" ht="33" customHeight="1" x14ac:dyDescent="0.3">
      <c r="A716" s="596"/>
      <c r="B716" s="399">
        <v>46298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2"/>
      <c r="P716" s="31"/>
    </row>
    <row r="717" spans="1:16" s="17" customFormat="1" ht="33" customHeight="1" x14ac:dyDescent="0.3">
      <c r="A717" s="322" t="s">
        <v>0</v>
      </c>
      <c r="B717" s="323" t="s">
        <v>1</v>
      </c>
      <c r="C717" s="322" t="s">
        <v>2</v>
      </c>
      <c r="D717" s="322" t="s">
        <v>3</v>
      </c>
      <c r="E717" s="322" t="s">
        <v>4</v>
      </c>
      <c r="F717" s="322" t="s">
        <v>5</v>
      </c>
      <c r="G717" s="322" t="s">
        <v>6</v>
      </c>
      <c r="H717" s="324" t="s">
        <v>7</v>
      </c>
      <c r="I717" s="322" t="s">
        <v>8</v>
      </c>
      <c r="J717" s="322" t="s">
        <v>9</v>
      </c>
      <c r="K717" s="325" t="s">
        <v>10</v>
      </c>
      <c r="L717" s="326" t="s">
        <v>11</v>
      </c>
      <c r="M717" s="322" t="s">
        <v>12</v>
      </c>
      <c r="N717" s="327" t="s">
        <v>13</v>
      </c>
      <c r="O717" s="427" t="s">
        <v>63</v>
      </c>
      <c r="P717" s="322" t="s">
        <v>123</v>
      </c>
    </row>
    <row r="718" spans="1:16" s="17" customFormat="1" ht="33" customHeight="1" x14ac:dyDescent="0.3">
      <c r="A718" s="594"/>
      <c r="B718" s="399">
        <v>46300</v>
      </c>
      <c r="C718" s="4"/>
      <c r="D718" s="4"/>
      <c r="E718" s="31"/>
      <c r="F718" s="31"/>
      <c r="G718" s="16"/>
      <c r="H718" s="193"/>
      <c r="I718" s="31"/>
      <c r="J718" s="31"/>
      <c r="K718" s="125"/>
      <c r="L718" s="16"/>
      <c r="M718" s="8"/>
      <c r="N718" s="31"/>
      <c r="O718" s="431"/>
      <c r="P718" s="31"/>
    </row>
    <row r="719" spans="1:16" s="17" customFormat="1" ht="33" customHeight="1" x14ac:dyDescent="0.3">
      <c r="A719" s="595"/>
      <c r="B719" s="399">
        <v>46301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1"/>
      <c r="P719" s="31"/>
    </row>
    <row r="720" spans="1:16" s="17" customFormat="1" ht="33" customHeight="1" x14ac:dyDescent="0.3">
      <c r="A720" s="595"/>
      <c r="B720" s="399">
        <v>46302</v>
      </c>
      <c r="C720" s="4" t="s">
        <v>21</v>
      </c>
      <c r="D720" s="4" t="s">
        <v>14</v>
      </c>
      <c r="E720" s="827" t="s">
        <v>107</v>
      </c>
      <c r="F720" s="832" t="s">
        <v>6745</v>
      </c>
      <c r="G720" s="16" t="s">
        <v>67</v>
      </c>
      <c r="H720" s="832" t="s">
        <v>213</v>
      </c>
      <c r="I720" s="827"/>
      <c r="J720" s="827" t="s">
        <v>255</v>
      </c>
      <c r="K720" s="125" t="s">
        <v>15</v>
      </c>
      <c r="L720" s="16" t="s">
        <v>4550</v>
      </c>
      <c r="M720" s="8">
        <v>1</v>
      </c>
      <c r="N720" s="422"/>
      <c r="O720" s="430"/>
      <c r="P720" s="31"/>
    </row>
    <row r="721" spans="1:16" s="17" customFormat="1" ht="33" customHeight="1" x14ac:dyDescent="0.3">
      <c r="A721" s="595"/>
      <c r="B721" s="399">
        <v>46303</v>
      </c>
      <c r="C721" s="4"/>
      <c r="D721" s="4"/>
      <c r="E721" s="31"/>
      <c r="F721" s="31"/>
      <c r="G721" s="16"/>
      <c r="H721" s="193"/>
      <c r="I721" s="31"/>
      <c r="J721" s="193"/>
      <c r="K721" s="125"/>
      <c r="L721" s="16"/>
      <c r="M721" s="8"/>
      <c r="N721" s="422"/>
      <c r="O721" s="430"/>
      <c r="P721" s="31"/>
    </row>
    <row r="722" spans="1:16" s="17" customFormat="1" ht="33" customHeight="1" x14ac:dyDescent="0.3">
      <c r="A722" s="595"/>
      <c r="B722" s="399">
        <v>46304</v>
      </c>
      <c r="C722" s="4" t="s">
        <v>7050</v>
      </c>
      <c r="D722" s="4" t="s">
        <v>14</v>
      </c>
      <c r="E722" s="809" t="s">
        <v>3728</v>
      </c>
      <c r="F722" s="809">
        <v>7062</v>
      </c>
      <c r="G722" s="16" t="s">
        <v>5265</v>
      </c>
      <c r="H722" s="820" t="s">
        <v>1314</v>
      </c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6"/>
      <c r="B723" s="399">
        <v>46305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2"/>
      <c r="P723" s="31"/>
    </row>
    <row r="724" spans="1:16" s="17" customFormat="1" ht="33" customHeight="1" x14ac:dyDescent="0.3">
      <c r="A724" s="322" t="s">
        <v>0</v>
      </c>
      <c r="B724" s="323" t="s">
        <v>1</v>
      </c>
      <c r="C724" s="322" t="s">
        <v>2</v>
      </c>
      <c r="D724" s="322" t="s">
        <v>3</v>
      </c>
      <c r="E724" s="322" t="s">
        <v>4</v>
      </c>
      <c r="F724" s="322" t="s">
        <v>5</v>
      </c>
      <c r="G724" s="322" t="s">
        <v>6</v>
      </c>
      <c r="H724" s="324" t="s">
        <v>7</v>
      </c>
      <c r="I724" s="322" t="s">
        <v>8</v>
      </c>
      <c r="J724" s="322" t="s">
        <v>9</v>
      </c>
      <c r="K724" s="325" t="s">
        <v>10</v>
      </c>
      <c r="L724" s="326" t="s">
        <v>11</v>
      </c>
      <c r="M724" s="322" t="s">
        <v>12</v>
      </c>
      <c r="N724" s="327" t="s">
        <v>13</v>
      </c>
      <c r="O724" s="427" t="s">
        <v>63</v>
      </c>
      <c r="P724" s="322" t="s">
        <v>123</v>
      </c>
    </row>
    <row r="725" spans="1:16" s="17" customFormat="1" ht="33" customHeight="1" x14ac:dyDescent="0.3">
      <c r="A725" s="594"/>
      <c r="B725" s="399">
        <v>46307</v>
      </c>
      <c r="C725" s="4"/>
      <c r="D725" s="4"/>
      <c r="E725" s="31"/>
      <c r="F725" s="31"/>
      <c r="G725" s="16"/>
      <c r="H725" s="193"/>
      <c r="I725" s="31"/>
      <c r="J725" s="31"/>
      <c r="K725" s="125"/>
      <c r="L725" s="16"/>
      <c r="M725" s="8"/>
      <c r="N725" s="31"/>
      <c r="O725" s="431"/>
      <c r="P725" s="31"/>
    </row>
    <row r="726" spans="1:16" s="17" customFormat="1" ht="33" customHeight="1" x14ac:dyDescent="0.3">
      <c r="A726" s="595"/>
      <c r="B726" s="399">
        <v>46308</v>
      </c>
      <c r="C726" s="4"/>
      <c r="D726" s="4"/>
      <c r="E726" s="29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46309</v>
      </c>
      <c r="C727" s="4"/>
      <c r="D727" s="4"/>
      <c r="E727" s="31"/>
      <c r="F727" s="31"/>
      <c r="G727" s="16"/>
      <c r="H727" s="193"/>
      <c r="I727" s="31"/>
      <c r="J727" s="193"/>
      <c r="K727" s="125"/>
      <c r="L727" s="16"/>
      <c r="M727" s="8"/>
      <c r="N727" s="422"/>
      <c r="O727" s="430"/>
      <c r="P727" s="31"/>
    </row>
    <row r="728" spans="1:16" s="17" customFormat="1" ht="33" customHeight="1" x14ac:dyDescent="0.3">
      <c r="A728" s="595"/>
      <c r="B728" s="399">
        <v>46310</v>
      </c>
      <c r="C728" s="4"/>
      <c r="D728" s="4"/>
      <c r="E728" s="31"/>
      <c r="F728" s="31"/>
      <c r="G728" s="16"/>
      <c r="H728" s="193"/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 x14ac:dyDescent="0.3">
      <c r="A729" s="595"/>
      <c r="B729" s="399">
        <v>46311</v>
      </c>
      <c r="C729" s="4"/>
      <c r="D729" s="4"/>
      <c r="E729" s="31"/>
      <c r="F729" s="31"/>
      <c r="G729" s="16"/>
      <c r="H729" s="193"/>
      <c r="I729" s="31"/>
      <c r="J729" s="193"/>
      <c r="K729" s="125"/>
      <c r="L729" s="16"/>
      <c r="M729" s="8"/>
      <c r="N729" s="422"/>
      <c r="O729" s="430"/>
      <c r="P729" s="31"/>
    </row>
    <row r="730" spans="1:16" s="17" customFormat="1" ht="33" customHeight="1" x14ac:dyDescent="0.3">
      <c r="A730" s="596"/>
      <c r="B730" s="369">
        <v>46312</v>
      </c>
      <c r="C730" s="4"/>
      <c r="D730" s="4"/>
      <c r="E730" s="291"/>
      <c r="F730" s="31"/>
      <c r="G730" s="16"/>
      <c r="H730" s="193"/>
      <c r="I730" s="31"/>
      <c r="J730" s="31"/>
      <c r="K730" s="125"/>
      <c r="L730" s="16"/>
      <c r="M730" s="8"/>
      <c r="N730" s="31"/>
      <c r="O730" s="432"/>
      <c r="P730" s="31"/>
    </row>
    <row r="731" spans="1:16" s="17" customFormat="1" ht="33" customHeight="1" x14ac:dyDescent="0.3">
      <c r="A731" s="322" t="s">
        <v>0</v>
      </c>
      <c r="B731" s="323" t="s">
        <v>1</v>
      </c>
      <c r="C731" s="322" t="s">
        <v>2</v>
      </c>
      <c r="D731" s="322" t="s">
        <v>3</v>
      </c>
      <c r="E731" s="322" t="s">
        <v>4</v>
      </c>
      <c r="F731" s="322" t="s">
        <v>5</v>
      </c>
      <c r="G731" s="322" t="s">
        <v>6</v>
      </c>
      <c r="H731" s="324" t="s">
        <v>7</v>
      </c>
      <c r="I731" s="322" t="s">
        <v>8</v>
      </c>
      <c r="J731" s="322" t="s">
        <v>9</v>
      </c>
      <c r="K731" s="325" t="s">
        <v>10</v>
      </c>
      <c r="L731" s="326" t="s">
        <v>11</v>
      </c>
      <c r="M731" s="322" t="s">
        <v>12</v>
      </c>
      <c r="N731" s="327" t="s">
        <v>13</v>
      </c>
      <c r="O731" s="427" t="s">
        <v>63</v>
      </c>
      <c r="P731" s="322" t="s">
        <v>123</v>
      </c>
    </row>
    <row r="732" spans="1:16" s="17" customFormat="1" ht="33" customHeight="1" x14ac:dyDescent="0.3">
      <c r="A732" s="794"/>
      <c r="B732" s="399">
        <v>46314</v>
      </c>
      <c r="C732" s="4"/>
      <c r="D732" s="4"/>
      <c r="E732" s="799"/>
      <c r="F732" s="799"/>
      <c r="G732" s="16"/>
      <c r="H732" s="802"/>
      <c r="I732" s="799"/>
      <c r="J732" s="799"/>
      <c r="K732" s="125"/>
      <c r="L732" s="16"/>
      <c r="M732" s="8"/>
      <c r="N732" s="799"/>
      <c r="O732" s="431"/>
      <c r="P732" s="799"/>
    </row>
    <row r="733" spans="1:16" s="17" customFormat="1" ht="33" customHeight="1" x14ac:dyDescent="0.3">
      <c r="A733" s="795"/>
      <c r="B733" s="399">
        <v>46315</v>
      </c>
      <c r="C733" s="4"/>
      <c r="D733" s="4"/>
      <c r="E733" s="291"/>
      <c r="F733" s="799"/>
      <c r="G733" s="16"/>
      <c r="H733" s="802"/>
      <c r="I733" s="799"/>
      <c r="J733" s="799"/>
      <c r="K733" s="125"/>
      <c r="L733" s="16"/>
      <c r="M733" s="8"/>
      <c r="N733" s="799"/>
      <c r="O733" s="431"/>
      <c r="P733" s="799"/>
    </row>
    <row r="734" spans="1:16" s="17" customFormat="1" ht="33" customHeight="1" x14ac:dyDescent="0.3">
      <c r="A734" s="795"/>
      <c r="B734" s="399">
        <v>46316</v>
      </c>
      <c r="C734" s="4"/>
      <c r="D734" s="4"/>
      <c r="E734" s="799"/>
      <c r="F734" s="799"/>
      <c r="G734" s="16"/>
      <c r="H734" s="802"/>
      <c r="I734" s="799"/>
      <c r="J734" s="802"/>
      <c r="K734" s="125"/>
      <c r="L734" s="16"/>
      <c r="M734" s="8"/>
      <c r="N734" s="801"/>
      <c r="O734" s="430"/>
      <c r="P734" s="799"/>
    </row>
    <row r="735" spans="1:16" s="17" customFormat="1" ht="33" customHeight="1" x14ac:dyDescent="0.3">
      <c r="A735" s="795"/>
      <c r="B735" s="399">
        <v>46317</v>
      </c>
      <c r="C735" s="4"/>
      <c r="D735" s="4"/>
      <c r="E735" s="799"/>
      <c r="F735" s="799"/>
      <c r="G735" s="16"/>
      <c r="H735" s="802"/>
      <c r="I735" s="799"/>
      <c r="J735" s="802"/>
      <c r="K735" s="125"/>
      <c r="L735" s="16"/>
      <c r="M735" s="8"/>
      <c r="N735" s="801"/>
      <c r="O735" s="430"/>
      <c r="P735" s="799"/>
    </row>
    <row r="736" spans="1:16" s="17" customFormat="1" ht="33" customHeight="1" x14ac:dyDescent="0.3">
      <c r="A736" s="795"/>
      <c r="B736" s="399">
        <v>46318</v>
      </c>
      <c r="C736" s="4"/>
      <c r="D736" s="4"/>
      <c r="E736" s="799"/>
      <c r="F736" s="799"/>
      <c r="G736" s="16"/>
      <c r="H736" s="802"/>
      <c r="I736" s="799"/>
      <c r="J736" s="802"/>
      <c r="K736" s="125"/>
      <c r="L736" s="16"/>
      <c r="M736" s="8"/>
      <c r="N736" s="801"/>
      <c r="O736" s="430"/>
      <c r="P736" s="799"/>
    </row>
    <row r="737" spans="1:16" s="17" customFormat="1" ht="33" customHeight="1" x14ac:dyDescent="0.3">
      <c r="A737" s="796"/>
      <c r="B737" s="369">
        <v>46319</v>
      </c>
      <c r="C737" s="4"/>
      <c r="D737" s="4"/>
      <c r="E737" s="291"/>
      <c r="F737" s="799"/>
      <c r="G737" s="16"/>
      <c r="H737" s="802"/>
      <c r="I737" s="799"/>
      <c r="J737" s="799"/>
      <c r="K737" s="125"/>
      <c r="L737" s="16"/>
      <c r="M737" s="8"/>
      <c r="N737" s="799"/>
      <c r="O737" s="432"/>
      <c r="P737" s="799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2"/>
  <sheetViews>
    <sheetView zoomScaleNormal="100" zoomScaleSheetLayoutView="115" workbookViewId="0">
      <pane ySplit="2" topLeftCell="A1653" activePane="bottomLeft" state="frozen"/>
      <selection pane="bottomLeft" activeCell="G1665" sqref="G166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88" t="s">
        <v>161</v>
      </c>
      <c r="B1" s="988" t="s">
        <v>162</v>
      </c>
      <c r="C1" s="986" t="s">
        <v>1</v>
      </c>
      <c r="D1" s="986" t="s">
        <v>2</v>
      </c>
      <c r="E1" s="986" t="s">
        <v>3</v>
      </c>
      <c r="F1" s="27" t="s">
        <v>54</v>
      </c>
      <c r="G1" s="986" t="s">
        <v>5</v>
      </c>
      <c r="H1" s="986" t="s">
        <v>6</v>
      </c>
      <c r="I1" s="986" t="s">
        <v>7</v>
      </c>
      <c r="J1" s="986" t="s">
        <v>55</v>
      </c>
      <c r="K1" s="990" t="s">
        <v>483</v>
      </c>
      <c r="L1" s="992" t="s">
        <v>56</v>
      </c>
      <c r="M1" s="984" t="s">
        <v>57</v>
      </c>
      <c r="N1" s="986" t="s">
        <v>58</v>
      </c>
    </row>
    <row r="2" spans="1:14" x14ac:dyDescent="0.3">
      <c r="A2" s="989"/>
      <c r="B2" s="989"/>
      <c r="C2" s="987"/>
      <c r="D2" s="987"/>
      <c r="E2" s="987"/>
      <c r="F2" s="28" t="s">
        <v>59</v>
      </c>
      <c r="G2" s="987"/>
      <c r="H2" s="987"/>
      <c r="I2" s="987"/>
      <c r="J2" s="987"/>
      <c r="K2" s="991"/>
      <c r="L2" s="993"/>
      <c r="M2" s="985"/>
      <c r="N2" s="987"/>
    </row>
    <row r="3" spans="1:14" ht="27" x14ac:dyDescent="0.3">
      <c r="A3" s="55">
        <v>1</v>
      </c>
      <c r="B3" s="96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6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68"/>
      <c r="C9" s="99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68"/>
      <c r="C10" s="99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6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68"/>
      <c r="C12" s="99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68"/>
      <c r="C13" s="99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68"/>
      <c r="C14" s="99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68"/>
      <c r="C15" s="99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68"/>
      <c r="C16" s="99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1"/>
    </row>
    <row r="24" spans="1:17" ht="27" x14ac:dyDescent="0.3">
      <c r="A24" s="55">
        <v>4</v>
      </c>
      <c r="B24" s="967" t="s">
        <v>21</v>
      </c>
      <c r="C24" s="97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5" t="s">
        <v>85</v>
      </c>
      <c r="K24" s="970" t="s">
        <v>41</v>
      </c>
      <c r="L24" s="6" t="s">
        <v>15</v>
      </c>
      <c r="M24" s="997">
        <v>180000</v>
      </c>
      <c r="N24" s="45" t="s">
        <v>194</v>
      </c>
    </row>
    <row r="25" spans="1:17" ht="27" x14ac:dyDescent="0.3">
      <c r="A25" s="55">
        <v>4</v>
      </c>
      <c r="B25" s="968"/>
      <c r="C25" s="97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56"/>
      <c r="K25" s="971"/>
      <c r="L25" s="6" t="s">
        <v>15</v>
      </c>
      <c r="M25" s="998"/>
      <c r="N25" s="45" t="s">
        <v>194</v>
      </c>
    </row>
    <row r="26" spans="1:17" x14ac:dyDescent="0.3">
      <c r="A26" s="55">
        <v>4</v>
      </c>
      <c r="B26" s="968"/>
      <c r="C26" s="97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9"/>
      <c r="C27" s="97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5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6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68"/>
      <c r="C32" s="97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68"/>
      <c r="C33" s="97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7" t="s">
        <v>20</v>
      </c>
      <c r="C35" s="97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9"/>
      <c r="C36" s="97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7" t="s">
        <v>20</v>
      </c>
      <c r="C37" s="97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9"/>
      <c r="C38" s="97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4"/>
      <c r="C40" s="97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4"/>
      <c r="C41" s="97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2"/>
      <c r="C45" s="96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2"/>
      <c r="C46" s="100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6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7" t="s">
        <v>64</v>
      </c>
      <c r="C67" s="97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0" t="s">
        <v>435</v>
      </c>
      <c r="L67" s="6" t="s">
        <v>436</v>
      </c>
      <c r="M67" s="997">
        <v>750000</v>
      </c>
      <c r="N67" s="45" t="s">
        <v>446</v>
      </c>
    </row>
    <row r="68" spans="1:15" ht="27" x14ac:dyDescent="0.3">
      <c r="A68" s="55">
        <v>19</v>
      </c>
      <c r="B68" s="968"/>
      <c r="C68" s="97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1"/>
      <c r="L68" s="6" t="s">
        <v>411</v>
      </c>
      <c r="M68" s="998"/>
      <c r="N68" s="45" t="s">
        <v>445</v>
      </c>
    </row>
    <row r="69" spans="1:15" x14ac:dyDescent="0.3">
      <c r="A69" s="55">
        <v>19</v>
      </c>
      <c r="B69" s="968"/>
      <c r="C69" s="97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6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6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6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6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6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68"/>
      <c r="C83" s="97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68"/>
      <c r="C84" s="97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68"/>
      <c r="C85" s="97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68"/>
      <c r="C86" s="97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6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6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68"/>
      <c r="C93" s="97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68"/>
      <c r="C94" s="97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68"/>
      <c r="C95" s="97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6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7" t="s">
        <v>21</v>
      </c>
      <c r="C99" s="97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68"/>
      <c r="C100" s="97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6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6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6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6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5" t="s">
        <v>658</v>
      </c>
      <c r="C110" s="93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0"/>
      <c r="C111" s="98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0"/>
      <c r="C112" s="98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2"/>
      <c r="C113" s="98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0"/>
      <c r="C115" s="93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36"/>
      <c r="C116" s="98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7" t="s">
        <v>20</v>
      </c>
      <c r="C117" s="97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5" t="s">
        <v>168</v>
      </c>
      <c r="K117" s="970" t="s">
        <v>645</v>
      </c>
      <c r="L117" s="57" t="s">
        <v>209</v>
      </c>
      <c r="M117" s="957">
        <f>250000*5</f>
        <v>1250000</v>
      </c>
      <c r="N117" s="967" t="s">
        <v>121</v>
      </c>
    </row>
    <row r="118" spans="1:14" x14ac:dyDescent="0.3">
      <c r="A118" s="101">
        <v>28</v>
      </c>
      <c r="B118" s="968"/>
      <c r="C118" s="97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79"/>
      <c r="K118" s="978"/>
      <c r="L118" s="57" t="s">
        <v>209</v>
      </c>
      <c r="M118" s="958"/>
      <c r="N118" s="968"/>
    </row>
    <row r="119" spans="1:14" x14ac:dyDescent="0.3">
      <c r="A119" s="101">
        <v>28</v>
      </c>
      <c r="B119" s="968"/>
      <c r="C119" s="97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56"/>
      <c r="K119" s="971"/>
      <c r="L119" s="57" t="s">
        <v>209</v>
      </c>
      <c r="M119" s="959"/>
      <c r="N119" s="969"/>
    </row>
    <row r="120" spans="1:14" x14ac:dyDescent="0.3">
      <c r="A120" s="101">
        <v>28</v>
      </c>
      <c r="B120" s="969"/>
      <c r="C120" s="97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5" t="s">
        <v>307</v>
      </c>
      <c r="C122" s="93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0"/>
      <c r="C123" s="96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5" t="s">
        <v>664</v>
      </c>
      <c r="K123" s="961" t="s">
        <v>707</v>
      </c>
      <c r="L123" s="110" t="s">
        <v>324</v>
      </c>
      <c r="M123" s="964" t="s">
        <v>708</v>
      </c>
      <c r="N123" s="110"/>
    </row>
    <row r="124" spans="1:14" x14ac:dyDescent="0.3">
      <c r="A124" s="55">
        <v>29</v>
      </c>
      <c r="B124" s="960"/>
      <c r="C124" s="96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0"/>
      <c r="K124" s="962"/>
      <c r="L124" s="110" t="s">
        <v>324</v>
      </c>
      <c r="M124" s="965"/>
      <c r="N124" s="110"/>
    </row>
    <row r="125" spans="1:14" x14ac:dyDescent="0.3">
      <c r="A125" s="55">
        <v>29</v>
      </c>
      <c r="B125" s="960"/>
      <c r="C125" s="96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36"/>
      <c r="K125" s="963"/>
      <c r="L125" s="110" t="s">
        <v>324</v>
      </c>
      <c r="M125" s="966"/>
      <c r="N125" s="110"/>
    </row>
    <row r="126" spans="1:14" x14ac:dyDescent="0.3">
      <c r="A126" s="55">
        <v>29</v>
      </c>
      <c r="B126" s="936"/>
      <c r="C126" s="93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0"/>
      <c r="C130" s="93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0"/>
      <c r="C131" s="93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0"/>
      <c r="C132" s="93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0"/>
      <c r="C133" s="93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3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7" t="s">
        <v>618</v>
      </c>
      <c r="C135" s="97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68"/>
      <c r="C136" s="97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68"/>
      <c r="C137" s="97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9"/>
      <c r="C138" s="97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68"/>
      <c r="C140" s="97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68"/>
      <c r="C141" s="97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7" t="s">
        <v>735</v>
      </c>
    </row>
    <row r="142" spans="1:14" x14ac:dyDescent="0.3">
      <c r="A142" s="55">
        <v>30</v>
      </c>
      <c r="B142" s="96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7" t="s">
        <v>20</v>
      </c>
      <c r="C146" s="974" t="s">
        <v>869</v>
      </c>
      <c r="D146" s="970" t="s">
        <v>19</v>
      </c>
      <c r="E146" s="97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9"/>
      <c r="C147" s="976"/>
      <c r="D147" s="971"/>
      <c r="E147" s="97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7" t="s">
        <v>123</v>
      </c>
      <c r="C148" s="974" t="s">
        <v>782</v>
      </c>
      <c r="D148" s="970" t="s">
        <v>19</v>
      </c>
      <c r="E148" s="97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9"/>
      <c r="C149" s="976"/>
      <c r="D149" s="971"/>
      <c r="E149" s="97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6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7" t="s">
        <v>247</v>
      </c>
    </row>
    <row r="154" spans="1:14" ht="27" x14ac:dyDescent="0.3">
      <c r="A154" s="55">
        <v>34</v>
      </c>
      <c r="B154" s="968"/>
      <c r="C154" s="97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68"/>
    </row>
    <row r="155" spans="1:14" ht="27" x14ac:dyDescent="0.3">
      <c r="A155" s="55">
        <v>34</v>
      </c>
      <c r="B155" s="968"/>
      <c r="C155" s="97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9"/>
    </row>
    <row r="156" spans="1:14" ht="27" x14ac:dyDescent="0.3">
      <c r="A156" s="55">
        <v>34</v>
      </c>
      <c r="B156" s="968"/>
      <c r="C156" s="97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7" t="s">
        <v>825</v>
      </c>
    </row>
    <row r="157" spans="1:14" ht="27" x14ac:dyDescent="0.3">
      <c r="A157" s="55">
        <v>34</v>
      </c>
      <c r="B157" s="968"/>
      <c r="C157" s="97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68"/>
    </row>
    <row r="158" spans="1:14" ht="27" x14ac:dyDescent="0.3">
      <c r="A158" s="55">
        <v>34</v>
      </c>
      <c r="B158" s="968"/>
      <c r="C158" s="97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68"/>
    </row>
    <row r="159" spans="1:14" ht="27" x14ac:dyDescent="0.3">
      <c r="A159" s="55">
        <v>34</v>
      </c>
      <c r="B159" s="968"/>
      <c r="C159" s="97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68"/>
    </row>
    <row r="160" spans="1:14" ht="27" x14ac:dyDescent="0.3">
      <c r="A160" s="55">
        <v>34</v>
      </c>
      <c r="B160" s="96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68"/>
    </row>
    <row r="161" spans="1:15" ht="27" x14ac:dyDescent="0.3">
      <c r="A161" s="55">
        <v>34</v>
      </c>
      <c r="B161" s="96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9"/>
    </row>
    <row r="162" spans="1:15" ht="27" x14ac:dyDescent="0.3">
      <c r="A162" s="55">
        <v>34</v>
      </c>
      <c r="B162" s="96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6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6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3" t="s">
        <v>849</v>
      </c>
      <c r="C167" s="90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4"/>
      <c r="C168" s="90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4"/>
      <c r="C169" s="90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5"/>
      <c r="C170" s="90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4"/>
      <c r="C178" s="90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5"/>
      <c r="C179" s="90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4"/>
      <c r="C181" s="97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5" t="s">
        <v>838</v>
      </c>
      <c r="K181" s="970" t="s">
        <v>985</v>
      </c>
      <c r="L181" s="6" t="s">
        <v>910</v>
      </c>
      <c r="M181" s="957">
        <f>180000+200000+200000</f>
        <v>580000</v>
      </c>
      <c r="N181" s="45" t="s">
        <v>806</v>
      </c>
    </row>
    <row r="182" spans="1:14" x14ac:dyDescent="0.3">
      <c r="A182" s="55">
        <v>36</v>
      </c>
      <c r="B182" s="894"/>
      <c r="C182" s="97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56"/>
      <c r="K182" s="971"/>
      <c r="L182" s="6" t="s">
        <v>911</v>
      </c>
      <c r="M182" s="959"/>
      <c r="N182" s="45" t="s">
        <v>806</v>
      </c>
    </row>
    <row r="183" spans="1:14" x14ac:dyDescent="0.3">
      <c r="A183" s="55">
        <v>36</v>
      </c>
      <c r="B183" s="894"/>
      <c r="C183" s="97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4"/>
      <c r="C187" s="90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5"/>
      <c r="C188" s="90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3" t="s">
        <v>939</v>
      </c>
      <c r="C192" s="90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4"/>
      <c r="C193" s="90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4"/>
      <c r="C196" s="97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4"/>
      <c r="C197" s="97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4"/>
      <c r="C198" s="97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5"/>
      <c r="C199" s="97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3" t="s">
        <v>20</v>
      </c>
      <c r="C200" s="90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4"/>
      <c r="C201" s="90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4"/>
      <c r="C202" s="90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5"/>
      <c r="C203" s="90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3" t="s">
        <v>20</v>
      </c>
      <c r="C207" s="90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4"/>
      <c r="C208" s="90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3" t="s">
        <v>20</v>
      </c>
      <c r="C218" s="90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4"/>
      <c r="C219" s="90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7" t="s">
        <v>247</v>
      </c>
    </row>
    <row r="226" spans="1:14" x14ac:dyDescent="0.3">
      <c r="A226" s="55">
        <v>44</v>
      </c>
      <c r="B226" s="89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68"/>
    </row>
    <row r="227" spans="1:14" x14ac:dyDescent="0.3">
      <c r="A227" s="55">
        <v>44</v>
      </c>
      <c r="B227" s="89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9"/>
    </row>
    <row r="228" spans="1:14" x14ac:dyDescent="0.3">
      <c r="A228" s="55">
        <v>44</v>
      </c>
      <c r="B228" s="89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4"/>
      <c r="C249" s="90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7" t="s">
        <v>247</v>
      </c>
    </row>
    <row r="250" spans="1:14" x14ac:dyDescent="0.3">
      <c r="A250" s="55">
        <v>48</v>
      </c>
      <c r="B250" s="895"/>
      <c r="C250" s="90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9"/>
    </row>
    <row r="251" spans="1:14" x14ac:dyDescent="0.3">
      <c r="A251" s="55">
        <v>48</v>
      </c>
      <c r="B251" s="89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4"/>
      <c r="C256" s="90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7" t="s">
        <v>247</v>
      </c>
    </row>
    <row r="257" spans="1:14" x14ac:dyDescent="0.3">
      <c r="A257" s="55">
        <v>49</v>
      </c>
      <c r="B257" s="895"/>
      <c r="C257" s="90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9"/>
    </row>
    <row r="258" spans="1:14" ht="40.5" x14ac:dyDescent="0.3">
      <c r="A258" s="55">
        <v>49</v>
      </c>
      <c r="B258" s="89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0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0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1" t="s">
        <v>1103</v>
      </c>
    </row>
    <row r="262" spans="1:14" ht="25.5" x14ac:dyDescent="0.3">
      <c r="A262" s="132">
        <v>49</v>
      </c>
      <c r="B262" s="100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2"/>
    </row>
    <row r="263" spans="1:14" ht="16.5" customHeight="1" x14ac:dyDescent="0.3">
      <c r="A263" s="55">
        <v>50</v>
      </c>
      <c r="B263" s="893" t="s">
        <v>20</v>
      </c>
      <c r="C263" s="90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4"/>
      <c r="C264" s="90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4"/>
      <c r="C265" s="90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4"/>
      <c r="C266" s="90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5"/>
      <c r="C267" s="90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06" t="s">
        <v>658</v>
      </c>
      <c r="C268" s="89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07"/>
      <c r="C269" s="90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08"/>
      <c r="C270" s="89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3" t="s">
        <v>20</v>
      </c>
      <c r="C271" s="90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4"/>
      <c r="C272" s="90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4"/>
      <c r="C273" s="90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4"/>
      <c r="C275" s="90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4"/>
      <c r="C276" s="90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3" t="s">
        <v>1196</v>
      </c>
      <c r="B278" s="1014"/>
      <c r="C278" s="1014"/>
      <c r="D278" s="1014"/>
      <c r="E278" s="1014"/>
      <c r="F278" s="1014"/>
      <c r="G278" s="1014"/>
      <c r="H278" s="1014"/>
      <c r="I278" s="1014"/>
      <c r="J278" s="1014"/>
      <c r="K278" s="1014"/>
      <c r="L278" s="1014"/>
      <c r="M278" s="1014"/>
      <c r="N278" s="1015"/>
    </row>
    <row r="279" spans="1:15" ht="16.5" customHeight="1" x14ac:dyDescent="0.3">
      <c r="A279" s="55">
        <v>1</v>
      </c>
      <c r="B279" s="893" t="s">
        <v>20</v>
      </c>
      <c r="C279" s="90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5"/>
      <c r="C280" s="90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3" t="s">
        <v>64</v>
      </c>
      <c r="C281" s="90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4"/>
      <c r="C282" s="90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4"/>
      <c r="C283" s="90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5" t="s">
        <v>1174</v>
      </c>
      <c r="K283" s="101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4"/>
      <c r="C284" s="90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56"/>
      <c r="K284" s="101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16" t="s">
        <v>123</v>
      </c>
      <c r="C287" s="89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17"/>
      <c r="C288" s="89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06" t="s">
        <v>64</v>
      </c>
      <c r="C289" s="89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07"/>
      <c r="C290" s="100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07"/>
      <c r="C291" s="101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1" t="s">
        <v>638</v>
      </c>
      <c r="K291" s="945" t="s">
        <v>671</v>
      </c>
      <c r="L291" s="148" t="s">
        <v>309</v>
      </c>
      <c r="M291" s="875" t="s">
        <v>672</v>
      </c>
      <c r="N291" s="148" t="s">
        <v>723</v>
      </c>
    </row>
    <row r="292" spans="1:15" x14ac:dyDescent="0.3">
      <c r="A292" s="55">
        <v>2</v>
      </c>
      <c r="B292" s="1007"/>
      <c r="C292" s="100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2"/>
      <c r="K292" s="946"/>
      <c r="L292" s="148" t="s">
        <v>309</v>
      </c>
      <c r="M292" s="876"/>
      <c r="N292" s="148" t="s">
        <v>723</v>
      </c>
    </row>
    <row r="293" spans="1:15" x14ac:dyDescent="0.3">
      <c r="A293" s="55">
        <v>2</v>
      </c>
      <c r="B293" s="1007"/>
      <c r="C293" s="101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07"/>
      <c r="C294" s="89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0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3" t="s">
        <v>20</v>
      </c>
      <c r="C296" s="90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4"/>
      <c r="C297" s="90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5"/>
      <c r="C298" s="90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3" t="s">
        <v>20</v>
      </c>
      <c r="C302" s="90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4"/>
      <c r="C303" s="90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4"/>
      <c r="C304" s="90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4"/>
      <c r="C305" s="90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5"/>
      <c r="C306" s="90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3" t="s">
        <v>20</v>
      </c>
      <c r="C308" s="90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5"/>
      <c r="C309" s="90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06" t="s">
        <v>307</v>
      </c>
      <c r="C313" s="89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08"/>
      <c r="C314" s="89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3" t="s">
        <v>20</v>
      </c>
      <c r="C316" s="90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4"/>
      <c r="C317" s="90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5"/>
      <c r="C318" s="90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3" t="s">
        <v>20</v>
      </c>
      <c r="C322" s="90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5"/>
      <c r="C323" s="90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3" t="s">
        <v>20</v>
      </c>
      <c r="C329" s="90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4"/>
      <c r="C330" s="90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5"/>
      <c r="C331" s="90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3" t="s">
        <v>20</v>
      </c>
      <c r="C334" s="90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4"/>
      <c r="C335" s="90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4"/>
      <c r="C336" s="90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5"/>
      <c r="C337" s="90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3" t="s">
        <v>20</v>
      </c>
      <c r="C342" s="90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4"/>
      <c r="C343" s="90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4"/>
      <c r="C349" s="97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5"/>
      <c r="C350" s="97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0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0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0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0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0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0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0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0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0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06" t="s">
        <v>307</v>
      </c>
      <c r="C375" s="128" t="s">
        <v>1531</v>
      </c>
      <c r="D375" s="891" t="s">
        <v>306</v>
      </c>
      <c r="E375" s="891" t="s">
        <v>322</v>
      </c>
      <c r="F375" s="891" t="s">
        <v>307</v>
      </c>
      <c r="G375" s="889">
        <v>4266</v>
      </c>
      <c r="H375" s="891" t="s">
        <v>640</v>
      </c>
      <c r="I375" s="889" t="s">
        <v>1533</v>
      </c>
      <c r="J375" s="891" t="s">
        <v>1534</v>
      </c>
      <c r="K375" s="1018" t="s">
        <v>692</v>
      </c>
      <c r="L375" s="891" t="s">
        <v>324</v>
      </c>
      <c r="M375" s="875" t="s">
        <v>1535</v>
      </c>
      <c r="N375" s="891" t="s">
        <v>425</v>
      </c>
    </row>
    <row r="376" spans="1:19" x14ac:dyDescent="0.3">
      <c r="A376" s="199" t="s">
        <v>1539</v>
      </c>
      <c r="B376" s="1007"/>
      <c r="C376" s="129" t="s">
        <v>1532</v>
      </c>
      <c r="D376" s="892"/>
      <c r="E376" s="892"/>
      <c r="F376" s="892"/>
      <c r="G376" s="890"/>
      <c r="H376" s="892"/>
      <c r="I376" s="890"/>
      <c r="J376" s="892"/>
      <c r="K376" s="1019"/>
      <c r="L376" s="892"/>
      <c r="M376" s="876"/>
      <c r="N376" s="892"/>
    </row>
    <row r="377" spans="1:19" x14ac:dyDescent="0.3">
      <c r="A377" s="199" t="s">
        <v>1539</v>
      </c>
      <c r="B377" s="1007"/>
      <c r="C377" s="128" t="s">
        <v>1536</v>
      </c>
      <c r="D377" s="891" t="s">
        <v>306</v>
      </c>
      <c r="E377" s="891" t="s">
        <v>322</v>
      </c>
      <c r="F377" s="891" t="s">
        <v>307</v>
      </c>
      <c r="G377" s="889">
        <v>3306</v>
      </c>
      <c r="H377" s="891" t="s">
        <v>1153</v>
      </c>
      <c r="I377" s="889" t="s">
        <v>1538</v>
      </c>
      <c r="J377" s="891" t="s">
        <v>1534</v>
      </c>
      <c r="K377" s="1018" t="s">
        <v>692</v>
      </c>
      <c r="L377" s="891" t="s">
        <v>324</v>
      </c>
      <c r="M377" s="875" t="s">
        <v>1535</v>
      </c>
      <c r="N377" s="891" t="s">
        <v>425</v>
      </c>
    </row>
    <row r="378" spans="1:19" x14ac:dyDescent="0.3">
      <c r="A378" s="199" t="s">
        <v>1539</v>
      </c>
      <c r="B378" s="1008"/>
      <c r="C378" s="129" t="s">
        <v>1537</v>
      </c>
      <c r="D378" s="892"/>
      <c r="E378" s="892"/>
      <c r="F378" s="892"/>
      <c r="G378" s="890"/>
      <c r="H378" s="892"/>
      <c r="I378" s="890"/>
      <c r="J378" s="892"/>
      <c r="K378" s="1019"/>
      <c r="L378" s="892"/>
      <c r="M378" s="876"/>
      <c r="N378" s="892"/>
    </row>
    <row r="379" spans="1:19" ht="27" customHeight="1" x14ac:dyDescent="0.3">
      <c r="A379" s="123">
        <v>15</v>
      </c>
      <c r="B379" s="89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5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9">
        <v>3306</v>
      </c>
      <c r="H403" s="943" t="s">
        <v>1153</v>
      </c>
      <c r="I403" s="949" t="s">
        <v>1749</v>
      </c>
      <c r="J403" s="943" t="s">
        <v>664</v>
      </c>
      <c r="K403" s="1020" t="s">
        <v>1288</v>
      </c>
      <c r="L403" s="943" t="s">
        <v>324</v>
      </c>
      <c r="M403" s="947" t="s">
        <v>1750</v>
      </c>
      <c r="N403" s="943" t="s">
        <v>665</v>
      </c>
    </row>
    <row r="404" spans="1:14" x14ac:dyDescent="0.3">
      <c r="A404" s="123">
        <v>18</v>
      </c>
      <c r="B404" s="886"/>
      <c r="C404" s="226" t="s">
        <v>1751</v>
      </c>
      <c r="D404" s="944"/>
      <c r="E404" s="944"/>
      <c r="F404" s="944"/>
      <c r="G404" s="950"/>
      <c r="H404" s="944"/>
      <c r="I404" s="950"/>
      <c r="J404" s="944"/>
      <c r="K404" s="1021"/>
      <c r="L404" s="944"/>
      <c r="M404" s="948"/>
      <c r="N404" s="944"/>
    </row>
    <row r="405" spans="1:14" ht="22.5" x14ac:dyDescent="0.3">
      <c r="A405" s="123">
        <v>18</v>
      </c>
      <c r="B405" s="88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6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9" t="s">
        <v>1756</v>
      </c>
      <c r="H406" s="943" t="s">
        <v>347</v>
      </c>
      <c r="I406" s="949" t="s">
        <v>1154</v>
      </c>
      <c r="J406" s="943" t="s">
        <v>664</v>
      </c>
      <c r="K406" s="943" t="s">
        <v>1757</v>
      </c>
      <c r="L406" s="943" t="s">
        <v>324</v>
      </c>
      <c r="M406" s="947" t="s">
        <v>1758</v>
      </c>
      <c r="N406" s="943" t="s">
        <v>665</v>
      </c>
    </row>
    <row r="407" spans="1:14" x14ac:dyDescent="0.3">
      <c r="A407" s="123">
        <v>18</v>
      </c>
      <c r="B407" s="886"/>
      <c r="C407" s="226" t="s">
        <v>1759</v>
      </c>
      <c r="D407" s="944"/>
      <c r="E407" s="944"/>
      <c r="F407" s="944"/>
      <c r="G407" s="950"/>
      <c r="H407" s="944"/>
      <c r="I407" s="950"/>
      <c r="J407" s="944"/>
      <c r="K407" s="944"/>
      <c r="L407" s="944"/>
      <c r="M407" s="948"/>
      <c r="N407" s="944"/>
    </row>
    <row r="408" spans="1:14" ht="16.5" customHeight="1" x14ac:dyDescent="0.3">
      <c r="A408" s="123">
        <v>18</v>
      </c>
      <c r="B408" s="886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9" t="s">
        <v>1761</v>
      </c>
      <c r="H408" s="943" t="s">
        <v>329</v>
      </c>
      <c r="I408" s="949" t="s">
        <v>1762</v>
      </c>
      <c r="J408" s="943" t="s">
        <v>664</v>
      </c>
      <c r="K408" s="943" t="s">
        <v>1763</v>
      </c>
      <c r="L408" s="943" t="s">
        <v>324</v>
      </c>
      <c r="M408" s="947" t="s">
        <v>1764</v>
      </c>
      <c r="N408" s="943" t="s">
        <v>1765</v>
      </c>
    </row>
    <row r="409" spans="1:14" x14ac:dyDescent="0.3">
      <c r="A409" s="123">
        <v>18</v>
      </c>
      <c r="B409" s="887"/>
      <c r="C409" s="226" t="s">
        <v>1766</v>
      </c>
      <c r="D409" s="944"/>
      <c r="E409" s="944"/>
      <c r="F409" s="944"/>
      <c r="G409" s="950"/>
      <c r="H409" s="944"/>
      <c r="I409" s="950"/>
      <c r="J409" s="944"/>
      <c r="K409" s="944"/>
      <c r="L409" s="944"/>
      <c r="M409" s="948"/>
      <c r="N409" s="944"/>
    </row>
    <row r="410" spans="1:14" ht="16.5" customHeight="1" x14ac:dyDescent="0.3">
      <c r="A410" s="123">
        <v>18</v>
      </c>
      <c r="B410" s="885" t="s">
        <v>253</v>
      </c>
      <c r="C410" s="951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951" t="s">
        <v>1769</v>
      </c>
      <c r="I410" s="227" t="s">
        <v>1770</v>
      </c>
      <c r="J410" s="943"/>
      <c r="K410" s="953" t="s">
        <v>1771</v>
      </c>
      <c r="L410" s="943" t="s">
        <v>309</v>
      </c>
      <c r="M410" s="947" t="s">
        <v>1764</v>
      </c>
      <c r="N410" s="943" t="s">
        <v>1772</v>
      </c>
    </row>
    <row r="411" spans="1:14" x14ac:dyDescent="0.3">
      <c r="A411" s="123">
        <v>18</v>
      </c>
      <c r="B411" s="886"/>
      <c r="C411" s="952"/>
      <c r="D411" s="944"/>
      <c r="E411" s="944"/>
      <c r="F411" s="944"/>
      <c r="G411" s="944"/>
      <c r="H411" s="952"/>
      <c r="I411" s="227" t="s">
        <v>1773</v>
      </c>
      <c r="J411" s="944"/>
      <c r="K411" s="954"/>
      <c r="L411" s="944"/>
      <c r="M411" s="948"/>
      <c r="N411" s="944"/>
    </row>
    <row r="412" spans="1:14" ht="22.5" x14ac:dyDescent="0.3">
      <c r="A412" s="123">
        <v>18</v>
      </c>
      <c r="B412" s="88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6"/>
      <c r="C413" s="951" t="s">
        <v>1776</v>
      </c>
      <c r="D413" s="951" t="s">
        <v>700</v>
      </c>
      <c r="E413" s="943" t="s">
        <v>675</v>
      </c>
      <c r="F413" s="951" t="s">
        <v>1777</v>
      </c>
      <c r="G413" s="951" t="s">
        <v>1778</v>
      </c>
      <c r="H413" s="951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7" t="s">
        <v>1780</v>
      </c>
      <c r="N413" s="943" t="s">
        <v>1781</v>
      </c>
    </row>
    <row r="414" spans="1:14" x14ac:dyDescent="0.3">
      <c r="A414" s="123">
        <v>18</v>
      </c>
      <c r="B414" s="887"/>
      <c r="C414" s="952"/>
      <c r="D414" s="952"/>
      <c r="E414" s="944"/>
      <c r="F414" s="952"/>
      <c r="G414" s="952"/>
      <c r="H414" s="952"/>
      <c r="I414" s="26"/>
      <c r="J414" s="944"/>
      <c r="K414" s="944"/>
      <c r="L414" s="944"/>
      <c r="M414" s="948"/>
      <c r="N414" s="944"/>
    </row>
    <row r="415" spans="1:14" ht="16.5" customHeight="1" x14ac:dyDescent="0.3">
      <c r="A415" s="123">
        <v>19</v>
      </c>
      <c r="B415" s="885" t="s">
        <v>20</v>
      </c>
      <c r="C415" s="148" t="s">
        <v>1794</v>
      </c>
      <c r="D415" s="891" t="s">
        <v>306</v>
      </c>
      <c r="E415" s="891" t="s">
        <v>322</v>
      </c>
      <c r="F415" s="891" t="s">
        <v>307</v>
      </c>
      <c r="G415" s="889" t="s">
        <v>1796</v>
      </c>
      <c r="H415" s="891" t="s">
        <v>1797</v>
      </c>
      <c r="I415" s="889" t="s">
        <v>1792</v>
      </c>
      <c r="J415" s="891" t="s">
        <v>664</v>
      </c>
      <c r="K415" s="148" t="s">
        <v>1520</v>
      </c>
      <c r="L415" s="891" t="s">
        <v>324</v>
      </c>
      <c r="M415" s="875" t="s">
        <v>1799</v>
      </c>
      <c r="N415" s="891" t="s">
        <v>665</v>
      </c>
    </row>
    <row r="416" spans="1:14" x14ac:dyDescent="0.3">
      <c r="A416" s="123">
        <v>19</v>
      </c>
      <c r="B416" s="886"/>
      <c r="C416" s="148" t="s">
        <v>1795</v>
      </c>
      <c r="D416" s="892"/>
      <c r="E416" s="892"/>
      <c r="F416" s="892"/>
      <c r="G416" s="890"/>
      <c r="H416" s="892"/>
      <c r="I416" s="890"/>
      <c r="J416" s="892"/>
      <c r="K416" s="148" t="s">
        <v>1798</v>
      </c>
      <c r="L416" s="892"/>
      <c r="M416" s="876"/>
      <c r="N416" s="892"/>
    </row>
    <row r="417" spans="1:14" x14ac:dyDescent="0.3">
      <c r="A417" s="123">
        <v>19</v>
      </c>
      <c r="B417" s="886"/>
      <c r="C417" s="148" t="s">
        <v>1800</v>
      </c>
      <c r="D417" s="891" t="s">
        <v>306</v>
      </c>
      <c r="E417" s="891" t="s">
        <v>322</v>
      </c>
      <c r="F417" s="891" t="s">
        <v>307</v>
      </c>
      <c r="G417" s="889" t="s">
        <v>1801</v>
      </c>
      <c r="H417" s="891" t="s">
        <v>1802</v>
      </c>
      <c r="I417" s="889" t="s">
        <v>1803</v>
      </c>
      <c r="J417" s="891" t="s">
        <v>664</v>
      </c>
      <c r="K417" s="945" t="s">
        <v>1155</v>
      </c>
      <c r="L417" s="891" t="s">
        <v>324</v>
      </c>
      <c r="M417" s="875" t="s">
        <v>1804</v>
      </c>
      <c r="N417" s="891" t="s">
        <v>665</v>
      </c>
    </row>
    <row r="418" spans="1:14" x14ac:dyDescent="0.3">
      <c r="A418" s="123">
        <v>19</v>
      </c>
      <c r="B418" s="887"/>
      <c r="C418" s="148" t="s">
        <v>1795</v>
      </c>
      <c r="D418" s="892"/>
      <c r="E418" s="892"/>
      <c r="F418" s="892"/>
      <c r="G418" s="890"/>
      <c r="H418" s="892"/>
      <c r="I418" s="890"/>
      <c r="J418" s="892"/>
      <c r="K418" s="946"/>
      <c r="L418" s="892"/>
      <c r="M418" s="876"/>
      <c r="N418" s="892"/>
    </row>
    <row r="419" spans="1:14" ht="16.5" customHeight="1" x14ac:dyDescent="0.3">
      <c r="A419" s="123">
        <v>19</v>
      </c>
      <c r="B419" s="885" t="s">
        <v>21</v>
      </c>
      <c r="C419" s="935" t="s">
        <v>1805</v>
      </c>
      <c r="D419" s="935" t="s">
        <v>700</v>
      </c>
      <c r="E419" s="891" t="s">
        <v>675</v>
      </c>
      <c r="F419" s="935" t="s">
        <v>1806</v>
      </c>
      <c r="G419" s="935" t="s">
        <v>1807</v>
      </c>
      <c r="H419" s="935" t="s">
        <v>662</v>
      </c>
      <c r="I419" s="889" t="s">
        <v>1808</v>
      </c>
      <c r="J419" s="891"/>
      <c r="K419" s="937" t="s">
        <v>1809</v>
      </c>
      <c r="L419" s="891" t="s">
        <v>309</v>
      </c>
      <c r="M419" s="875" t="s">
        <v>1810</v>
      </c>
      <c r="N419" s="149" t="s">
        <v>1811</v>
      </c>
    </row>
    <row r="420" spans="1:14" x14ac:dyDescent="0.3">
      <c r="A420" s="123">
        <v>19</v>
      </c>
      <c r="B420" s="886"/>
      <c r="C420" s="936"/>
      <c r="D420" s="936"/>
      <c r="E420" s="892"/>
      <c r="F420" s="936"/>
      <c r="G420" s="936"/>
      <c r="H420" s="936"/>
      <c r="I420" s="890"/>
      <c r="J420" s="892"/>
      <c r="K420" s="938"/>
      <c r="L420" s="892"/>
      <c r="M420" s="876"/>
      <c r="N420" s="149" t="s">
        <v>1812</v>
      </c>
    </row>
    <row r="421" spans="1:14" x14ac:dyDescent="0.3">
      <c r="A421" s="123">
        <v>19</v>
      </c>
      <c r="B421" s="886"/>
      <c r="C421" s="939" t="s">
        <v>1813</v>
      </c>
      <c r="D421" s="935" t="s">
        <v>700</v>
      </c>
      <c r="E421" s="891" t="s">
        <v>320</v>
      </c>
      <c r="F421" s="891" t="s">
        <v>337</v>
      </c>
      <c r="G421" s="935" t="s">
        <v>353</v>
      </c>
      <c r="H421" s="935" t="s">
        <v>1814</v>
      </c>
      <c r="I421" s="889" t="s">
        <v>1815</v>
      </c>
      <c r="J421" s="891" t="s">
        <v>638</v>
      </c>
      <c r="K421" s="941" t="s">
        <v>692</v>
      </c>
      <c r="L421" s="891" t="s">
        <v>309</v>
      </c>
      <c r="M421" s="875" t="s">
        <v>1816</v>
      </c>
      <c r="N421" s="148" t="s">
        <v>1817</v>
      </c>
    </row>
    <row r="422" spans="1:14" x14ac:dyDescent="0.3">
      <c r="A422" s="123">
        <v>19</v>
      </c>
      <c r="B422" s="886"/>
      <c r="C422" s="940"/>
      <c r="D422" s="936"/>
      <c r="E422" s="892"/>
      <c r="F422" s="892"/>
      <c r="G422" s="936"/>
      <c r="H422" s="936"/>
      <c r="I422" s="890"/>
      <c r="J422" s="892"/>
      <c r="K422" s="942"/>
      <c r="L422" s="892"/>
      <c r="M422" s="876"/>
      <c r="N422" s="148" t="s">
        <v>1818</v>
      </c>
    </row>
    <row r="423" spans="1:14" x14ac:dyDescent="0.3">
      <c r="A423" s="123">
        <v>19</v>
      </c>
      <c r="B423" s="88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6"/>
      <c r="C424" s="935" t="s">
        <v>1820</v>
      </c>
      <c r="D424" s="935" t="s">
        <v>700</v>
      </c>
      <c r="E424" s="891" t="s">
        <v>320</v>
      </c>
      <c r="F424" s="891" t="s">
        <v>709</v>
      </c>
      <c r="G424" s="891" t="s">
        <v>1768</v>
      </c>
      <c r="H424" s="935" t="s">
        <v>1821</v>
      </c>
      <c r="I424" s="149" t="s">
        <v>1822</v>
      </c>
      <c r="J424" s="891" t="s">
        <v>638</v>
      </c>
      <c r="K424" s="891" t="s">
        <v>692</v>
      </c>
      <c r="L424" s="891" t="s">
        <v>309</v>
      </c>
      <c r="M424" s="875" t="s">
        <v>1535</v>
      </c>
      <c r="N424" s="889" t="s">
        <v>1824</v>
      </c>
    </row>
    <row r="425" spans="1:14" x14ac:dyDescent="0.3">
      <c r="A425" s="123">
        <v>19</v>
      </c>
      <c r="B425" s="886"/>
      <c r="C425" s="936"/>
      <c r="D425" s="936"/>
      <c r="E425" s="892"/>
      <c r="F425" s="892"/>
      <c r="G425" s="892"/>
      <c r="H425" s="936"/>
      <c r="I425" s="149" t="s">
        <v>1823</v>
      </c>
      <c r="J425" s="892"/>
      <c r="K425" s="892"/>
      <c r="L425" s="892"/>
      <c r="M425" s="876"/>
      <c r="N425" s="890"/>
    </row>
    <row r="426" spans="1:14" x14ac:dyDescent="0.3">
      <c r="A426" s="123">
        <v>19</v>
      </c>
      <c r="B426" s="88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8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8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8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8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8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8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5" t="s">
        <v>2078</v>
      </c>
      <c r="C452" s="243" t="s">
        <v>1906</v>
      </c>
      <c r="D452" s="915" t="s">
        <v>306</v>
      </c>
      <c r="E452" s="915" t="s">
        <v>322</v>
      </c>
      <c r="F452" s="915" t="s">
        <v>307</v>
      </c>
      <c r="G452" s="915">
        <v>3306</v>
      </c>
      <c r="H452" s="915" t="s">
        <v>1153</v>
      </c>
      <c r="I452" s="915" t="s">
        <v>1907</v>
      </c>
      <c r="J452" s="915" t="s">
        <v>1111</v>
      </c>
      <c r="K452" s="915" t="s">
        <v>692</v>
      </c>
      <c r="L452" s="915" t="s">
        <v>324</v>
      </c>
      <c r="M452" s="913" t="s">
        <v>1908</v>
      </c>
      <c r="N452" s="915" t="s">
        <v>665</v>
      </c>
    </row>
    <row r="453" spans="1:14" x14ac:dyDescent="0.3">
      <c r="A453" s="123">
        <v>23</v>
      </c>
      <c r="B453" s="886"/>
      <c r="C453" s="243" t="s">
        <v>1909</v>
      </c>
      <c r="D453" s="916"/>
      <c r="E453" s="916"/>
      <c r="F453" s="916"/>
      <c r="G453" s="916"/>
      <c r="H453" s="916"/>
      <c r="I453" s="916"/>
      <c r="J453" s="916"/>
      <c r="K453" s="916"/>
      <c r="L453" s="916"/>
      <c r="M453" s="914"/>
      <c r="N453" s="916"/>
    </row>
    <row r="454" spans="1:14" x14ac:dyDescent="0.3">
      <c r="A454" s="123">
        <v>23</v>
      </c>
      <c r="B454" s="886"/>
      <c r="C454" s="243" t="s">
        <v>1910</v>
      </c>
      <c r="D454" s="915" t="s">
        <v>306</v>
      </c>
      <c r="E454" s="915" t="s">
        <v>322</v>
      </c>
      <c r="F454" s="915" t="s">
        <v>307</v>
      </c>
      <c r="G454" s="917" t="s">
        <v>1418</v>
      </c>
      <c r="H454" s="915" t="s">
        <v>1911</v>
      </c>
      <c r="I454" s="917" t="s">
        <v>1154</v>
      </c>
      <c r="J454" s="915" t="s">
        <v>664</v>
      </c>
      <c r="K454" s="931" t="s">
        <v>1763</v>
      </c>
      <c r="L454" s="915" t="s">
        <v>324</v>
      </c>
      <c r="M454" s="913" t="s">
        <v>1535</v>
      </c>
      <c r="N454" s="915" t="s">
        <v>665</v>
      </c>
    </row>
    <row r="455" spans="1:14" x14ac:dyDescent="0.3">
      <c r="A455" s="123">
        <v>23</v>
      </c>
      <c r="B455" s="886"/>
      <c r="C455" s="243" t="s">
        <v>1909</v>
      </c>
      <c r="D455" s="916"/>
      <c r="E455" s="916"/>
      <c r="F455" s="916"/>
      <c r="G455" s="918"/>
      <c r="H455" s="916"/>
      <c r="I455" s="918"/>
      <c r="J455" s="916"/>
      <c r="K455" s="932"/>
      <c r="L455" s="916"/>
      <c r="M455" s="914"/>
      <c r="N455" s="916"/>
    </row>
    <row r="456" spans="1:14" x14ac:dyDescent="0.3">
      <c r="A456" s="123">
        <v>23</v>
      </c>
      <c r="B456" s="88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6"/>
      <c r="C457" s="243" t="s">
        <v>1917</v>
      </c>
      <c r="D457" s="915" t="s">
        <v>306</v>
      </c>
      <c r="E457" s="915" t="s">
        <v>322</v>
      </c>
      <c r="F457" s="915" t="s">
        <v>307</v>
      </c>
      <c r="G457" s="917">
        <v>4267</v>
      </c>
      <c r="H457" s="915" t="s">
        <v>640</v>
      </c>
      <c r="I457" s="917" t="s">
        <v>1154</v>
      </c>
      <c r="J457" s="915" t="s">
        <v>664</v>
      </c>
      <c r="K457" s="931" t="s">
        <v>1763</v>
      </c>
      <c r="L457" s="915" t="s">
        <v>324</v>
      </c>
      <c r="M457" s="913" t="s">
        <v>1535</v>
      </c>
      <c r="N457" s="915" t="s">
        <v>665</v>
      </c>
    </row>
    <row r="458" spans="1:14" x14ac:dyDescent="0.3">
      <c r="A458" s="123">
        <v>23</v>
      </c>
      <c r="B458" s="886"/>
      <c r="C458" s="243" t="s">
        <v>1918</v>
      </c>
      <c r="D458" s="916"/>
      <c r="E458" s="916"/>
      <c r="F458" s="916"/>
      <c r="G458" s="918"/>
      <c r="H458" s="916"/>
      <c r="I458" s="918"/>
      <c r="J458" s="916"/>
      <c r="K458" s="932"/>
      <c r="L458" s="916"/>
      <c r="M458" s="914"/>
      <c r="N458" s="916"/>
    </row>
    <row r="459" spans="1:14" x14ac:dyDescent="0.3">
      <c r="A459" s="123">
        <v>23</v>
      </c>
      <c r="B459" s="886"/>
      <c r="C459" s="243" t="s">
        <v>1917</v>
      </c>
      <c r="D459" s="915" t="s">
        <v>306</v>
      </c>
      <c r="E459" s="915" t="s">
        <v>322</v>
      </c>
      <c r="F459" s="915" t="s">
        <v>307</v>
      </c>
      <c r="G459" s="917" t="s">
        <v>1919</v>
      </c>
      <c r="H459" s="915" t="s">
        <v>662</v>
      </c>
      <c r="I459" s="917" t="s">
        <v>1920</v>
      </c>
      <c r="J459" s="915" t="s">
        <v>349</v>
      </c>
      <c r="K459" s="933" t="s">
        <v>1916</v>
      </c>
      <c r="L459" s="915" t="s">
        <v>324</v>
      </c>
      <c r="M459" s="913" t="s">
        <v>1535</v>
      </c>
      <c r="N459" s="915" t="s">
        <v>425</v>
      </c>
    </row>
    <row r="460" spans="1:14" x14ac:dyDescent="0.3">
      <c r="A460" s="123">
        <v>23</v>
      </c>
      <c r="B460" s="887"/>
      <c r="C460" s="244" t="s">
        <v>1918</v>
      </c>
      <c r="D460" s="916"/>
      <c r="E460" s="916"/>
      <c r="F460" s="916"/>
      <c r="G460" s="918"/>
      <c r="H460" s="916"/>
      <c r="I460" s="918"/>
      <c r="J460" s="916"/>
      <c r="K460" s="934"/>
      <c r="L460" s="916"/>
      <c r="M460" s="914"/>
      <c r="N460" s="916"/>
    </row>
    <row r="461" spans="1:14" x14ac:dyDescent="0.3">
      <c r="A461" s="123">
        <v>23</v>
      </c>
      <c r="B461" s="88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6"/>
      <c r="C462" s="915" t="s">
        <v>1921</v>
      </c>
      <c r="D462" s="915" t="s">
        <v>311</v>
      </c>
      <c r="E462" s="915" t="s">
        <v>675</v>
      </c>
      <c r="F462" s="915" t="s">
        <v>1926</v>
      </c>
      <c r="G462" s="915" t="s">
        <v>1927</v>
      </c>
      <c r="H462" s="1022" t="s">
        <v>347</v>
      </c>
      <c r="I462" s="242" t="s">
        <v>1928</v>
      </c>
      <c r="J462" s="915"/>
      <c r="K462" s="917" t="s">
        <v>1924</v>
      </c>
      <c r="L462" s="915" t="s">
        <v>309</v>
      </c>
      <c r="M462" s="913" t="s">
        <v>1828</v>
      </c>
      <c r="N462" s="917" t="s">
        <v>1925</v>
      </c>
    </row>
    <row r="463" spans="1:14" x14ac:dyDescent="0.3">
      <c r="A463" s="123">
        <v>23</v>
      </c>
      <c r="B463" s="886"/>
      <c r="C463" s="916"/>
      <c r="D463" s="916"/>
      <c r="E463" s="916"/>
      <c r="F463" s="916"/>
      <c r="G463" s="916"/>
      <c r="H463" s="1023"/>
      <c r="I463" s="242" t="s">
        <v>1929</v>
      </c>
      <c r="J463" s="916"/>
      <c r="K463" s="918"/>
      <c r="L463" s="916"/>
      <c r="M463" s="914"/>
      <c r="N463" s="918"/>
    </row>
    <row r="464" spans="1:14" ht="24" x14ac:dyDescent="0.3">
      <c r="A464" s="123">
        <v>23</v>
      </c>
      <c r="B464" s="88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8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8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8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8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8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8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8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8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8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8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8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8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8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8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8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8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8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8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8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8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8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8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8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8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8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8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0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0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0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0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0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0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8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0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0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0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0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8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8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8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8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8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8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0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0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0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8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8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8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2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2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2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2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8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8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8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8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8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6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8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2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8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8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8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8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6"/>
      <c r="C687" s="148" t="s">
        <v>2726</v>
      </c>
      <c r="D687" s="891" t="s">
        <v>306</v>
      </c>
      <c r="E687" s="891" t="s">
        <v>322</v>
      </c>
      <c r="F687" s="891" t="s">
        <v>307</v>
      </c>
      <c r="G687" s="889" t="s">
        <v>2719</v>
      </c>
      <c r="H687" s="891" t="s">
        <v>1047</v>
      </c>
      <c r="I687" s="889" t="s">
        <v>704</v>
      </c>
      <c r="J687" s="891" t="s">
        <v>664</v>
      </c>
      <c r="K687" s="923" t="s">
        <v>1763</v>
      </c>
      <c r="L687" s="891"/>
      <c r="M687" s="875" t="s">
        <v>458</v>
      </c>
      <c r="N687" s="891" t="s">
        <v>665</v>
      </c>
    </row>
    <row r="688" spans="1:14" x14ac:dyDescent="0.3">
      <c r="A688" s="123">
        <v>8</v>
      </c>
      <c r="B688" s="886"/>
      <c r="C688" s="148" t="s">
        <v>2727</v>
      </c>
      <c r="D688" s="892"/>
      <c r="E688" s="892"/>
      <c r="F688" s="892"/>
      <c r="G688" s="890"/>
      <c r="H688" s="892"/>
      <c r="I688" s="890"/>
      <c r="J688" s="892"/>
      <c r="K688" s="924"/>
      <c r="L688" s="892"/>
      <c r="M688" s="876"/>
      <c r="N688" s="892"/>
    </row>
    <row r="689" spans="1:14" x14ac:dyDescent="0.3">
      <c r="A689" s="123">
        <v>8</v>
      </c>
      <c r="B689" s="88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6"/>
      <c r="C690" s="148" t="s">
        <v>2730</v>
      </c>
      <c r="D690" s="891" t="s">
        <v>306</v>
      </c>
      <c r="E690" s="891" t="s">
        <v>322</v>
      </c>
      <c r="F690" s="891" t="s">
        <v>307</v>
      </c>
      <c r="G690" s="889" t="s">
        <v>2731</v>
      </c>
      <c r="H690" s="891" t="s">
        <v>640</v>
      </c>
      <c r="I690" s="889" t="s">
        <v>668</v>
      </c>
      <c r="J690" s="891" t="s">
        <v>349</v>
      </c>
      <c r="K690" s="925" t="s">
        <v>2732</v>
      </c>
      <c r="L690" s="891"/>
      <c r="M690" s="875" t="s">
        <v>2769</v>
      </c>
      <c r="N690" s="891" t="s">
        <v>425</v>
      </c>
    </row>
    <row r="691" spans="1:14" x14ac:dyDescent="0.3">
      <c r="A691" s="123">
        <v>8</v>
      </c>
      <c r="B691" s="887"/>
      <c r="C691" s="148" t="s">
        <v>2723</v>
      </c>
      <c r="D691" s="892"/>
      <c r="E691" s="892"/>
      <c r="F691" s="892"/>
      <c r="G691" s="890"/>
      <c r="H691" s="892"/>
      <c r="I691" s="890"/>
      <c r="J691" s="892"/>
      <c r="K691" s="926"/>
      <c r="L691" s="892"/>
      <c r="M691" s="876"/>
      <c r="N691" s="892"/>
    </row>
    <row r="692" spans="1:14" x14ac:dyDescent="0.3">
      <c r="A692" s="123">
        <v>8</v>
      </c>
      <c r="B692" s="88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6"/>
      <c r="C693" s="891" t="s">
        <v>2768</v>
      </c>
      <c r="D693" s="891" t="s">
        <v>311</v>
      </c>
      <c r="E693" s="891" t="s">
        <v>675</v>
      </c>
      <c r="F693" s="149" t="s">
        <v>1806</v>
      </c>
      <c r="G693" s="889" t="s">
        <v>689</v>
      </c>
      <c r="H693" s="889" t="s">
        <v>662</v>
      </c>
      <c r="I693" s="889" t="s">
        <v>2739</v>
      </c>
      <c r="J693" s="889"/>
      <c r="K693" s="889" t="s">
        <v>698</v>
      </c>
      <c r="L693" s="891" t="s">
        <v>309</v>
      </c>
      <c r="M693" s="875" t="s">
        <v>672</v>
      </c>
      <c r="N693" s="891" t="s">
        <v>2740</v>
      </c>
    </row>
    <row r="694" spans="1:14" x14ac:dyDescent="0.3">
      <c r="A694" s="123">
        <v>8</v>
      </c>
      <c r="B694" s="887"/>
      <c r="C694" s="892"/>
      <c r="D694" s="892"/>
      <c r="E694" s="892"/>
      <c r="F694" s="149" t="s">
        <v>2738</v>
      </c>
      <c r="G694" s="890"/>
      <c r="H694" s="890"/>
      <c r="I694" s="890"/>
      <c r="J694" s="890"/>
      <c r="K694" s="890"/>
      <c r="L694" s="892"/>
      <c r="M694" s="876"/>
      <c r="N694" s="901"/>
    </row>
    <row r="695" spans="1:14" x14ac:dyDescent="0.3">
      <c r="A695" s="123">
        <v>9</v>
      </c>
      <c r="B695" s="88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6"/>
      <c r="C697" s="243" t="s">
        <v>2745</v>
      </c>
      <c r="D697" s="915" t="s">
        <v>306</v>
      </c>
      <c r="E697" s="915" t="s">
        <v>322</v>
      </c>
      <c r="F697" s="915" t="s">
        <v>307</v>
      </c>
      <c r="G697" s="917" t="s">
        <v>2746</v>
      </c>
      <c r="H697" s="915" t="s">
        <v>405</v>
      </c>
      <c r="I697" s="917" t="s">
        <v>2747</v>
      </c>
      <c r="J697" s="915" t="s">
        <v>664</v>
      </c>
      <c r="K697" s="921" t="s">
        <v>1757</v>
      </c>
      <c r="L697" s="915"/>
      <c r="M697" s="913">
        <v>750000</v>
      </c>
      <c r="N697" s="915" t="s">
        <v>665</v>
      </c>
    </row>
    <row r="698" spans="1:14" x14ac:dyDescent="0.3">
      <c r="A698" s="123">
        <v>9</v>
      </c>
      <c r="B698" s="886"/>
      <c r="C698" s="243" t="s">
        <v>2748</v>
      </c>
      <c r="D698" s="916"/>
      <c r="E698" s="916"/>
      <c r="F698" s="916"/>
      <c r="G698" s="918"/>
      <c r="H698" s="916"/>
      <c r="I698" s="918"/>
      <c r="J698" s="916"/>
      <c r="K698" s="922"/>
      <c r="L698" s="916"/>
      <c r="M698" s="914"/>
      <c r="N698" s="916"/>
    </row>
    <row r="699" spans="1:14" x14ac:dyDescent="0.3">
      <c r="A699" s="123">
        <v>9</v>
      </c>
      <c r="B699" s="886"/>
      <c r="C699" s="243" t="s">
        <v>2745</v>
      </c>
      <c r="D699" s="915" t="s">
        <v>306</v>
      </c>
      <c r="E699" s="915" t="s">
        <v>322</v>
      </c>
      <c r="F699" s="915" t="s">
        <v>307</v>
      </c>
      <c r="G699" s="917" t="s">
        <v>2749</v>
      </c>
      <c r="H699" s="915" t="s">
        <v>662</v>
      </c>
      <c r="I699" s="917" t="s">
        <v>668</v>
      </c>
      <c r="J699" s="915" t="s">
        <v>349</v>
      </c>
      <c r="K699" s="919" t="s">
        <v>2732</v>
      </c>
      <c r="L699" s="915"/>
      <c r="M699" s="913">
        <v>1000000</v>
      </c>
      <c r="N699" s="915" t="s">
        <v>425</v>
      </c>
    </row>
    <row r="700" spans="1:14" x14ac:dyDescent="0.3">
      <c r="A700" s="123">
        <v>9</v>
      </c>
      <c r="B700" s="886"/>
      <c r="C700" s="243" t="s">
        <v>2750</v>
      </c>
      <c r="D700" s="916"/>
      <c r="E700" s="916"/>
      <c r="F700" s="916"/>
      <c r="G700" s="918"/>
      <c r="H700" s="916"/>
      <c r="I700" s="918"/>
      <c r="J700" s="916"/>
      <c r="K700" s="920"/>
      <c r="L700" s="916"/>
      <c r="M700" s="914"/>
      <c r="N700" s="916"/>
    </row>
    <row r="701" spans="1:14" x14ac:dyDescent="0.3">
      <c r="A701" s="123">
        <v>9</v>
      </c>
      <c r="B701" s="88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8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8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8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8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8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8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8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6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1" t="s">
        <v>2821</v>
      </c>
    </row>
    <row r="734" spans="1:14" ht="27" x14ac:dyDescent="0.3">
      <c r="A734" s="123">
        <v>15</v>
      </c>
      <c r="B734" s="88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2"/>
    </row>
    <row r="735" spans="1:14" x14ac:dyDescent="0.3">
      <c r="A735" s="123">
        <v>15</v>
      </c>
      <c r="B735" s="88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87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8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5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8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8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87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8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8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8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8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8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8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8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0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0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0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8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5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6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6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87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8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8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8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8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8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5" t="s">
        <v>3097</v>
      </c>
      <c r="C835" s="148" t="s">
        <v>3079</v>
      </c>
      <c r="D835" s="891" t="s">
        <v>306</v>
      </c>
      <c r="E835" s="891" t="s">
        <v>322</v>
      </c>
      <c r="F835" s="891" t="s">
        <v>307</v>
      </c>
      <c r="G835" s="889" t="s">
        <v>3051</v>
      </c>
      <c r="H835" s="891" t="s">
        <v>1993</v>
      </c>
      <c r="I835" s="889" t="s">
        <v>3052</v>
      </c>
      <c r="J835" s="891" t="s">
        <v>664</v>
      </c>
      <c r="K835" s="148" t="s">
        <v>3081</v>
      </c>
      <c r="L835" s="891"/>
      <c r="M835" s="903" t="s">
        <v>3082</v>
      </c>
      <c r="N835" s="148" t="s">
        <v>3083</v>
      </c>
    </row>
    <row r="836" spans="1:14" x14ac:dyDescent="0.3">
      <c r="A836" s="123">
        <v>29</v>
      </c>
      <c r="B836" s="886"/>
      <c r="C836" s="148" t="s">
        <v>3080</v>
      </c>
      <c r="D836" s="901"/>
      <c r="E836" s="901"/>
      <c r="F836" s="901"/>
      <c r="G836" s="902"/>
      <c r="H836" s="901"/>
      <c r="I836" s="902"/>
      <c r="J836" s="901"/>
      <c r="K836" s="148" t="s">
        <v>707</v>
      </c>
      <c r="L836" s="901"/>
      <c r="M836" s="904"/>
      <c r="N836" s="148"/>
    </row>
    <row r="837" spans="1:14" x14ac:dyDescent="0.3">
      <c r="A837" s="123">
        <v>29</v>
      </c>
      <c r="B837" s="886"/>
      <c r="C837" s="148"/>
      <c r="D837" s="892"/>
      <c r="E837" s="892"/>
      <c r="F837" s="892"/>
      <c r="G837" s="890"/>
      <c r="H837" s="892"/>
      <c r="I837" s="890"/>
      <c r="J837" s="892"/>
      <c r="K837" s="148"/>
      <c r="L837" s="892"/>
      <c r="M837" s="905"/>
      <c r="N837" s="148" t="s">
        <v>3084</v>
      </c>
    </row>
    <row r="838" spans="1:14" x14ac:dyDescent="0.3">
      <c r="A838" s="123">
        <v>29</v>
      </c>
      <c r="B838" s="88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8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5" t="s">
        <v>21</v>
      </c>
      <c r="C840" s="111" t="s">
        <v>3087</v>
      </c>
      <c r="D840" s="891" t="s">
        <v>311</v>
      </c>
      <c r="E840" s="891" t="s">
        <v>320</v>
      </c>
      <c r="F840" s="889" t="s">
        <v>2601</v>
      </c>
      <c r="G840" s="889" t="s">
        <v>3059</v>
      </c>
      <c r="H840" s="889" t="s">
        <v>3060</v>
      </c>
      <c r="I840" s="889" t="s">
        <v>3061</v>
      </c>
      <c r="J840" s="889" t="s">
        <v>702</v>
      </c>
      <c r="K840" s="889" t="s">
        <v>3062</v>
      </c>
      <c r="L840" s="891" t="s">
        <v>309</v>
      </c>
      <c r="M840" s="903" t="s">
        <v>1816</v>
      </c>
      <c r="N840" s="891" t="s">
        <v>3088</v>
      </c>
    </row>
    <row r="841" spans="1:14" x14ac:dyDescent="0.3">
      <c r="A841" s="123">
        <v>29</v>
      </c>
      <c r="B841" s="886"/>
      <c r="C841" s="111" t="s">
        <v>3065</v>
      </c>
      <c r="D841" s="892"/>
      <c r="E841" s="892"/>
      <c r="F841" s="890"/>
      <c r="G841" s="890"/>
      <c r="H841" s="890"/>
      <c r="I841" s="890"/>
      <c r="J841" s="890"/>
      <c r="K841" s="890"/>
      <c r="L841" s="892"/>
      <c r="M841" s="905"/>
      <c r="N841" s="892"/>
    </row>
    <row r="842" spans="1:14" x14ac:dyDescent="0.3">
      <c r="A842" s="123">
        <v>29</v>
      </c>
      <c r="B842" s="88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6"/>
      <c r="C844" s="111" t="s">
        <v>3079</v>
      </c>
      <c r="D844" s="891" t="s">
        <v>311</v>
      </c>
      <c r="E844" s="891" t="s">
        <v>320</v>
      </c>
      <c r="F844" s="889" t="s">
        <v>3068</v>
      </c>
      <c r="G844" s="889" t="s">
        <v>1919</v>
      </c>
      <c r="H844" s="889" t="s">
        <v>3069</v>
      </c>
      <c r="I844" s="149" t="s">
        <v>3090</v>
      </c>
      <c r="J844" s="889"/>
      <c r="K844" s="889" t="s">
        <v>3070</v>
      </c>
      <c r="L844" s="891" t="s">
        <v>309</v>
      </c>
      <c r="M844" s="909" t="s">
        <v>3092</v>
      </c>
      <c r="N844" s="891" t="s">
        <v>1206</v>
      </c>
    </row>
    <row r="845" spans="1:14" x14ac:dyDescent="0.3">
      <c r="A845" s="123">
        <v>29</v>
      </c>
      <c r="B845" s="886"/>
      <c r="C845" s="111" t="s">
        <v>3089</v>
      </c>
      <c r="D845" s="892"/>
      <c r="E845" s="892"/>
      <c r="F845" s="890"/>
      <c r="G845" s="890"/>
      <c r="H845" s="890"/>
      <c r="I845" s="149" t="s">
        <v>3091</v>
      </c>
      <c r="J845" s="890"/>
      <c r="K845" s="890"/>
      <c r="L845" s="892"/>
      <c r="M845" s="910"/>
      <c r="N845" s="892"/>
    </row>
    <row r="846" spans="1:14" x14ac:dyDescent="0.3">
      <c r="A846" s="123">
        <v>29</v>
      </c>
      <c r="B846" s="886"/>
      <c r="C846" s="111" t="s">
        <v>3079</v>
      </c>
      <c r="D846" s="891" t="s">
        <v>311</v>
      </c>
      <c r="E846" s="891" t="s">
        <v>320</v>
      </c>
      <c r="F846" s="889" t="s">
        <v>2601</v>
      </c>
      <c r="G846" s="889" t="s">
        <v>3059</v>
      </c>
      <c r="H846" s="889" t="s">
        <v>3060</v>
      </c>
      <c r="I846" s="889" t="s">
        <v>3071</v>
      </c>
      <c r="J846" s="889" t="s">
        <v>702</v>
      </c>
      <c r="K846" s="889" t="s">
        <v>1054</v>
      </c>
      <c r="L846" s="891" t="s">
        <v>309</v>
      </c>
      <c r="M846" s="903" t="s">
        <v>3094</v>
      </c>
      <c r="N846" s="891" t="s">
        <v>3095</v>
      </c>
    </row>
    <row r="847" spans="1:14" x14ac:dyDescent="0.3">
      <c r="A847" s="123">
        <v>29</v>
      </c>
      <c r="B847" s="886"/>
      <c r="C847" s="111"/>
      <c r="D847" s="901"/>
      <c r="E847" s="901"/>
      <c r="F847" s="902"/>
      <c r="G847" s="902"/>
      <c r="H847" s="902"/>
      <c r="I847" s="902"/>
      <c r="J847" s="902"/>
      <c r="K847" s="902"/>
      <c r="L847" s="901"/>
      <c r="M847" s="904"/>
      <c r="N847" s="901"/>
    </row>
    <row r="848" spans="1:14" x14ac:dyDescent="0.3">
      <c r="A848" s="123">
        <v>29</v>
      </c>
      <c r="B848" s="886"/>
      <c r="C848" s="111" t="s">
        <v>3093</v>
      </c>
      <c r="D848" s="892"/>
      <c r="E848" s="892"/>
      <c r="F848" s="890"/>
      <c r="G848" s="890"/>
      <c r="H848" s="890"/>
      <c r="I848" s="890"/>
      <c r="J848" s="890"/>
      <c r="K848" s="890"/>
      <c r="L848" s="892"/>
      <c r="M848" s="905"/>
      <c r="N848" s="892"/>
    </row>
    <row r="849" spans="1:14" x14ac:dyDescent="0.3">
      <c r="A849" s="123">
        <v>29</v>
      </c>
      <c r="B849" s="886"/>
      <c r="C849" s="111" t="s">
        <v>3096</v>
      </c>
      <c r="D849" s="891" t="s">
        <v>311</v>
      </c>
      <c r="E849" s="891" t="s">
        <v>320</v>
      </c>
      <c r="F849" s="889" t="s">
        <v>337</v>
      </c>
      <c r="G849" s="889" t="s">
        <v>3072</v>
      </c>
      <c r="H849" s="889" t="s">
        <v>354</v>
      </c>
      <c r="I849" s="889" t="s">
        <v>310</v>
      </c>
      <c r="J849" s="889" t="s">
        <v>638</v>
      </c>
      <c r="K849" s="889" t="s">
        <v>3073</v>
      </c>
      <c r="L849" s="891" t="s">
        <v>309</v>
      </c>
      <c r="M849" s="903" t="s">
        <v>1816</v>
      </c>
      <c r="N849" s="891" t="s">
        <v>3095</v>
      </c>
    </row>
    <row r="850" spans="1:14" x14ac:dyDescent="0.3">
      <c r="A850" s="123">
        <v>29</v>
      </c>
      <c r="B850" s="887"/>
      <c r="C850" s="111" t="s">
        <v>3089</v>
      </c>
      <c r="D850" s="892"/>
      <c r="E850" s="892"/>
      <c r="F850" s="890"/>
      <c r="G850" s="890"/>
      <c r="H850" s="890"/>
      <c r="I850" s="890"/>
      <c r="J850" s="890"/>
      <c r="K850" s="890"/>
      <c r="L850" s="892"/>
      <c r="M850" s="905"/>
      <c r="N850" s="892"/>
    </row>
    <row r="851" spans="1:14" x14ac:dyDescent="0.3">
      <c r="A851" s="123">
        <v>30</v>
      </c>
      <c r="B851" s="89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89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897"/>
      <c r="C853" s="148" t="s">
        <v>3106</v>
      </c>
      <c r="D853" s="891" t="s">
        <v>306</v>
      </c>
      <c r="E853" s="891" t="s">
        <v>322</v>
      </c>
      <c r="F853" s="891" t="s">
        <v>307</v>
      </c>
      <c r="G853" s="889" t="s">
        <v>3051</v>
      </c>
      <c r="H853" s="891" t="s">
        <v>1993</v>
      </c>
      <c r="I853" s="889" t="s">
        <v>3108</v>
      </c>
      <c r="J853" s="891" t="s">
        <v>664</v>
      </c>
      <c r="K853" s="148" t="s">
        <v>3109</v>
      </c>
      <c r="L853" s="891"/>
      <c r="M853" s="875" t="s">
        <v>3110</v>
      </c>
      <c r="N853" s="891" t="s">
        <v>665</v>
      </c>
    </row>
    <row r="854" spans="1:14" x14ac:dyDescent="0.3">
      <c r="A854" s="123">
        <v>30</v>
      </c>
      <c r="B854" s="897"/>
      <c r="C854" s="148" t="s">
        <v>3107</v>
      </c>
      <c r="D854" s="892"/>
      <c r="E854" s="892"/>
      <c r="F854" s="892"/>
      <c r="G854" s="890"/>
      <c r="H854" s="892"/>
      <c r="I854" s="890"/>
      <c r="J854" s="892"/>
      <c r="K854" s="148" t="s">
        <v>655</v>
      </c>
      <c r="L854" s="892"/>
      <c r="M854" s="876"/>
      <c r="N854" s="892"/>
    </row>
    <row r="855" spans="1:14" x14ac:dyDescent="0.3">
      <c r="A855" s="123">
        <v>30</v>
      </c>
      <c r="B855" s="89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5" t="s">
        <v>3116</v>
      </c>
      <c r="C856" s="899" t="s">
        <v>3117</v>
      </c>
      <c r="D856" s="891" t="s">
        <v>311</v>
      </c>
      <c r="E856" s="891" t="s">
        <v>320</v>
      </c>
      <c r="F856" s="889" t="s">
        <v>2601</v>
      </c>
      <c r="G856" s="889" t="s">
        <v>2749</v>
      </c>
      <c r="H856" s="889" t="s">
        <v>347</v>
      </c>
      <c r="I856" s="889" t="s">
        <v>3118</v>
      </c>
      <c r="J856" s="889" t="s">
        <v>638</v>
      </c>
      <c r="K856" s="889" t="s">
        <v>698</v>
      </c>
      <c r="L856" s="891" t="s">
        <v>309</v>
      </c>
      <c r="M856" s="875" t="s">
        <v>1810</v>
      </c>
      <c r="N856" s="148" t="s">
        <v>3119</v>
      </c>
    </row>
    <row r="857" spans="1:14" x14ac:dyDescent="0.3">
      <c r="A857" s="123">
        <v>30</v>
      </c>
      <c r="B857" s="886"/>
      <c r="C857" s="900"/>
      <c r="D857" s="892"/>
      <c r="E857" s="892"/>
      <c r="F857" s="890"/>
      <c r="G857" s="890"/>
      <c r="H857" s="890"/>
      <c r="I857" s="890"/>
      <c r="J857" s="890"/>
      <c r="K857" s="890"/>
      <c r="L857" s="892"/>
      <c r="M857" s="876"/>
      <c r="N857" s="148" t="s">
        <v>3120</v>
      </c>
    </row>
    <row r="858" spans="1:14" ht="16.5" customHeight="1" x14ac:dyDescent="0.3">
      <c r="A858" s="123">
        <v>30</v>
      </c>
      <c r="B858" s="886"/>
      <c r="C858" s="899" t="s">
        <v>3117</v>
      </c>
      <c r="D858" s="891" t="s">
        <v>311</v>
      </c>
      <c r="E858" s="891" t="s">
        <v>320</v>
      </c>
      <c r="F858" s="889" t="s">
        <v>709</v>
      </c>
      <c r="G858" s="149" t="s">
        <v>3121</v>
      </c>
      <c r="H858" s="889" t="s">
        <v>640</v>
      </c>
      <c r="I858" s="889" t="s">
        <v>3122</v>
      </c>
      <c r="J858" s="889"/>
      <c r="K858" s="889" t="s">
        <v>692</v>
      </c>
      <c r="L858" s="891" t="s">
        <v>309</v>
      </c>
      <c r="M858" s="875" t="s">
        <v>1535</v>
      </c>
      <c r="N858" s="891" t="s">
        <v>1772</v>
      </c>
    </row>
    <row r="859" spans="1:14" x14ac:dyDescent="0.3">
      <c r="A859" s="123">
        <v>30</v>
      </c>
      <c r="B859" s="886"/>
      <c r="C859" s="900"/>
      <c r="D859" s="892"/>
      <c r="E859" s="892"/>
      <c r="F859" s="890"/>
      <c r="G859" s="149">
        <v>2651</v>
      </c>
      <c r="H859" s="890"/>
      <c r="I859" s="890"/>
      <c r="J859" s="890"/>
      <c r="K859" s="890"/>
      <c r="L859" s="892"/>
      <c r="M859" s="876"/>
      <c r="N859" s="892"/>
    </row>
    <row r="860" spans="1:14" x14ac:dyDescent="0.3">
      <c r="A860" s="123">
        <v>30</v>
      </c>
      <c r="B860" s="886"/>
      <c r="C860" s="899" t="s">
        <v>3123</v>
      </c>
      <c r="D860" s="891" t="s">
        <v>311</v>
      </c>
      <c r="E860" s="891" t="s">
        <v>320</v>
      </c>
      <c r="F860" s="889" t="s">
        <v>720</v>
      </c>
      <c r="G860" s="889" t="s">
        <v>1756</v>
      </c>
      <c r="H860" s="889" t="s">
        <v>347</v>
      </c>
      <c r="I860" s="149" t="s">
        <v>3124</v>
      </c>
      <c r="J860" s="889"/>
      <c r="K860" s="889" t="s">
        <v>3126</v>
      </c>
      <c r="L860" s="891" t="s">
        <v>309</v>
      </c>
      <c r="M860" s="875" t="s">
        <v>1933</v>
      </c>
      <c r="N860" s="891" t="s">
        <v>1206</v>
      </c>
    </row>
    <row r="861" spans="1:14" x14ac:dyDescent="0.3">
      <c r="A861" s="123">
        <v>30</v>
      </c>
      <c r="B861" s="886"/>
      <c r="C861" s="900"/>
      <c r="D861" s="892"/>
      <c r="E861" s="892"/>
      <c r="F861" s="890"/>
      <c r="G861" s="890"/>
      <c r="H861" s="890"/>
      <c r="I861" s="149" t="s">
        <v>3125</v>
      </c>
      <c r="J861" s="890"/>
      <c r="K861" s="890"/>
      <c r="L861" s="892"/>
      <c r="M861" s="876"/>
      <c r="N861" s="892"/>
    </row>
    <row r="862" spans="1:14" x14ac:dyDescent="0.3">
      <c r="A862" s="123">
        <v>30</v>
      </c>
      <c r="B862" s="886"/>
      <c r="C862" s="111" t="s">
        <v>3127</v>
      </c>
      <c r="D862" s="891" t="s">
        <v>311</v>
      </c>
      <c r="E862" s="891" t="s">
        <v>320</v>
      </c>
      <c r="F862" s="889" t="s">
        <v>690</v>
      </c>
      <c r="G862" s="889" t="s">
        <v>3066</v>
      </c>
      <c r="H862" s="889" t="s">
        <v>354</v>
      </c>
      <c r="I862" s="889" t="s">
        <v>3129</v>
      </c>
      <c r="J862" s="889" t="s">
        <v>638</v>
      </c>
      <c r="K862" s="889" t="s">
        <v>655</v>
      </c>
      <c r="L862" s="891" t="s">
        <v>309</v>
      </c>
      <c r="M862" s="875" t="s">
        <v>1535</v>
      </c>
      <c r="N862" s="891" t="s">
        <v>1206</v>
      </c>
    </row>
    <row r="863" spans="1:14" x14ac:dyDescent="0.3">
      <c r="A863" s="123">
        <v>30</v>
      </c>
      <c r="B863" s="886"/>
      <c r="C863" s="111" t="s">
        <v>3128</v>
      </c>
      <c r="D863" s="892"/>
      <c r="E863" s="892"/>
      <c r="F863" s="890"/>
      <c r="G863" s="890"/>
      <c r="H863" s="890"/>
      <c r="I863" s="890"/>
      <c r="J863" s="890"/>
      <c r="K863" s="890"/>
      <c r="L863" s="892"/>
      <c r="M863" s="876"/>
      <c r="N863" s="892"/>
    </row>
    <row r="864" spans="1:14" x14ac:dyDescent="0.3">
      <c r="A864" s="123">
        <v>30</v>
      </c>
      <c r="B864" s="886"/>
      <c r="C864" s="111" t="s">
        <v>3130</v>
      </c>
      <c r="D864" s="891" t="s">
        <v>311</v>
      </c>
      <c r="E864" s="891" t="s">
        <v>320</v>
      </c>
      <c r="F864" s="889" t="s">
        <v>337</v>
      </c>
      <c r="G864" s="889" t="s">
        <v>3072</v>
      </c>
      <c r="H864" s="889" t="s">
        <v>354</v>
      </c>
      <c r="I864" s="889" t="s">
        <v>3131</v>
      </c>
      <c r="J864" s="889" t="s">
        <v>638</v>
      </c>
      <c r="K864" s="889" t="s">
        <v>713</v>
      </c>
      <c r="L864" s="891" t="s">
        <v>309</v>
      </c>
      <c r="M864" s="875" t="s">
        <v>1810</v>
      </c>
      <c r="N864" s="891" t="s">
        <v>1206</v>
      </c>
    </row>
    <row r="865" spans="1:14" x14ac:dyDescent="0.3">
      <c r="A865" s="123">
        <v>30</v>
      </c>
      <c r="B865" s="886"/>
      <c r="C865" s="111" t="s">
        <v>3107</v>
      </c>
      <c r="D865" s="892"/>
      <c r="E865" s="892"/>
      <c r="F865" s="890"/>
      <c r="G865" s="890"/>
      <c r="H865" s="890"/>
      <c r="I865" s="890"/>
      <c r="J865" s="890"/>
      <c r="K865" s="890"/>
      <c r="L865" s="892"/>
      <c r="M865" s="876"/>
      <c r="N865" s="892"/>
    </row>
    <row r="866" spans="1:14" ht="25.5" x14ac:dyDescent="0.3">
      <c r="A866" s="123">
        <v>30</v>
      </c>
      <c r="B866" s="88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6"/>
      <c r="C867" s="899" t="s">
        <v>3111</v>
      </c>
      <c r="D867" s="891" t="s">
        <v>311</v>
      </c>
      <c r="E867" s="891" t="s">
        <v>675</v>
      </c>
      <c r="F867" s="889" t="s">
        <v>660</v>
      </c>
      <c r="G867" s="889" t="s">
        <v>661</v>
      </c>
      <c r="H867" s="889" t="s">
        <v>662</v>
      </c>
      <c r="I867" s="149" t="s">
        <v>3134</v>
      </c>
      <c r="J867" s="889" t="s">
        <v>638</v>
      </c>
      <c r="K867" s="889" t="s">
        <v>731</v>
      </c>
      <c r="L867" s="891" t="s">
        <v>309</v>
      </c>
      <c r="M867" s="875" t="s">
        <v>1828</v>
      </c>
      <c r="N867" s="891" t="s">
        <v>3136</v>
      </c>
    </row>
    <row r="868" spans="1:14" x14ac:dyDescent="0.3">
      <c r="A868" s="123">
        <v>30</v>
      </c>
      <c r="B868" s="887"/>
      <c r="C868" s="900"/>
      <c r="D868" s="892"/>
      <c r="E868" s="892"/>
      <c r="F868" s="890"/>
      <c r="G868" s="890"/>
      <c r="H868" s="890"/>
      <c r="I868" s="149" t="s">
        <v>3135</v>
      </c>
      <c r="J868" s="890"/>
      <c r="K868" s="890"/>
      <c r="L868" s="892"/>
      <c r="M868" s="876"/>
      <c r="N868" s="892"/>
    </row>
    <row r="869" spans="1:14" x14ac:dyDescent="0.3">
      <c r="A869" s="123">
        <v>31</v>
      </c>
      <c r="B869" s="88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6"/>
      <c r="C870" s="148" t="s">
        <v>3140</v>
      </c>
      <c r="D870" s="891" t="s">
        <v>306</v>
      </c>
      <c r="E870" s="891" t="s">
        <v>322</v>
      </c>
      <c r="F870" s="891" t="s">
        <v>307</v>
      </c>
      <c r="G870" s="889">
        <v>1566</v>
      </c>
      <c r="H870" s="891" t="s">
        <v>1911</v>
      </c>
      <c r="I870" s="889" t="s">
        <v>3142</v>
      </c>
      <c r="J870" s="891" t="s">
        <v>664</v>
      </c>
      <c r="K870" s="891" t="s">
        <v>3143</v>
      </c>
      <c r="L870" s="891"/>
      <c r="M870" s="875" t="s">
        <v>3144</v>
      </c>
      <c r="N870" s="891" t="s">
        <v>665</v>
      </c>
    </row>
    <row r="871" spans="1:14" x14ac:dyDescent="0.3">
      <c r="A871" s="123">
        <v>31</v>
      </c>
      <c r="B871" s="886"/>
      <c r="C871" s="148" t="s">
        <v>3141</v>
      </c>
      <c r="D871" s="892"/>
      <c r="E871" s="892"/>
      <c r="F871" s="892"/>
      <c r="G871" s="890"/>
      <c r="H871" s="892"/>
      <c r="I871" s="890"/>
      <c r="J871" s="892"/>
      <c r="K871" s="892"/>
      <c r="L871" s="892"/>
      <c r="M871" s="876"/>
      <c r="N871" s="892"/>
    </row>
    <row r="872" spans="1:14" x14ac:dyDescent="0.3">
      <c r="A872" s="123">
        <v>31</v>
      </c>
      <c r="B872" s="88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6"/>
      <c r="C873" s="388" t="s">
        <v>3140</v>
      </c>
      <c r="D873" s="891" t="s">
        <v>306</v>
      </c>
      <c r="E873" s="891" t="s">
        <v>322</v>
      </c>
      <c r="F873" s="891" t="s">
        <v>307</v>
      </c>
      <c r="G873" s="889" t="s">
        <v>3147</v>
      </c>
      <c r="H873" s="891" t="s">
        <v>3148</v>
      </c>
      <c r="I873" s="889" t="s">
        <v>332</v>
      </c>
      <c r="J873" s="891" t="s">
        <v>1534</v>
      </c>
      <c r="K873" s="891" t="s">
        <v>1157</v>
      </c>
      <c r="L873" s="891"/>
      <c r="M873" s="875" t="s">
        <v>3149</v>
      </c>
      <c r="N873" s="891" t="s">
        <v>425</v>
      </c>
    </row>
    <row r="874" spans="1:14" x14ac:dyDescent="0.3">
      <c r="A874" s="123">
        <v>31</v>
      </c>
      <c r="B874" s="887"/>
      <c r="C874" s="388" t="s">
        <v>3146</v>
      </c>
      <c r="D874" s="892"/>
      <c r="E874" s="892"/>
      <c r="F874" s="892"/>
      <c r="G874" s="890"/>
      <c r="H874" s="892"/>
      <c r="I874" s="890"/>
      <c r="J874" s="892"/>
      <c r="K874" s="892"/>
      <c r="L874" s="892"/>
      <c r="M874" s="876"/>
      <c r="N874" s="892"/>
    </row>
    <row r="875" spans="1:14" x14ac:dyDescent="0.3">
      <c r="A875" s="123">
        <v>31</v>
      </c>
      <c r="B875" s="88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6"/>
      <c r="C876" s="891" t="s">
        <v>3128</v>
      </c>
      <c r="D876" s="891" t="s">
        <v>311</v>
      </c>
      <c r="E876" s="891" t="s">
        <v>675</v>
      </c>
      <c r="F876" s="889" t="s">
        <v>660</v>
      </c>
      <c r="G876" s="889" t="s">
        <v>661</v>
      </c>
      <c r="H876" s="889" t="s">
        <v>662</v>
      </c>
      <c r="I876" s="149" t="s">
        <v>3134</v>
      </c>
      <c r="J876" s="889"/>
      <c r="K876" s="889" t="s">
        <v>698</v>
      </c>
      <c r="L876" s="891" t="s">
        <v>309</v>
      </c>
      <c r="M876" s="875" t="s">
        <v>3139</v>
      </c>
      <c r="N876" s="891" t="s">
        <v>3152</v>
      </c>
    </row>
    <row r="877" spans="1:14" x14ac:dyDescent="0.3">
      <c r="A877" s="123">
        <v>31</v>
      </c>
      <c r="B877" s="886"/>
      <c r="C877" s="892"/>
      <c r="D877" s="892"/>
      <c r="E877" s="892"/>
      <c r="F877" s="890"/>
      <c r="G877" s="890"/>
      <c r="H877" s="890"/>
      <c r="I877" s="149" t="s">
        <v>3135</v>
      </c>
      <c r="J877" s="890"/>
      <c r="K877" s="890"/>
      <c r="L877" s="892"/>
      <c r="M877" s="876"/>
      <c r="N877" s="892"/>
    </row>
    <row r="878" spans="1:14" ht="16.5" customHeight="1" x14ac:dyDescent="0.3">
      <c r="A878" s="123">
        <v>31</v>
      </c>
      <c r="B878" s="886"/>
      <c r="C878" s="148" t="s">
        <v>3153</v>
      </c>
      <c r="D878" s="891" t="s">
        <v>311</v>
      </c>
      <c r="E878" s="891" t="s">
        <v>320</v>
      </c>
      <c r="F878" s="889" t="s">
        <v>3068</v>
      </c>
      <c r="G878" s="889" t="s">
        <v>1919</v>
      </c>
      <c r="H878" s="889" t="s">
        <v>3069</v>
      </c>
      <c r="I878" s="889" t="s">
        <v>3154</v>
      </c>
      <c r="J878" s="889"/>
      <c r="K878" s="889" t="s">
        <v>3155</v>
      </c>
      <c r="L878" s="891" t="s">
        <v>309</v>
      </c>
      <c r="M878" s="875" t="s">
        <v>3156</v>
      </c>
      <c r="N878" s="891" t="s">
        <v>3151</v>
      </c>
    </row>
    <row r="879" spans="1:14" x14ac:dyDescent="0.3">
      <c r="A879" s="123">
        <v>31</v>
      </c>
      <c r="B879" s="886"/>
      <c r="C879" s="148" t="s">
        <v>3111</v>
      </c>
      <c r="D879" s="892"/>
      <c r="E879" s="892"/>
      <c r="F879" s="890"/>
      <c r="G879" s="890"/>
      <c r="H879" s="890"/>
      <c r="I879" s="890"/>
      <c r="J879" s="890"/>
      <c r="K879" s="890"/>
      <c r="L879" s="892"/>
      <c r="M879" s="876"/>
      <c r="N879" s="892"/>
    </row>
    <row r="880" spans="1:14" x14ac:dyDescent="0.3">
      <c r="A880" s="123">
        <v>31</v>
      </c>
      <c r="B880" s="88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6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6"/>
      <c r="C883" s="111" t="s">
        <v>3166</v>
      </c>
      <c r="D883" s="891" t="s">
        <v>311</v>
      </c>
      <c r="E883" s="891" t="s">
        <v>320</v>
      </c>
      <c r="F883" s="889" t="s">
        <v>337</v>
      </c>
      <c r="G883" s="889" t="s">
        <v>3168</v>
      </c>
      <c r="H883" s="889" t="s">
        <v>3169</v>
      </c>
      <c r="I883" s="889" t="s">
        <v>3170</v>
      </c>
      <c r="J883" s="889" t="s">
        <v>3171</v>
      </c>
      <c r="K883" s="889" t="s">
        <v>3172</v>
      </c>
      <c r="L883" s="891" t="s">
        <v>309</v>
      </c>
      <c r="M883" s="875" t="s">
        <v>3173</v>
      </c>
      <c r="N883" s="891" t="s">
        <v>3136</v>
      </c>
    </row>
    <row r="884" spans="1:14" x14ac:dyDescent="0.3">
      <c r="A884" s="123">
        <v>31</v>
      </c>
      <c r="B884" s="887"/>
      <c r="C884" s="111" t="s">
        <v>3167</v>
      </c>
      <c r="D884" s="892"/>
      <c r="E884" s="892"/>
      <c r="F884" s="890"/>
      <c r="G884" s="890"/>
      <c r="H884" s="890"/>
      <c r="I884" s="890"/>
      <c r="J884" s="890"/>
      <c r="K884" s="890"/>
      <c r="L884" s="892"/>
      <c r="M884" s="876"/>
      <c r="N884" s="892"/>
    </row>
    <row r="885" spans="1:14" ht="27" x14ac:dyDescent="0.3">
      <c r="A885" s="123">
        <v>32</v>
      </c>
      <c r="B885" s="867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68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68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69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67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68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68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69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67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68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69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67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68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69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0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0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0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0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0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0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0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0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0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0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0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0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0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0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0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0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0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0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0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0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0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0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0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0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0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0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0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0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0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0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0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0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0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0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0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0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0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0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0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0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0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0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0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0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0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0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0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0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0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0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0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0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0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0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0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0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0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0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0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0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0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0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0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0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0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0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0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0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0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0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0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0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0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0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0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0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0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0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0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0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0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0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0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0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0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0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0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0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0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0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0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0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0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0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0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0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0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0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0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0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0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0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0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0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0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0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0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0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0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0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0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0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0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0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0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0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0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0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0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0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0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0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0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0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0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0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0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0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0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0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0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0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0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0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0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0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0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0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0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0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0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0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0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0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0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0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0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0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0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0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0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0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0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0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0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0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0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0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0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0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0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0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0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0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0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0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0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0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0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0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0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0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0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0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0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0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0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0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0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0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0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0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0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0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0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0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0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0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0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0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0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0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0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0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0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0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0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0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0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0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0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0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0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0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0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0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0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0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0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0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0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0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0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0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0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0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0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0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0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0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0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0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0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0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0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0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0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0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0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0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0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0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0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0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0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0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0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0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0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0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0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0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0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0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0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0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0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0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0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0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0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0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0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0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0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0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0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0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0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0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0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0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1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1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1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1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1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1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1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1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1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1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1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1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1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1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1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1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1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1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1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1"/>
      <c r="C1208" s="872" t="s">
        <v>5007</v>
      </c>
      <c r="D1208" s="873" t="s">
        <v>311</v>
      </c>
      <c r="E1208" s="873" t="s">
        <v>675</v>
      </c>
      <c r="F1208" s="872" t="s">
        <v>337</v>
      </c>
      <c r="G1208" s="872" t="s">
        <v>353</v>
      </c>
      <c r="H1208" s="872" t="s">
        <v>5008</v>
      </c>
      <c r="I1208" s="476" t="s">
        <v>5009</v>
      </c>
      <c r="J1208" s="872" t="s">
        <v>638</v>
      </c>
      <c r="K1208" s="872" t="s">
        <v>713</v>
      </c>
      <c r="L1208" s="873" t="s">
        <v>309</v>
      </c>
      <c r="M1208" s="874">
        <v>250000</v>
      </c>
      <c r="N1208" s="873" t="s">
        <v>4990</v>
      </c>
    </row>
    <row r="1209" spans="1:14" x14ac:dyDescent="0.3">
      <c r="A1209" s="123">
        <v>2</v>
      </c>
      <c r="B1209" s="871"/>
      <c r="C1209" s="872"/>
      <c r="D1209" s="873"/>
      <c r="E1209" s="873"/>
      <c r="F1209" s="872"/>
      <c r="G1209" s="872"/>
      <c r="H1209" s="872"/>
      <c r="I1209" s="476" t="s">
        <v>5010</v>
      </c>
      <c r="J1209" s="872"/>
      <c r="K1209" s="872"/>
      <c r="L1209" s="873"/>
      <c r="M1209" s="874"/>
      <c r="N1209" s="873"/>
    </row>
    <row r="1210" spans="1:14" x14ac:dyDescent="0.3">
      <c r="A1210" s="123">
        <v>2</v>
      </c>
      <c r="B1210" s="871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1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1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1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1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1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1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1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1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1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1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1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1"/>
      <c r="C1222" s="872" t="s">
        <v>5033</v>
      </c>
      <c r="D1222" s="873" t="s">
        <v>311</v>
      </c>
      <c r="E1222" s="873" t="s">
        <v>675</v>
      </c>
      <c r="F1222" s="149" t="s">
        <v>5034</v>
      </c>
      <c r="G1222" s="149" t="s">
        <v>5036</v>
      </c>
      <c r="H1222" s="872" t="s">
        <v>347</v>
      </c>
      <c r="I1222" s="149" t="s">
        <v>5038</v>
      </c>
      <c r="J1222" s="872"/>
      <c r="K1222" s="872" t="s">
        <v>705</v>
      </c>
      <c r="L1222" s="873" t="s">
        <v>309</v>
      </c>
      <c r="M1222" s="874">
        <v>500000</v>
      </c>
      <c r="N1222" s="873" t="s">
        <v>5032</v>
      </c>
    </row>
    <row r="1223" spans="1:14" x14ac:dyDescent="0.3">
      <c r="A1223" s="123">
        <v>3</v>
      </c>
      <c r="B1223" s="871"/>
      <c r="C1223" s="872"/>
      <c r="D1223" s="873"/>
      <c r="E1223" s="873"/>
      <c r="F1223" s="149" t="s">
        <v>5035</v>
      </c>
      <c r="G1223" s="149" t="s">
        <v>5037</v>
      </c>
      <c r="H1223" s="872"/>
      <c r="I1223" s="149" t="s">
        <v>5039</v>
      </c>
      <c r="J1223" s="872"/>
      <c r="K1223" s="872"/>
      <c r="L1223" s="873"/>
      <c r="M1223" s="874"/>
      <c r="N1223" s="873"/>
    </row>
    <row r="1224" spans="1:14" x14ac:dyDescent="0.3">
      <c r="A1224" s="123">
        <v>3</v>
      </c>
      <c r="B1224" s="871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1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1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1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1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1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1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1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1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1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1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1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1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1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1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1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1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1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1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1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1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1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1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1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1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1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1"/>
      <c r="C1250" s="872" t="s">
        <v>5098</v>
      </c>
      <c r="D1250" s="873" t="s">
        <v>311</v>
      </c>
      <c r="E1250" s="873" t="s">
        <v>675</v>
      </c>
      <c r="F1250" s="873" t="s">
        <v>4986</v>
      </c>
      <c r="G1250" s="873">
        <v>1017</v>
      </c>
      <c r="H1250" s="873" t="s">
        <v>347</v>
      </c>
      <c r="I1250" s="149" t="s">
        <v>5099</v>
      </c>
      <c r="J1250" s="872"/>
      <c r="K1250" s="872" t="s">
        <v>692</v>
      </c>
      <c r="L1250" s="873" t="s">
        <v>309</v>
      </c>
      <c r="M1250" s="874">
        <v>500000</v>
      </c>
      <c r="N1250" s="873" t="s">
        <v>5032</v>
      </c>
    </row>
    <row r="1251" spans="1:14" x14ac:dyDescent="0.3">
      <c r="A1251" s="123">
        <v>5</v>
      </c>
      <c r="B1251" s="871"/>
      <c r="C1251" s="872"/>
      <c r="D1251" s="873"/>
      <c r="E1251" s="873"/>
      <c r="F1251" s="873"/>
      <c r="G1251" s="873"/>
      <c r="H1251" s="873"/>
      <c r="I1251" s="149" t="s">
        <v>5100</v>
      </c>
      <c r="J1251" s="872"/>
      <c r="K1251" s="872"/>
      <c r="L1251" s="873"/>
      <c r="M1251" s="874"/>
      <c r="N1251" s="873"/>
    </row>
    <row r="1252" spans="1:14" x14ac:dyDescent="0.3">
      <c r="A1252" s="123">
        <v>5</v>
      </c>
      <c r="B1252" s="871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1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1"/>
      <c r="C1254" s="872" t="s">
        <v>5103</v>
      </c>
      <c r="D1254" s="873" t="s">
        <v>311</v>
      </c>
      <c r="E1254" s="873" t="s">
        <v>675</v>
      </c>
      <c r="F1254" s="872" t="s">
        <v>5070</v>
      </c>
      <c r="G1254" s="872">
        <v>3006</v>
      </c>
      <c r="H1254" s="872" t="s">
        <v>347</v>
      </c>
      <c r="I1254" s="476" t="s">
        <v>5104</v>
      </c>
      <c r="J1254" s="872"/>
      <c r="K1254" s="872" t="s">
        <v>705</v>
      </c>
      <c r="L1254" s="873" t="s">
        <v>309</v>
      </c>
      <c r="M1254" s="874">
        <v>500000</v>
      </c>
      <c r="N1254" s="873" t="s">
        <v>5032</v>
      </c>
    </row>
    <row r="1255" spans="1:14" x14ac:dyDescent="0.3">
      <c r="A1255" s="123">
        <v>5</v>
      </c>
      <c r="B1255" s="871"/>
      <c r="C1255" s="872"/>
      <c r="D1255" s="873"/>
      <c r="E1255" s="873"/>
      <c r="F1255" s="872"/>
      <c r="G1255" s="872"/>
      <c r="H1255" s="872"/>
      <c r="I1255" s="476" t="s">
        <v>5105</v>
      </c>
      <c r="J1255" s="872"/>
      <c r="K1255" s="872"/>
      <c r="L1255" s="873"/>
      <c r="M1255" s="874"/>
      <c r="N1255" s="873"/>
    </row>
    <row r="1256" spans="1:14" x14ac:dyDescent="0.3">
      <c r="A1256" s="123">
        <v>5</v>
      </c>
      <c r="B1256" s="871"/>
      <c r="C1256" s="872" t="s">
        <v>5103</v>
      </c>
      <c r="D1256" s="873" t="s">
        <v>311</v>
      </c>
      <c r="E1256" s="873" t="s">
        <v>675</v>
      </c>
      <c r="F1256" s="872" t="s">
        <v>5070</v>
      </c>
      <c r="G1256" s="872">
        <v>3006</v>
      </c>
      <c r="H1256" s="872" t="s">
        <v>347</v>
      </c>
      <c r="I1256" s="476" t="s">
        <v>5104</v>
      </c>
      <c r="J1256" s="872"/>
      <c r="K1256" s="872" t="s">
        <v>4936</v>
      </c>
      <c r="L1256" s="873" t="s">
        <v>309</v>
      </c>
      <c r="M1256" s="874">
        <v>600000</v>
      </c>
      <c r="N1256" s="873" t="s">
        <v>5032</v>
      </c>
    </row>
    <row r="1257" spans="1:14" x14ac:dyDescent="0.3">
      <c r="A1257" s="123">
        <v>5</v>
      </c>
      <c r="B1257" s="871"/>
      <c r="C1257" s="872"/>
      <c r="D1257" s="873"/>
      <c r="E1257" s="873"/>
      <c r="F1257" s="872"/>
      <c r="G1257" s="872"/>
      <c r="H1257" s="872"/>
      <c r="I1257" s="476" t="s">
        <v>5105</v>
      </c>
      <c r="J1257" s="872"/>
      <c r="K1257" s="872"/>
      <c r="L1257" s="873"/>
      <c r="M1257" s="874"/>
      <c r="N1257" s="873"/>
    </row>
    <row r="1258" spans="1:14" x14ac:dyDescent="0.3">
      <c r="A1258" s="123">
        <v>5</v>
      </c>
      <c r="B1258" s="871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1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1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1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1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1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1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1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1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1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1"/>
      <c r="C1268" s="872" t="s">
        <v>5122</v>
      </c>
      <c r="D1268" s="873" t="s">
        <v>311</v>
      </c>
      <c r="E1268" s="873" t="s">
        <v>675</v>
      </c>
      <c r="F1268" s="149" t="s">
        <v>5123</v>
      </c>
      <c r="G1268" s="475" t="s">
        <v>5125</v>
      </c>
      <c r="H1268" s="389" t="s">
        <v>347</v>
      </c>
      <c r="I1268" s="872" t="s">
        <v>5128</v>
      </c>
      <c r="J1268" s="872" t="s">
        <v>638</v>
      </c>
      <c r="K1268" s="872" t="s">
        <v>692</v>
      </c>
      <c r="L1268" s="873" t="s">
        <v>309</v>
      </c>
      <c r="M1268" s="874">
        <v>500000</v>
      </c>
      <c r="N1268" s="873" t="s">
        <v>1772</v>
      </c>
    </row>
    <row r="1269" spans="1:14" x14ac:dyDescent="0.3">
      <c r="A1269" s="123">
        <v>6</v>
      </c>
      <c r="B1269" s="871"/>
      <c r="C1269" s="872"/>
      <c r="D1269" s="873"/>
      <c r="E1269" s="873"/>
      <c r="F1269" s="149" t="s">
        <v>5124</v>
      </c>
      <c r="G1269" s="475" t="s">
        <v>5126</v>
      </c>
      <c r="H1269" s="389" t="s">
        <v>5127</v>
      </c>
      <c r="I1269" s="872"/>
      <c r="J1269" s="872"/>
      <c r="K1269" s="872"/>
      <c r="L1269" s="873"/>
      <c r="M1269" s="874"/>
      <c r="N1269" s="873"/>
    </row>
    <row r="1270" spans="1:14" ht="24" x14ac:dyDescent="0.3">
      <c r="A1270" s="123">
        <v>6</v>
      </c>
      <c r="B1270" s="871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1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1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1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1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1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1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1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1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1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1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1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1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1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1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1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1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1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1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1"/>
      <c r="C1289" s="1024" t="s">
        <v>5158</v>
      </c>
      <c r="D1289" s="1025" t="s">
        <v>311</v>
      </c>
      <c r="E1289" s="1025" t="s">
        <v>675</v>
      </c>
      <c r="F1289" s="506" t="s">
        <v>5123</v>
      </c>
      <c r="G1289" s="507" t="s">
        <v>5125</v>
      </c>
      <c r="H1289" s="507" t="s">
        <v>347</v>
      </c>
      <c r="I1289" s="1024" t="s">
        <v>5128</v>
      </c>
      <c r="J1289" s="1024"/>
      <c r="K1289" s="1024" t="s">
        <v>692</v>
      </c>
      <c r="L1289" s="1025" t="s">
        <v>309</v>
      </c>
      <c r="M1289" s="1026">
        <v>500000</v>
      </c>
      <c r="N1289" s="873" t="s">
        <v>5032</v>
      </c>
    </row>
    <row r="1290" spans="1:14" ht="19.5" x14ac:dyDescent="0.3">
      <c r="A1290" s="123">
        <v>8</v>
      </c>
      <c r="B1290" s="871"/>
      <c r="C1290" s="872"/>
      <c r="D1290" s="873"/>
      <c r="E1290" s="873"/>
      <c r="F1290" s="149" t="s">
        <v>5124</v>
      </c>
      <c r="G1290" s="475" t="s">
        <v>5126</v>
      </c>
      <c r="H1290" s="477" t="s">
        <v>5127</v>
      </c>
      <c r="I1290" s="872"/>
      <c r="J1290" s="872"/>
      <c r="K1290" s="872"/>
      <c r="L1290" s="873"/>
      <c r="M1290" s="874"/>
      <c r="N1290" s="873"/>
    </row>
    <row r="1291" spans="1:14" x14ac:dyDescent="0.3">
      <c r="A1291" s="123">
        <v>8</v>
      </c>
      <c r="B1291" s="871"/>
      <c r="C1291" s="1024" t="s">
        <v>5159</v>
      </c>
      <c r="D1291" s="1025" t="s">
        <v>311</v>
      </c>
      <c r="E1291" s="1025" t="s">
        <v>320</v>
      </c>
      <c r="F1291" s="1027" t="s">
        <v>709</v>
      </c>
      <c r="G1291" s="1024" t="s">
        <v>3098</v>
      </c>
      <c r="H1291" s="1024" t="s">
        <v>3099</v>
      </c>
      <c r="I1291" s="506" t="s">
        <v>5312</v>
      </c>
      <c r="J1291" s="1024" t="s">
        <v>638</v>
      </c>
      <c r="K1291" s="1024" t="s">
        <v>713</v>
      </c>
      <c r="L1291" s="1025" t="s">
        <v>309</v>
      </c>
      <c r="M1291" s="1026">
        <v>250000</v>
      </c>
      <c r="N1291" s="873" t="s">
        <v>5032</v>
      </c>
    </row>
    <row r="1292" spans="1:14" x14ac:dyDescent="0.3">
      <c r="A1292" s="123">
        <v>8</v>
      </c>
      <c r="B1292" s="871"/>
      <c r="C1292" s="872"/>
      <c r="D1292" s="873"/>
      <c r="E1292" s="873"/>
      <c r="F1292" s="1028"/>
      <c r="G1292" s="872"/>
      <c r="H1292" s="872"/>
      <c r="I1292" s="149" t="s">
        <v>5160</v>
      </c>
      <c r="J1292" s="872"/>
      <c r="K1292" s="872"/>
      <c r="L1292" s="873"/>
      <c r="M1292" s="874"/>
      <c r="N1292" s="873"/>
    </row>
    <row r="1293" spans="1:14" x14ac:dyDescent="0.3">
      <c r="A1293" s="123">
        <v>8</v>
      </c>
      <c r="B1293" s="871"/>
      <c r="C1293" s="1024" t="s">
        <v>5161</v>
      </c>
      <c r="D1293" s="1025" t="s">
        <v>311</v>
      </c>
      <c r="E1293" s="1025" t="s">
        <v>320</v>
      </c>
      <c r="F1293" s="1024" t="s">
        <v>337</v>
      </c>
      <c r="G1293" s="1024" t="s">
        <v>3168</v>
      </c>
      <c r="H1293" s="1024" t="s">
        <v>3057</v>
      </c>
      <c r="I1293" s="506" t="s">
        <v>5313</v>
      </c>
      <c r="J1293" s="1024" t="s">
        <v>638</v>
      </c>
      <c r="K1293" s="1024" t="s">
        <v>692</v>
      </c>
      <c r="L1293" s="1025" t="s">
        <v>309</v>
      </c>
      <c r="M1293" s="1026">
        <v>500000</v>
      </c>
      <c r="N1293" s="873" t="s">
        <v>1206</v>
      </c>
    </row>
    <row r="1294" spans="1:14" x14ac:dyDescent="0.3">
      <c r="A1294" s="123">
        <v>8</v>
      </c>
      <c r="B1294" s="871"/>
      <c r="C1294" s="872"/>
      <c r="D1294" s="873"/>
      <c r="E1294" s="873"/>
      <c r="F1294" s="872"/>
      <c r="G1294" s="872"/>
      <c r="H1294" s="872"/>
      <c r="I1294" s="149" t="s">
        <v>5162</v>
      </c>
      <c r="J1294" s="872"/>
      <c r="K1294" s="872"/>
      <c r="L1294" s="873"/>
      <c r="M1294" s="874"/>
      <c r="N1294" s="873"/>
    </row>
    <row r="1295" spans="1:14" x14ac:dyDescent="0.3">
      <c r="A1295" s="123">
        <v>9</v>
      </c>
      <c r="B1295" s="871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1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1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1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1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1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1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1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1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1"/>
      <c r="C1304" s="1024" t="s">
        <v>5175</v>
      </c>
      <c r="D1304" s="1025" t="s">
        <v>311</v>
      </c>
      <c r="E1304" s="1025" t="s">
        <v>320</v>
      </c>
      <c r="F1304" s="1024" t="s">
        <v>337</v>
      </c>
      <c r="G1304" s="1024" t="s">
        <v>3168</v>
      </c>
      <c r="H1304" s="1024" t="s">
        <v>3057</v>
      </c>
      <c r="I1304" s="510" t="s">
        <v>5176</v>
      </c>
      <c r="J1304" s="1024" t="s">
        <v>638</v>
      </c>
      <c r="K1304" s="1024" t="s">
        <v>713</v>
      </c>
      <c r="L1304" s="1025" t="s">
        <v>309</v>
      </c>
      <c r="M1304" s="1026">
        <v>250000</v>
      </c>
      <c r="N1304" s="873" t="s">
        <v>5032</v>
      </c>
    </row>
    <row r="1305" spans="1:14" x14ac:dyDescent="0.3">
      <c r="A1305" s="123">
        <v>9</v>
      </c>
      <c r="B1305" s="871"/>
      <c r="C1305" s="872"/>
      <c r="D1305" s="873"/>
      <c r="E1305" s="873"/>
      <c r="F1305" s="872"/>
      <c r="G1305" s="872"/>
      <c r="H1305" s="872"/>
      <c r="I1305" s="476" t="s">
        <v>5177</v>
      </c>
      <c r="J1305" s="872"/>
      <c r="K1305" s="872"/>
      <c r="L1305" s="873"/>
      <c r="M1305" s="874"/>
      <c r="N1305" s="873"/>
    </row>
    <row r="1306" spans="1:14" x14ac:dyDescent="0.3">
      <c r="A1306" s="123">
        <v>9</v>
      </c>
      <c r="B1306" s="871"/>
      <c r="C1306" s="1024" t="s">
        <v>5175</v>
      </c>
      <c r="D1306" s="1025" t="s">
        <v>311</v>
      </c>
      <c r="E1306" s="1025" t="s">
        <v>320</v>
      </c>
      <c r="F1306" s="1024" t="s">
        <v>5178</v>
      </c>
      <c r="G1306" s="506" t="s">
        <v>689</v>
      </c>
      <c r="H1306" s="1024" t="s">
        <v>5180</v>
      </c>
      <c r="I1306" s="506" t="s">
        <v>5315</v>
      </c>
      <c r="J1306" s="1024"/>
      <c r="K1306" s="1024" t="s">
        <v>713</v>
      </c>
      <c r="L1306" s="1025" t="s">
        <v>309</v>
      </c>
      <c r="M1306" s="1026">
        <v>250000</v>
      </c>
      <c r="N1306" s="873" t="s">
        <v>5032</v>
      </c>
    </row>
    <row r="1307" spans="1:14" x14ac:dyDescent="0.3">
      <c r="A1307" s="123">
        <v>9</v>
      </c>
      <c r="B1307" s="871"/>
      <c r="C1307" s="872"/>
      <c r="D1307" s="873"/>
      <c r="E1307" s="873"/>
      <c r="F1307" s="872"/>
      <c r="G1307" s="149" t="s">
        <v>5179</v>
      </c>
      <c r="H1307" s="872"/>
      <c r="I1307" s="149" t="s">
        <v>5181</v>
      </c>
      <c r="J1307" s="872"/>
      <c r="K1307" s="872"/>
      <c r="L1307" s="873"/>
      <c r="M1307" s="874"/>
      <c r="N1307" s="873"/>
    </row>
    <row r="1308" spans="1:14" x14ac:dyDescent="0.3">
      <c r="A1308" s="123">
        <v>9</v>
      </c>
      <c r="B1308" s="871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1"/>
      <c r="C1309" s="1024" t="s">
        <v>5183</v>
      </c>
      <c r="D1309" s="1025" t="s">
        <v>311</v>
      </c>
      <c r="E1309" s="1025" t="s">
        <v>320</v>
      </c>
      <c r="F1309" s="1024" t="s">
        <v>337</v>
      </c>
      <c r="G1309" s="506" t="s">
        <v>3401</v>
      </c>
      <c r="H1309" s="1024" t="s">
        <v>5029</v>
      </c>
      <c r="I1309" s="1024" t="s">
        <v>5316</v>
      </c>
      <c r="J1309" s="1024"/>
      <c r="K1309" s="1024" t="s">
        <v>692</v>
      </c>
      <c r="L1309" s="1025" t="s">
        <v>309</v>
      </c>
      <c r="M1309" s="1026">
        <v>500000</v>
      </c>
      <c r="N1309" s="873" t="s">
        <v>5032</v>
      </c>
    </row>
    <row r="1310" spans="1:14" x14ac:dyDescent="0.3">
      <c r="A1310" s="123">
        <v>9</v>
      </c>
      <c r="B1310" s="871"/>
      <c r="C1310" s="872"/>
      <c r="D1310" s="873"/>
      <c r="E1310" s="873"/>
      <c r="F1310" s="872"/>
      <c r="G1310" s="149" t="s">
        <v>5184</v>
      </c>
      <c r="H1310" s="872"/>
      <c r="I1310" s="872"/>
      <c r="J1310" s="872"/>
      <c r="K1310" s="872"/>
      <c r="L1310" s="873"/>
      <c r="M1310" s="874"/>
      <c r="N1310" s="873"/>
    </row>
    <row r="1311" spans="1:14" ht="24" x14ac:dyDescent="0.3">
      <c r="A1311" s="123">
        <v>9</v>
      </c>
      <c r="B1311" s="871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1"/>
      <c r="C1312" s="1024" t="s">
        <v>5187</v>
      </c>
      <c r="D1312" s="1025" t="s">
        <v>311</v>
      </c>
      <c r="E1312" s="1025" t="s">
        <v>675</v>
      </c>
      <c r="F1312" s="1024" t="s">
        <v>5188</v>
      </c>
      <c r="G1312" s="507" t="s">
        <v>1919</v>
      </c>
      <c r="H1312" s="1024" t="s">
        <v>347</v>
      </c>
      <c r="I1312" s="1024" t="s">
        <v>5319</v>
      </c>
      <c r="J1312" s="1024"/>
      <c r="K1312" s="1024" t="s">
        <v>692</v>
      </c>
      <c r="L1312" s="1025" t="s">
        <v>309</v>
      </c>
      <c r="M1312" s="1029">
        <v>500000</v>
      </c>
      <c r="N1312" s="873" t="s">
        <v>1925</v>
      </c>
    </row>
    <row r="1313" spans="1:14" x14ac:dyDescent="0.3">
      <c r="A1313" s="123">
        <v>9</v>
      </c>
      <c r="B1313" s="871"/>
      <c r="C1313" s="872"/>
      <c r="D1313" s="873"/>
      <c r="E1313" s="873"/>
      <c r="F1313" s="872"/>
      <c r="G1313" s="475" t="s">
        <v>5189</v>
      </c>
      <c r="H1313" s="872"/>
      <c r="I1313" s="872"/>
      <c r="J1313" s="872"/>
      <c r="K1313" s="872"/>
      <c r="L1313" s="873"/>
      <c r="M1313" s="1030"/>
      <c r="N1313" s="873"/>
    </row>
    <row r="1314" spans="1:14" x14ac:dyDescent="0.3">
      <c r="A1314" s="123">
        <v>10</v>
      </c>
      <c r="B1314" s="871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1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1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1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1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1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1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1"/>
      <c r="C1321" s="872" t="s">
        <v>5201</v>
      </c>
      <c r="D1321" s="873" t="s">
        <v>311</v>
      </c>
      <c r="E1321" s="873" t="s">
        <v>320</v>
      </c>
      <c r="F1321" s="872" t="s">
        <v>337</v>
      </c>
      <c r="G1321" s="872" t="s">
        <v>3168</v>
      </c>
      <c r="H1321" s="872" t="s">
        <v>3057</v>
      </c>
      <c r="I1321" s="476" t="s">
        <v>5176</v>
      </c>
      <c r="J1321" s="872" t="s">
        <v>638</v>
      </c>
      <c r="K1321" s="872" t="s">
        <v>705</v>
      </c>
      <c r="L1321" s="873" t="s">
        <v>309</v>
      </c>
      <c r="M1321" s="874">
        <v>500000</v>
      </c>
      <c r="N1321" s="873" t="s">
        <v>1206</v>
      </c>
    </row>
    <row r="1322" spans="1:14" x14ac:dyDescent="0.3">
      <c r="A1322" s="123">
        <v>10</v>
      </c>
      <c r="B1322" s="871"/>
      <c r="C1322" s="872"/>
      <c r="D1322" s="873"/>
      <c r="E1322" s="873"/>
      <c r="F1322" s="872"/>
      <c r="G1322" s="872"/>
      <c r="H1322" s="872"/>
      <c r="I1322" s="476" t="s">
        <v>5177</v>
      </c>
      <c r="J1322" s="872"/>
      <c r="K1322" s="872"/>
      <c r="L1322" s="873"/>
      <c r="M1322" s="874"/>
      <c r="N1322" s="873"/>
    </row>
    <row r="1323" spans="1:14" x14ac:dyDescent="0.3">
      <c r="A1323" s="123">
        <v>10</v>
      </c>
      <c r="B1323" s="871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1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1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1"/>
      <c r="C1326" s="872" t="s">
        <v>5202</v>
      </c>
      <c r="D1326" s="873" t="s">
        <v>311</v>
      </c>
      <c r="E1326" s="873" t="s">
        <v>320</v>
      </c>
      <c r="F1326" s="872" t="s">
        <v>337</v>
      </c>
      <c r="G1326" s="872" t="s">
        <v>3168</v>
      </c>
      <c r="H1326" s="872" t="s">
        <v>3057</v>
      </c>
      <c r="I1326" s="476" t="s">
        <v>5176</v>
      </c>
      <c r="J1326" s="872"/>
      <c r="K1326" s="872" t="s">
        <v>705</v>
      </c>
      <c r="L1326" s="873" t="s">
        <v>309</v>
      </c>
      <c r="M1326" s="874">
        <v>500000</v>
      </c>
      <c r="N1326" s="873" t="s">
        <v>1206</v>
      </c>
    </row>
    <row r="1327" spans="1:14" x14ac:dyDescent="0.3">
      <c r="A1327" s="123">
        <v>10</v>
      </c>
      <c r="B1327" s="871"/>
      <c r="C1327" s="872"/>
      <c r="D1327" s="873"/>
      <c r="E1327" s="873"/>
      <c r="F1327" s="872"/>
      <c r="G1327" s="872"/>
      <c r="H1327" s="872"/>
      <c r="I1327" s="476" t="s">
        <v>5177</v>
      </c>
      <c r="J1327" s="872"/>
      <c r="K1327" s="872"/>
      <c r="L1327" s="873"/>
      <c r="M1327" s="874"/>
      <c r="N1327" s="873"/>
    </row>
    <row r="1328" spans="1:14" ht="25.5" x14ac:dyDescent="0.3">
      <c r="A1328" s="123">
        <v>10</v>
      </c>
      <c r="B1328" s="871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1"/>
      <c r="C1329" s="1024" t="s">
        <v>5209</v>
      </c>
      <c r="D1329" s="1025" t="s">
        <v>311</v>
      </c>
      <c r="E1329" s="1025" t="s">
        <v>675</v>
      </c>
      <c r="F1329" s="506" t="s">
        <v>5210</v>
      </c>
      <c r="G1329" s="1024" t="s">
        <v>5212</v>
      </c>
      <c r="H1329" s="1024" t="s">
        <v>662</v>
      </c>
      <c r="I1329" s="1024" t="s">
        <v>5321</v>
      </c>
      <c r="J1329" s="1024" t="s">
        <v>638</v>
      </c>
      <c r="K1329" s="1024" t="s">
        <v>713</v>
      </c>
      <c r="L1329" s="1025" t="s">
        <v>309</v>
      </c>
      <c r="M1329" s="1026">
        <v>250000</v>
      </c>
      <c r="N1329" s="873" t="s">
        <v>5032</v>
      </c>
    </row>
    <row r="1330" spans="1:14" x14ac:dyDescent="0.3">
      <c r="A1330" s="123">
        <v>10</v>
      </c>
      <c r="B1330" s="871"/>
      <c r="C1330" s="872"/>
      <c r="D1330" s="873"/>
      <c r="E1330" s="873"/>
      <c r="F1330" s="149" t="s">
        <v>5211</v>
      </c>
      <c r="G1330" s="872"/>
      <c r="H1330" s="872"/>
      <c r="I1330" s="872"/>
      <c r="J1330" s="872"/>
      <c r="K1330" s="872"/>
      <c r="L1330" s="873"/>
      <c r="M1330" s="874"/>
      <c r="N1330" s="873"/>
    </row>
    <row r="1331" spans="1:14" x14ac:dyDescent="0.3">
      <c r="A1331" s="123">
        <v>10</v>
      </c>
      <c r="B1331" s="871"/>
      <c r="C1331" s="1024" t="s">
        <v>5213</v>
      </c>
      <c r="D1331" s="1025" t="s">
        <v>311</v>
      </c>
      <c r="E1331" s="1025" t="s">
        <v>675</v>
      </c>
      <c r="F1331" s="1024" t="s">
        <v>5214</v>
      </c>
      <c r="G1331" s="507" t="s">
        <v>5126</v>
      </c>
      <c r="H1331" s="1035" t="s">
        <v>347</v>
      </c>
      <c r="I1331" s="506" t="s">
        <v>5322</v>
      </c>
      <c r="J1331" s="1024"/>
      <c r="K1331" s="1024" t="s">
        <v>692</v>
      </c>
      <c r="L1331" s="1025" t="s">
        <v>309</v>
      </c>
      <c r="M1331" s="1026">
        <v>500000</v>
      </c>
      <c r="N1331" s="873" t="s">
        <v>5032</v>
      </c>
    </row>
    <row r="1332" spans="1:14" x14ac:dyDescent="0.3">
      <c r="A1332" s="123">
        <v>10</v>
      </c>
      <c r="B1332" s="871"/>
      <c r="C1332" s="872"/>
      <c r="D1332" s="873"/>
      <c r="E1332" s="873"/>
      <c r="F1332" s="872"/>
      <c r="G1332" s="475" t="s">
        <v>5215</v>
      </c>
      <c r="H1332" s="1036"/>
      <c r="I1332" s="149" t="s">
        <v>5217</v>
      </c>
      <c r="J1332" s="872"/>
      <c r="K1332" s="872"/>
      <c r="L1332" s="873"/>
      <c r="M1332" s="874"/>
      <c r="N1332" s="873"/>
    </row>
    <row r="1333" spans="1:14" x14ac:dyDescent="0.3">
      <c r="A1333" s="123">
        <v>11</v>
      </c>
      <c r="B1333" s="871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1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1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1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1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1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1" t="s">
        <v>5163</v>
      </c>
      <c r="C1339" s="1035" t="s">
        <v>5218</v>
      </c>
      <c r="D1339" s="1037" t="s">
        <v>311</v>
      </c>
      <c r="E1339" s="1037" t="s">
        <v>675</v>
      </c>
      <c r="F1339" s="1035" t="s">
        <v>5214</v>
      </c>
      <c r="G1339" s="510" t="s">
        <v>5126</v>
      </c>
      <c r="H1339" s="1035" t="s">
        <v>347</v>
      </c>
      <c r="I1339" s="510" t="s">
        <v>5216</v>
      </c>
      <c r="J1339" s="1035"/>
      <c r="K1339" s="1035" t="s">
        <v>692</v>
      </c>
      <c r="L1339" s="1037" t="s">
        <v>309</v>
      </c>
      <c r="M1339" s="1038">
        <v>500000</v>
      </c>
      <c r="N1339" s="1036" t="s">
        <v>5225</v>
      </c>
    </row>
    <row r="1340" spans="1:14" x14ac:dyDescent="0.3">
      <c r="A1340" s="123">
        <v>11</v>
      </c>
      <c r="B1340" s="871"/>
      <c r="C1340" s="1036"/>
      <c r="D1340" s="1033"/>
      <c r="E1340" s="1033"/>
      <c r="F1340" s="1036"/>
      <c r="G1340" s="476" t="s">
        <v>5215</v>
      </c>
      <c r="H1340" s="1036"/>
      <c r="I1340" s="476" t="s">
        <v>5217</v>
      </c>
      <c r="J1340" s="1036"/>
      <c r="K1340" s="1036"/>
      <c r="L1340" s="1033"/>
      <c r="M1340" s="1039"/>
      <c r="N1340" s="1036"/>
    </row>
    <row r="1341" spans="1:14" x14ac:dyDescent="0.3">
      <c r="A1341" s="123">
        <v>11</v>
      </c>
      <c r="B1341" s="871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1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1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1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1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1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1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1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1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1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1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1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1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1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1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1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1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1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1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1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1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1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1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1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1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1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1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1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3" t="s">
        <v>5443</v>
      </c>
    </row>
    <row r="1370" spans="1:14" x14ac:dyDescent="0.3">
      <c r="A1370" s="123">
        <v>14</v>
      </c>
      <c r="B1370" s="103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3"/>
    </row>
    <row r="1371" spans="1:14" x14ac:dyDescent="0.3">
      <c r="A1371" s="123">
        <v>14</v>
      </c>
      <c r="B1371" s="103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0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0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0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0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0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0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0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0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0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0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0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0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0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0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0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0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0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0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0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0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0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0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1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1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1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1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1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1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5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86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86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86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87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1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4"/>
    </row>
    <row r="1416" spans="1:14" x14ac:dyDescent="0.3">
      <c r="A1416" s="123">
        <v>18</v>
      </c>
      <c r="B1416" s="871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4"/>
    </row>
    <row r="1417" spans="1:14" x14ac:dyDescent="0.3">
      <c r="A1417" s="123">
        <v>18</v>
      </c>
      <c r="B1417" s="871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1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1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1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1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1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1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1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1"/>
    </row>
    <row r="1426" spans="1:14" x14ac:dyDescent="0.3">
      <c r="A1426" s="123">
        <v>19</v>
      </c>
      <c r="B1426" s="8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3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1"/>
    </row>
    <row r="1427" spans="1:14" x14ac:dyDescent="0.3">
      <c r="A1427" s="123">
        <v>19</v>
      </c>
      <c r="B1427" s="8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1"/>
    </row>
    <row r="1428" spans="1:14" x14ac:dyDescent="0.3">
      <c r="A1428" s="123">
        <v>19</v>
      </c>
      <c r="B1428" s="8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2"/>
    </row>
    <row r="1433" spans="1:14" ht="24" x14ac:dyDescent="0.3">
      <c r="A1433" s="690">
        <v>20</v>
      </c>
      <c r="B1433" s="885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8">
        <v>1500000</v>
      </c>
      <c r="N1433" s="671"/>
    </row>
    <row r="1434" spans="1:14" x14ac:dyDescent="0.3">
      <c r="A1434" s="690">
        <v>20</v>
      </c>
      <c r="B1434" s="886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8">
        <v>250000</v>
      </c>
      <c r="N1434" s="671"/>
    </row>
    <row r="1435" spans="1:14" ht="24" x14ac:dyDescent="0.3">
      <c r="A1435" s="690">
        <v>20</v>
      </c>
      <c r="B1435" s="886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8">
        <v>500000</v>
      </c>
      <c r="N1435" s="671"/>
    </row>
    <row r="1436" spans="1:14" x14ac:dyDescent="0.3">
      <c r="A1436" s="690">
        <v>20</v>
      </c>
      <c r="B1436" s="886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8">
        <v>250000</v>
      </c>
      <c r="N1436" s="671"/>
    </row>
    <row r="1437" spans="1:14" ht="24" x14ac:dyDescent="0.3">
      <c r="A1437" s="690">
        <v>20</v>
      </c>
      <c r="B1437" s="887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8">
        <v>500000</v>
      </c>
      <c r="N1437" s="644"/>
    </row>
    <row r="1438" spans="1:14" x14ac:dyDescent="0.3">
      <c r="A1438" s="690">
        <v>20</v>
      </c>
      <c r="B1438" s="885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8">
        <v>250000</v>
      </c>
      <c r="N1438" s="641" t="s">
        <v>5869</v>
      </c>
    </row>
    <row r="1439" spans="1:14" x14ac:dyDescent="0.3">
      <c r="A1439" s="690">
        <v>20</v>
      </c>
      <c r="B1439" s="886"/>
      <c r="C1439" s="863" t="s">
        <v>5860</v>
      </c>
      <c r="D1439" s="864" t="s">
        <v>311</v>
      </c>
      <c r="E1439" s="864" t="s">
        <v>320</v>
      </c>
      <c r="F1439" s="865" t="s">
        <v>5188</v>
      </c>
      <c r="G1439" s="658" t="s">
        <v>1919</v>
      </c>
      <c r="H1439" s="865" t="s">
        <v>347</v>
      </c>
      <c r="I1439" s="865" t="s">
        <v>5870</v>
      </c>
      <c r="J1439" s="865"/>
      <c r="K1439" s="865" t="s">
        <v>692</v>
      </c>
      <c r="L1439" s="864" t="s">
        <v>309</v>
      </c>
      <c r="M1439" s="866">
        <v>500000</v>
      </c>
      <c r="N1439" s="877"/>
    </row>
    <row r="1440" spans="1:14" x14ac:dyDescent="0.3">
      <c r="A1440" s="690">
        <v>20</v>
      </c>
      <c r="B1440" s="886"/>
      <c r="C1440" s="863"/>
      <c r="D1440" s="864"/>
      <c r="E1440" s="864"/>
      <c r="F1440" s="865"/>
      <c r="G1440" s="658" t="s">
        <v>5189</v>
      </c>
      <c r="H1440" s="865"/>
      <c r="I1440" s="865"/>
      <c r="J1440" s="865"/>
      <c r="K1440" s="865"/>
      <c r="L1440" s="864"/>
      <c r="M1440" s="866"/>
      <c r="N1440" s="877"/>
    </row>
    <row r="1441" spans="1:14" ht="24" x14ac:dyDescent="0.3">
      <c r="A1441" s="690">
        <v>20</v>
      </c>
      <c r="B1441" s="887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8">
        <v>300000</v>
      </c>
      <c r="N1441" s="641"/>
    </row>
    <row r="1442" spans="1:14" x14ac:dyDescent="0.3">
      <c r="A1442" s="690">
        <v>21</v>
      </c>
      <c r="B1442" s="84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8">
        <v>500000</v>
      </c>
      <c r="N1442" s="26"/>
    </row>
    <row r="1443" spans="1:14" x14ac:dyDescent="0.3">
      <c r="A1443" s="690">
        <v>21</v>
      </c>
      <c r="B1443" s="84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8">
        <v>250000</v>
      </c>
      <c r="N1443" s="26"/>
    </row>
    <row r="1444" spans="1:14" ht="24" x14ac:dyDescent="0.3">
      <c r="A1444" s="690">
        <v>21</v>
      </c>
      <c r="B1444" s="84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8">
        <f>250000*2</f>
        <v>500000</v>
      </c>
      <c r="N1444" s="26"/>
    </row>
    <row r="1445" spans="1:14" ht="24" x14ac:dyDescent="0.3">
      <c r="A1445" s="690">
        <v>21</v>
      </c>
      <c r="B1445" s="84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8">
        <f>250000*2</f>
        <v>500000</v>
      </c>
      <c r="N1445" s="26"/>
    </row>
    <row r="1446" spans="1:14" ht="24" x14ac:dyDescent="0.3">
      <c r="A1446" s="690">
        <v>21</v>
      </c>
      <c r="B1446" s="84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8">
        <f>250000*2</f>
        <v>500000</v>
      </c>
      <c r="N1446" s="26"/>
    </row>
    <row r="1447" spans="1:14" x14ac:dyDescent="0.3">
      <c r="A1447" s="690">
        <v>21</v>
      </c>
      <c r="B1447" s="84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8">
        <f>250000*2</f>
        <v>500000</v>
      </c>
      <c r="N1447" s="26"/>
    </row>
    <row r="1448" spans="1:14" x14ac:dyDescent="0.3">
      <c r="A1448" s="692">
        <v>21</v>
      </c>
      <c r="B1448" s="84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5" t="s">
        <v>3447</v>
      </c>
      <c r="L1448" s="646" t="s">
        <v>15</v>
      </c>
      <c r="M1448" s="679">
        <v>500000</v>
      </c>
      <c r="N1448" s="26"/>
    </row>
    <row r="1449" spans="1:14" x14ac:dyDescent="0.3">
      <c r="A1449" s="692">
        <v>21</v>
      </c>
      <c r="B1449" s="84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9">
        <v>300000</v>
      </c>
      <c r="N1449" s="26"/>
    </row>
    <row r="1450" spans="1:14" x14ac:dyDescent="0.3">
      <c r="A1450" s="692">
        <v>21</v>
      </c>
      <c r="B1450" s="84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5" t="s">
        <v>3447</v>
      </c>
      <c r="L1450" s="646" t="s">
        <v>15</v>
      </c>
      <c r="M1450" s="679">
        <v>500000</v>
      </c>
      <c r="N1450" s="26"/>
    </row>
    <row r="1451" spans="1:14" x14ac:dyDescent="0.3">
      <c r="A1451" s="692">
        <v>21</v>
      </c>
      <c r="B1451" s="84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9">
        <v>250000</v>
      </c>
      <c r="N1451" s="26"/>
    </row>
    <row r="1452" spans="1:14" x14ac:dyDescent="0.3">
      <c r="A1452" s="692">
        <v>21</v>
      </c>
      <c r="B1452" s="84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9">
        <v>250000</v>
      </c>
      <c r="N1452" s="26"/>
    </row>
    <row r="1453" spans="1:14" x14ac:dyDescent="0.3">
      <c r="A1453" s="692">
        <v>22</v>
      </c>
      <c r="B1453" s="84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8">
        <v>250000</v>
      </c>
      <c r="N1453" s="878" t="s">
        <v>5942</v>
      </c>
    </row>
    <row r="1454" spans="1:14" x14ac:dyDescent="0.3">
      <c r="A1454" s="692">
        <v>22</v>
      </c>
      <c r="B1454" s="84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5">
        <v>1517</v>
      </c>
      <c r="H1454" s="675" t="s">
        <v>5941</v>
      </c>
      <c r="I1454" s="676" t="s">
        <v>5957</v>
      </c>
      <c r="J1454" s="686" t="s">
        <v>5944</v>
      </c>
      <c r="K1454" s="634" t="s">
        <v>5940</v>
      </c>
      <c r="L1454" s="646"/>
      <c r="M1454" s="678">
        <v>250000</v>
      </c>
      <c r="N1454" s="879"/>
    </row>
    <row r="1455" spans="1:14" x14ac:dyDescent="0.3">
      <c r="A1455" s="692">
        <v>22</v>
      </c>
      <c r="B1455" s="84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5" t="s">
        <v>5951</v>
      </c>
      <c r="H1455" s="675" t="s">
        <v>5952</v>
      </c>
      <c r="I1455" s="676" t="s">
        <v>5953</v>
      </c>
      <c r="J1455" s="686" t="s">
        <v>5954</v>
      </c>
      <c r="K1455" s="677" t="s">
        <v>5955</v>
      </c>
      <c r="L1455" s="646"/>
      <c r="M1455" s="678">
        <f>250000*4</f>
        <v>1000000</v>
      </c>
      <c r="N1455" s="687"/>
    </row>
    <row r="1456" spans="1:14" x14ac:dyDescent="0.3">
      <c r="A1456" s="692">
        <v>22</v>
      </c>
      <c r="B1456" s="84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5">
        <v>1517</v>
      </c>
      <c r="H1456" s="675" t="s">
        <v>5941</v>
      </c>
      <c r="I1456" s="676" t="s">
        <v>5956</v>
      </c>
      <c r="J1456" s="686" t="s">
        <v>5947</v>
      </c>
      <c r="K1456" s="677" t="s">
        <v>5948</v>
      </c>
      <c r="L1456" s="646"/>
      <c r="M1456" s="678">
        <f>250000*2</f>
        <v>500000</v>
      </c>
      <c r="N1456" s="687"/>
    </row>
    <row r="1457" spans="1:14" x14ac:dyDescent="0.3">
      <c r="A1457" s="692">
        <v>22</v>
      </c>
      <c r="B1457" s="84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5">
        <v>7062</v>
      </c>
      <c r="H1457" s="675" t="s">
        <v>5945</v>
      </c>
      <c r="I1457" s="676" t="s">
        <v>5946</v>
      </c>
      <c r="J1457" s="686" t="s">
        <v>5947</v>
      </c>
      <c r="K1457" s="677" t="s">
        <v>5948</v>
      </c>
      <c r="L1457" s="646"/>
      <c r="M1457" s="678">
        <v>500000</v>
      </c>
      <c r="N1457" s="687"/>
    </row>
    <row r="1458" spans="1:14" x14ac:dyDescent="0.3">
      <c r="A1458" s="692">
        <v>22</v>
      </c>
      <c r="B1458" s="84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5" t="s">
        <v>5960</v>
      </c>
      <c r="I1458" s="676" t="s">
        <v>5962</v>
      </c>
      <c r="J1458" s="686" t="s">
        <v>5961</v>
      </c>
      <c r="K1458" s="677" t="s">
        <v>5948</v>
      </c>
      <c r="L1458" s="646"/>
      <c r="M1458" s="678">
        <v>500000</v>
      </c>
      <c r="N1458" s="688"/>
    </row>
    <row r="1459" spans="1:14" x14ac:dyDescent="0.3">
      <c r="A1459" s="692">
        <v>22</v>
      </c>
      <c r="B1459" s="84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1" t="s">
        <v>3274</v>
      </c>
      <c r="K1459" s="881" t="s">
        <v>3454</v>
      </c>
      <c r="L1459" s="646" t="s">
        <v>3265</v>
      </c>
      <c r="M1459" s="846">
        <v>250000</v>
      </c>
      <c r="N1459" s="689" t="s">
        <v>5964</v>
      </c>
    </row>
    <row r="1460" spans="1:14" x14ac:dyDescent="0.3">
      <c r="A1460" s="692">
        <v>22</v>
      </c>
      <c r="B1460" s="84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2"/>
      <c r="K1460" s="882"/>
      <c r="L1460" s="646" t="s">
        <v>3265</v>
      </c>
      <c r="M1460" s="847"/>
      <c r="N1460" s="689" t="s">
        <v>5965</v>
      </c>
    </row>
    <row r="1461" spans="1:14" x14ac:dyDescent="0.3">
      <c r="A1461" s="692">
        <v>22</v>
      </c>
      <c r="B1461" s="84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6" t="s">
        <v>5896</v>
      </c>
      <c r="L1461" s="646" t="s">
        <v>3265</v>
      </c>
      <c r="M1461" s="679">
        <v>250000</v>
      </c>
      <c r="N1461" s="689" t="s">
        <v>5967</v>
      </c>
    </row>
    <row r="1462" spans="1:14" x14ac:dyDescent="0.3">
      <c r="A1462" s="692">
        <v>22</v>
      </c>
      <c r="B1462" s="84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9">
        <v>250000</v>
      </c>
      <c r="N1462" s="689" t="s">
        <v>5973</v>
      </c>
    </row>
    <row r="1463" spans="1:14" x14ac:dyDescent="0.3">
      <c r="A1463" s="692">
        <v>22</v>
      </c>
      <c r="B1463" s="84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9">
        <v>600000</v>
      </c>
      <c r="N1463" s="689" t="s">
        <v>5968</v>
      </c>
    </row>
    <row r="1464" spans="1:14" x14ac:dyDescent="0.3">
      <c r="A1464" s="692">
        <v>22</v>
      </c>
      <c r="B1464" s="84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3" t="s">
        <v>5920</v>
      </c>
      <c r="L1464" s="646" t="s">
        <v>15</v>
      </c>
      <c r="M1464" s="846">
        <v>500000</v>
      </c>
      <c r="N1464" s="689" t="s">
        <v>5969</v>
      </c>
    </row>
    <row r="1465" spans="1:14" x14ac:dyDescent="0.3">
      <c r="A1465" s="692">
        <v>22</v>
      </c>
      <c r="B1465" s="8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4"/>
      <c r="L1465" s="646" t="s">
        <v>15</v>
      </c>
      <c r="M1465" s="847"/>
      <c r="N1465" s="689" t="s">
        <v>5970</v>
      </c>
    </row>
    <row r="1466" spans="1:14" x14ac:dyDescent="0.3">
      <c r="A1466" s="690">
        <v>23</v>
      </c>
      <c r="B1466" s="84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9" t="s">
        <v>6063</v>
      </c>
      <c r="M1466" s="678">
        <v>250000</v>
      </c>
      <c r="N1466" s="646" t="s">
        <v>5989</v>
      </c>
    </row>
    <row r="1467" spans="1:14" x14ac:dyDescent="0.3">
      <c r="A1467" s="690">
        <v>23</v>
      </c>
      <c r="B1467" s="84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9" t="s">
        <v>6063</v>
      </c>
      <c r="M1467" s="678">
        <f>250000*5</f>
        <v>1250000</v>
      </c>
      <c r="N1467" s="632"/>
    </row>
    <row r="1468" spans="1:14" x14ac:dyDescent="0.3">
      <c r="A1468" s="690">
        <v>23</v>
      </c>
      <c r="B1468" s="84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9" t="s">
        <v>6063</v>
      </c>
      <c r="M1468" s="678">
        <f>250000*2</f>
        <v>500000</v>
      </c>
      <c r="N1468" s="700"/>
    </row>
    <row r="1469" spans="1:14" ht="24" x14ac:dyDescent="0.3">
      <c r="A1469" s="690">
        <v>23</v>
      </c>
      <c r="B1469" s="84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9" t="s">
        <v>6063</v>
      </c>
      <c r="M1469" s="678">
        <f>250000*4</f>
        <v>1000000</v>
      </c>
      <c r="N1469" s="700"/>
    </row>
    <row r="1470" spans="1:14" x14ac:dyDescent="0.3">
      <c r="A1470" s="690">
        <v>23</v>
      </c>
      <c r="B1470" s="84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9" t="s">
        <v>6063</v>
      </c>
      <c r="M1470" s="678">
        <f>250000*3</f>
        <v>750000</v>
      </c>
      <c r="N1470" s="700"/>
    </row>
    <row r="1471" spans="1:14" x14ac:dyDescent="0.3">
      <c r="A1471" s="690">
        <v>23</v>
      </c>
      <c r="B1471" s="84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7" t="s">
        <v>686</v>
      </c>
      <c r="L1471" s="125" t="s">
        <v>15</v>
      </c>
      <c r="M1471" s="679">
        <v>250000</v>
      </c>
      <c r="N1471" s="646" t="s">
        <v>5989</v>
      </c>
    </row>
    <row r="1472" spans="1:14" x14ac:dyDescent="0.3">
      <c r="A1472" s="690">
        <v>23</v>
      </c>
      <c r="B1472" s="84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7" t="s">
        <v>686</v>
      </c>
      <c r="L1472" s="125" t="s">
        <v>15</v>
      </c>
      <c r="M1472" s="679">
        <v>250000</v>
      </c>
      <c r="N1472" s="646" t="s">
        <v>5989</v>
      </c>
    </row>
    <row r="1473" spans="1:14" x14ac:dyDescent="0.3">
      <c r="A1473" s="690">
        <v>23</v>
      </c>
      <c r="B1473" s="84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9">
        <v>300000</v>
      </c>
      <c r="N1473" s="646" t="s">
        <v>5989</v>
      </c>
    </row>
    <row r="1474" spans="1:14" ht="27" x14ac:dyDescent="0.3">
      <c r="A1474" s="690">
        <v>23</v>
      </c>
      <c r="B1474" s="84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57" t="s">
        <v>90</v>
      </c>
      <c r="K1474" s="857" t="s">
        <v>6007</v>
      </c>
      <c r="L1474" s="136" t="s">
        <v>15</v>
      </c>
      <c r="M1474" s="858">
        <v>250000</v>
      </c>
      <c r="N1474" s="646"/>
    </row>
    <row r="1475" spans="1:14" ht="27" x14ac:dyDescent="0.3">
      <c r="A1475" s="690">
        <v>23</v>
      </c>
      <c r="B1475" s="84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57"/>
      <c r="K1475" s="857"/>
      <c r="L1475" s="136" t="s">
        <v>15</v>
      </c>
      <c r="M1475" s="858"/>
      <c r="N1475" s="646"/>
    </row>
    <row r="1476" spans="1:14" x14ac:dyDescent="0.3">
      <c r="A1476" s="690">
        <v>23</v>
      </c>
      <c r="B1476" s="84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9">
        <v>300000</v>
      </c>
      <c r="N1476" s="646"/>
    </row>
    <row r="1477" spans="1:14" x14ac:dyDescent="0.3">
      <c r="A1477" s="690">
        <v>23</v>
      </c>
      <c r="B1477" s="84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9">
        <v>250000</v>
      </c>
      <c r="N1477" s="646"/>
    </row>
    <row r="1478" spans="1:14" x14ac:dyDescent="0.3">
      <c r="A1478" s="690">
        <v>23</v>
      </c>
      <c r="B1478" s="84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9">
        <v>250000</v>
      </c>
      <c r="N1478" s="646"/>
    </row>
    <row r="1479" spans="1:14" x14ac:dyDescent="0.3">
      <c r="A1479" s="690">
        <v>23</v>
      </c>
      <c r="B1479" s="84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9">
        <v>300000</v>
      </c>
      <c r="N1479" s="646"/>
    </row>
    <row r="1480" spans="1:14" x14ac:dyDescent="0.3">
      <c r="A1480" s="690">
        <v>23</v>
      </c>
      <c r="B1480" s="84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9">
        <v>300000</v>
      </c>
      <c r="N1480" s="646"/>
    </row>
    <row r="1481" spans="1:14" x14ac:dyDescent="0.3">
      <c r="A1481" s="690">
        <v>23</v>
      </c>
      <c r="B1481" s="84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9">
        <v>300000</v>
      </c>
      <c r="N1481" s="646"/>
    </row>
    <row r="1482" spans="1:14" x14ac:dyDescent="0.3">
      <c r="A1482" s="690">
        <v>23</v>
      </c>
      <c r="B1482" s="84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9">
        <v>800000</v>
      </c>
      <c r="N1482" s="646"/>
    </row>
    <row r="1483" spans="1:14" x14ac:dyDescent="0.3">
      <c r="A1483" s="690">
        <v>23</v>
      </c>
      <c r="B1483" s="84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9">
        <v>800000</v>
      </c>
      <c r="N1483" s="646"/>
    </row>
    <row r="1484" spans="1:14" x14ac:dyDescent="0.3">
      <c r="A1484" s="690">
        <v>23</v>
      </c>
      <c r="B1484" s="84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9">
        <v>250000</v>
      </c>
      <c r="N1484" s="646"/>
    </row>
    <row r="1485" spans="1:14" x14ac:dyDescent="0.3">
      <c r="A1485" s="690">
        <v>23</v>
      </c>
      <c r="B1485" s="84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9">
        <v>800000</v>
      </c>
      <c r="N1485" s="646"/>
    </row>
    <row r="1486" spans="1:14" x14ac:dyDescent="0.3">
      <c r="A1486" s="690">
        <v>24</v>
      </c>
      <c r="B1486" s="84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9" t="s">
        <v>209</v>
      </c>
      <c r="M1486" s="678">
        <v>250000</v>
      </c>
      <c r="N1486" s="646" t="s">
        <v>6104</v>
      </c>
    </row>
    <row r="1487" spans="1:14" ht="27" x14ac:dyDescent="0.3">
      <c r="A1487" s="690">
        <v>24</v>
      </c>
      <c r="B1487" s="84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9" t="s">
        <v>209</v>
      </c>
      <c r="M1487" s="678">
        <v>750000</v>
      </c>
      <c r="N1487" s="646"/>
    </row>
    <row r="1488" spans="1:14" x14ac:dyDescent="0.3">
      <c r="A1488" s="690">
        <v>24</v>
      </c>
      <c r="B1488" s="84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9" t="s">
        <v>209</v>
      </c>
      <c r="M1488" s="678">
        <v>500000</v>
      </c>
      <c r="N1488" s="632"/>
    </row>
    <row r="1489" spans="1:14" ht="27" x14ac:dyDescent="0.3">
      <c r="A1489" s="690">
        <v>24</v>
      </c>
      <c r="B1489" s="84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9" t="s">
        <v>209</v>
      </c>
      <c r="M1489" s="678">
        <v>500000</v>
      </c>
      <c r="N1489" s="700"/>
    </row>
    <row r="1490" spans="1:14" ht="24" x14ac:dyDescent="0.3">
      <c r="A1490" s="690">
        <v>24</v>
      </c>
      <c r="B1490" s="84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9" t="s">
        <v>209</v>
      </c>
      <c r="M1490" s="678">
        <v>250000</v>
      </c>
      <c r="N1490" s="700"/>
    </row>
    <row r="1491" spans="1:14" ht="24" x14ac:dyDescent="0.3">
      <c r="A1491" s="690">
        <v>24</v>
      </c>
      <c r="B1491" s="84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9" t="s">
        <v>209</v>
      </c>
      <c r="M1491" s="678">
        <v>500000</v>
      </c>
      <c r="N1491" s="700"/>
    </row>
    <row r="1492" spans="1:14" x14ac:dyDescent="0.3">
      <c r="A1492" s="690">
        <v>24</v>
      </c>
      <c r="B1492" s="84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9" t="s">
        <v>209</v>
      </c>
      <c r="M1492" s="678">
        <v>250000</v>
      </c>
      <c r="N1492" s="700"/>
    </row>
    <row r="1493" spans="1:14" x14ac:dyDescent="0.3">
      <c r="A1493" s="690">
        <v>24</v>
      </c>
      <c r="B1493" s="84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9">
        <v>300000</v>
      </c>
      <c r="N1493" s="646" t="s">
        <v>6104</v>
      </c>
    </row>
    <row r="1494" spans="1:14" x14ac:dyDescent="0.3">
      <c r="A1494" s="690">
        <v>24</v>
      </c>
      <c r="B1494" s="84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9">
        <v>300000</v>
      </c>
      <c r="N1494" s="646" t="s">
        <v>6104</v>
      </c>
    </row>
    <row r="1495" spans="1:14" x14ac:dyDescent="0.3">
      <c r="A1495" s="690">
        <v>24</v>
      </c>
      <c r="B1495" s="84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9">
        <v>300000</v>
      </c>
      <c r="N1495" s="646" t="s">
        <v>6104</v>
      </c>
    </row>
    <row r="1496" spans="1:14" x14ac:dyDescent="0.3">
      <c r="A1496" s="690">
        <v>24</v>
      </c>
      <c r="B1496" s="84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9">
        <v>300000</v>
      </c>
      <c r="N1496" s="646" t="s">
        <v>6104</v>
      </c>
    </row>
    <row r="1497" spans="1:14" x14ac:dyDescent="0.3">
      <c r="A1497" s="690">
        <v>24</v>
      </c>
      <c r="B1497" s="84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8" t="s">
        <v>686</v>
      </c>
      <c r="L1497" s="459" t="s">
        <v>15</v>
      </c>
      <c r="M1497" s="679">
        <v>250000</v>
      </c>
      <c r="N1497" s="646" t="s">
        <v>6104</v>
      </c>
    </row>
    <row r="1498" spans="1:14" x14ac:dyDescent="0.3">
      <c r="A1498" s="690">
        <v>24</v>
      </c>
      <c r="B1498" s="84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9">
        <v>500000</v>
      </c>
      <c r="N1498" s="646" t="s">
        <v>6141</v>
      </c>
    </row>
    <row r="1499" spans="1:14" x14ac:dyDescent="0.3">
      <c r="A1499" s="690">
        <v>24</v>
      </c>
      <c r="B1499" s="84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9" t="s">
        <v>3105</v>
      </c>
      <c r="L1499" s="125" t="s">
        <v>15</v>
      </c>
      <c r="M1499" s="679">
        <v>250000</v>
      </c>
      <c r="N1499" s="646" t="s">
        <v>128</v>
      </c>
    </row>
    <row r="1500" spans="1:14" x14ac:dyDescent="0.3">
      <c r="A1500" s="690">
        <v>24</v>
      </c>
      <c r="B1500" s="84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9">
        <v>300000</v>
      </c>
      <c r="N1500" s="646" t="s">
        <v>128</v>
      </c>
    </row>
    <row r="1501" spans="1:14" ht="27" x14ac:dyDescent="0.3">
      <c r="A1501" s="690">
        <v>24</v>
      </c>
      <c r="B1501" s="84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9">
        <v>500000</v>
      </c>
      <c r="N1501" s="646" t="s">
        <v>127</v>
      </c>
    </row>
    <row r="1502" spans="1:14" ht="27" x14ac:dyDescent="0.3">
      <c r="A1502" s="690">
        <v>24</v>
      </c>
      <c r="B1502" s="84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9">
        <v>500000</v>
      </c>
      <c r="N1502" s="646" t="s">
        <v>127</v>
      </c>
    </row>
    <row r="1503" spans="1:14" x14ac:dyDescent="0.3">
      <c r="A1503" s="690">
        <v>24</v>
      </c>
      <c r="B1503" s="84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9">
        <v>300000</v>
      </c>
      <c r="N1503" s="646" t="s">
        <v>128</v>
      </c>
    </row>
    <row r="1504" spans="1:14" ht="40.5" x14ac:dyDescent="0.3">
      <c r="A1504" s="690">
        <v>24</v>
      </c>
      <c r="B1504" s="84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3" t="s">
        <v>6096</v>
      </c>
      <c r="L1504" s="125" t="s">
        <v>15</v>
      </c>
      <c r="M1504" s="679">
        <v>500000</v>
      </c>
      <c r="N1504" s="646" t="s">
        <v>128</v>
      </c>
    </row>
    <row r="1505" spans="1:14" x14ac:dyDescent="0.3">
      <c r="A1505" s="690">
        <v>24</v>
      </c>
      <c r="B1505" s="84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9">
        <v>250000</v>
      </c>
      <c r="N1505" s="646" t="s">
        <v>127</v>
      </c>
    </row>
    <row r="1506" spans="1:14" x14ac:dyDescent="0.3">
      <c r="A1506" s="690">
        <v>24</v>
      </c>
      <c r="B1506" s="84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9" t="s">
        <v>2828</v>
      </c>
      <c r="L1506" s="125" t="s">
        <v>15</v>
      </c>
      <c r="M1506" s="679">
        <v>250000</v>
      </c>
      <c r="N1506" s="646" t="s">
        <v>1192</v>
      </c>
    </row>
    <row r="1507" spans="1:14" x14ac:dyDescent="0.3">
      <c r="A1507" s="690">
        <v>24</v>
      </c>
      <c r="B1507" s="84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9">
        <v>300000</v>
      </c>
      <c r="N1507" s="646" t="s">
        <v>128</v>
      </c>
    </row>
    <row r="1508" spans="1:14" x14ac:dyDescent="0.3">
      <c r="A1508" s="690">
        <v>24</v>
      </c>
      <c r="B1508" s="84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9">
        <v>300000</v>
      </c>
      <c r="N1508" s="646" t="s">
        <v>128</v>
      </c>
    </row>
    <row r="1509" spans="1:14" x14ac:dyDescent="0.3">
      <c r="A1509" s="690">
        <v>25</v>
      </c>
      <c r="B1509" s="854" t="s">
        <v>20</v>
      </c>
      <c r="C1509" s="640">
        <v>46189</v>
      </c>
      <c r="D1509" s="722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9"/>
      <c r="M1509" s="678">
        <v>250000</v>
      </c>
      <c r="N1509" s="689" t="s">
        <v>6226</v>
      </c>
    </row>
    <row r="1510" spans="1:14" x14ac:dyDescent="0.3">
      <c r="A1510" s="690">
        <v>25</v>
      </c>
      <c r="B1510" s="855"/>
      <c r="C1510" s="640">
        <v>46192</v>
      </c>
      <c r="D1510" s="722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9"/>
      <c r="M1510" s="678">
        <v>250000</v>
      </c>
      <c r="N1510" s="689" t="s">
        <v>6226</v>
      </c>
    </row>
    <row r="1511" spans="1:14" x14ac:dyDescent="0.3">
      <c r="A1511" s="690">
        <v>25</v>
      </c>
      <c r="B1511" s="855"/>
      <c r="C1511" s="640">
        <v>46193</v>
      </c>
      <c r="D1511" s="722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9"/>
      <c r="M1511" s="678">
        <v>250000</v>
      </c>
      <c r="N1511" s="689" t="s">
        <v>6226</v>
      </c>
    </row>
    <row r="1512" spans="1:14" ht="24" x14ac:dyDescent="0.3">
      <c r="A1512" s="690">
        <v>25</v>
      </c>
      <c r="B1512" s="855"/>
      <c r="C1512" s="656" t="s">
        <v>6249</v>
      </c>
      <c r="D1512" s="722" t="s">
        <v>585</v>
      </c>
      <c r="E1512" s="632" t="s">
        <v>298</v>
      </c>
      <c r="F1512" s="633" t="s">
        <v>5254</v>
      </c>
      <c r="G1512" s="726" t="s">
        <v>6250</v>
      </c>
      <c r="H1512" s="723" t="s">
        <v>34</v>
      </c>
      <c r="I1512" s="724" t="s">
        <v>6251</v>
      </c>
      <c r="J1512" s="633" t="s">
        <v>3661</v>
      </c>
      <c r="K1512" s="634" t="s">
        <v>3035</v>
      </c>
      <c r="L1512" s="699"/>
      <c r="M1512" s="678">
        <f>250000*5</f>
        <v>1250000</v>
      </c>
      <c r="N1512" s="689"/>
    </row>
    <row r="1513" spans="1:14" ht="24" x14ac:dyDescent="0.3">
      <c r="A1513" s="690">
        <v>25</v>
      </c>
      <c r="B1513" s="85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5" t="s">
        <v>6135</v>
      </c>
      <c r="H1513" s="675" t="s">
        <v>1172</v>
      </c>
      <c r="I1513" s="676" t="s">
        <v>1105</v>
      </c>
      <c r="J1513" s="633" t="s">
        <v>1259</v>
      </c>
      <c r="K1513" s="634" t="s">
        <v>3004</v>
      </c>
      <c r="L1513" s="699"/>
      <c r="M1513" s="678">
        <v>750000</v>
      </c>
      <c r="N1513" s="687"/>
    </row>
    <row r="1514" spans="1:14" ht="24" x14ac:dyDescent="0.3">
      <c r="A1514" s="690">
        <v>25</v>
      </c>
      <c r="B1514" s="85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5" t="s">
        <v>5754</v>
      </c>
      <c r="H1514" s="675" t="s">
        <v>18</v>
      </c>
      <c r="I1514" s="676" t="s">
        <v>6252</v>
      </c>
      <c r="J1514" s="686" t="s">
        <v>812</v>
      </c>
      <c r="K1514" s="677" t="s">
        <v>3004</v>
      </c>
      <c r="L1514" s="699"/>
      <c r="M1514" s="678">
        <v>750000</v>
      </c>
      <c r="N1514" s="687"/>
    </row>
    <row r="1515" spans="1:14" ht="24" x14ac:dyDescent="0.3">
      <c r="A1515" s="690">
        <v>25</v>
      </c>
      <c r="B1515" s="85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6" t="s">
        <v>641</v>
      </c>
      <c r="L1515" s="632" t="s">
        <v>15</v>
      </c>
      <c r="M1515" s="730">
        <v>500000</v>
      </c>
      <c r="N1515" s="689" t="s">
        <v>582</v>
      </c>
    </row>
    <row r="1516" spans="1:14" x14ac:dyDescent="0.3">
      <c r="A1516" s="690">
        <v>25</v>
      </c>
      <c r="B1516" s="85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0">
        <v>300000</v>
      </c>
      <c r="N1516" s="689" t="s">
        <v>807</v>
      </c>
    </row>
    <row r="1517" spans="1:14" ht="24" x14ac:dyDescent="0.3">
      <c r="A1517" s="690">
        <v>25</v>
      </c>
      <c r="B1517" s="85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0">
        <v>500000</v>
      </c>
      <c r="N1517" s="689" t="s">
        <v>582</v>
      </c>
    </row>
    <row r="1518" spans="1:14" x14ac:dyDescent="0.3">
      <c r="A1518" s="690">
        <v>25</v>
      </c>
      <c r="B1518" s="85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9">
        <v>300000</v>
      </c>
      <c r="N1518" s="689" t="s">
        <v>807</v>
      </c>
    </row>
    <row r="1519" spans="1:14" ht="24" x14ac:dyDescent="0.3">
      <c r="A1519" s="690">
        <v>25</v>
      </c>
      <c r="B1519" s="855"/>
      <c r="C1519" s="727">
        <v>46197</v>
      </c>
      <c r="D1519" s="632" t="s">
        <v>21</v>
      </c>
      <c r="E1519" s="632" t="s">
        <v>14</v>
      </c>
      <c r="F1519" s="728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4" t="s">
        <v>487</v>
      </c>
      <c r="L1519" s="632" t="s">
        <v>15</v>
      </c>
      <c r="M1519" s="679">
        <v>500000</v>
      </c>
      <c r="N1519" s="689" t="s">
        <v>807</v>
      </c>
    </row>
    <row r="1520" spans="1:14" x14ac:dyDescent="0.3">
      <c r="A1520" s="690">
        <v>25</v>
      </c>
      <c r="B1520" s="855"/>
      <c r="C1520" s="727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9">
        <v>300000</v>
      </c>
      <c r="N1520" s="689"/>
    </row>
    <row r="1521" spans="1:14" x14ac:dyDescent="0.3">
      <c r="A1521" s="690">
        <v>25</v>
      </c>
      <c r="B1521" s="855"/>
      <c r="C1521" s="727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9">
        <v>300000</v>
      </c>
      <c r="N1521" s="689"/>
    </row>
    <row r="1522" spans="1:14" ht="24" x14ac:dyDescent="0.3">
      <c r="A1522" s="690">
        <v>25</v>
      </c>
      <c r="B1522" s="855"/>
      <c r="C1522" s="727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4" t="s">
        <v>6096</v>
      </c>
      <c r="L1522" s="632" t="s">
        <v>15</v>
      </c>
      <c r="M1522" s="679">
        <v>500000</v>
      </c>
      <c r="N1522" s="689"/>
    </row>
    <row r="1523" spans="1:14" x14ac:dyDescent="0.3">
      <c r="A1523" s="690">
        <v>25</v>
      </c>
      <c r="B1523" s="855"/>
      <c r="C1523" s="727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9">
        <v>300000</v>
      </c>
      <c r="N1523" s="689"/>
    </row>
    <row r="1524" spans="1:14" x14ac:dyDescent="0.3">
      <c r="A1524" s="690">
        <v>25</v>
      </c>
      <c r="B1524" s="855"/>
      <c r="C1524" s="727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9">
        <v>500000</v>
      </c>
      <c r="N1524" s="689"/>
    </row>
    <row r="1525" spans="1:14" x14ac:dyDescent="0.3">
      <c r="A1525" s="690">
        <v>25</v>
      </c>
      <c r="B1525" s="855"/>
      <c r="C1525" s="727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5" t="s">
        <v>2838</v>
      </c>
      <c r="L1525" s="632" t="s">
        <v>15</v>
      </c>
      <c r="M1525" s="679">
        <v>500000</v>
      </c>
      <c r="N1525" s="689"/>
    </row>
    <row r="1526" spans="1:14" x14ac:dyDescent="0.3">
      <c r="A1526" s="690">
        <v>25</v>
      </c>
      <c r="B1526" s="855"/>
      <c r="C1526" s="729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9">
        <v>300000</v>
      </c>
      <c r="N1526" s="689"/>
    </row>
    <row r="1527" spans="1:14" x14ac:dyDescent="0.3">
      <c r="A1527" s="690">
        <v>26</v>
      </c>
      <c r="B1527" s="854" t="s">
        <v>20</v>
      </c>
      <c r="C1527" s="640">
        <v>46200</v>
      </c>
      <c r="D1527" s="722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6" t="s">
        <v>3454</v>
      </c>
      <c r="L1527" s="699" t="s">
        <v>5610</v>
      </c>
      <c r="M1527" s="678">
        <v>250000</v>
      </c>
      <c r="N1527" s="689" t="s">
        <v>6314</v>
      </c>
    </row>
    <row r="1528" spans="1:14" ht="24" x14ac:dyDescent="0.3">
      <c r="A1528" s="690">
        <v>26</v>
      </c>
      <c r="B1528" s="855"/>
      <c r="C1528" s="640" t="s">
        <v>6318</v>
      </c>
      <c r="D1528" s="722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6" t="s">
        <v>3828</v>
      </c>
      <c r="L1528" s="699" t="s">
        <v>5610</v>
      </c>
      <c r="M1528" s="678">
        <f>250000*3</f>
        <v>750000</v>
      </c>
      <c r="N1528" s="689"/>
    </row>
    <row r="1529" spans="1:14" ht="24" x14ac:dyDescent="0.3">
      <c r="A1529" s="690">
        <v>26</v>
      </c>
      <c r="B1529" s="855"/>
      <c r="C1529" s="640" t="s">
        <v>6318</v>
      </c>
      <c r="D1529" s="722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6" t="s">
        <v>3828</v>
      </c>
      <c r="L1529" s="699" t="s">
        <v>5610</v>
      </c>
      <c r="M1529" s="678">
        <f>250000*3</f>
        <v>750000</v>
      </c>
      <c r="N1529" s="689"/>
    </row>
    <row r="1530" spans="1:14" ht="24" x14ac:dyDescent="0.3">
      <c r="A1530" s="690">
        <v>26</v>
      </c>
      <c r="B1530" s="855"/>
      <c r="C1530" s="640" t="s">
        <v>6320</v>
      </c>
      <c r="D1530" s="722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9" t="s">
        <v>5610</v>
      </c>
      <c r="M1530" s="678">
        <v>250000</v>
      </c>
      <c r="N1530" s="689"/>
    </row>
    <row r="1531" spans="1:14" ht="24" x14ac:dyDescent="0.3">
      <c r="A1531" s="690">
        <v>26</v>
      </c>
      <c r="B1531" s="855"/>
      <c r="C1531" s="640" t="s">
        <v>6320</v>
      </c>
      <c r="D1531" s="722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9" t="s">
        <v>5610</v>
      </c>
      <c r="M1531" s="678">
        <f>250000*4</f>
        <v>1000000</v>
      </c>
      <c r="N1531" s="689"/>
    </row>
    <row r="1532" spans="1:14" ht="24" x14ac:dyDescent="0.3">
      <c r="A1532" s="690">
        <v>26</v>
      </c>
      <c r="B1532" s="855"/>
      <c r="C1532" s="656" t="s">
        <v>6322</v>
      </c>
      <c r="D1532" s="722" t="s">
        <v>19</v>
      </c>
      <c r="E1532" s="632" t="s">
        <v>25</v>
      </c>
      <c r="F1532" s="633" t="s">
        <v>5838</v>
      </c>
      <c r="G1532" s="675" t="s">
        <v>6250</v>
      </c>
      <c r="H1532" s="675" t="s">
        <v>6323</v>
      </c>
      <c r="I1532" s="676" t="s">
        <v>3876</v>
      </c>
      <c r="J1532" s="633" t="s">
        <v>5944</v>
      </c>
      <c r="K1532" s="736" t="s">
        <v>3702</v>
      </c>
      <c r="L1532" s="699" t="s">
        <v>5610</v>
      </c>
      <c r="M1532" s="678">
        <f>250000*2</f>
        <v>500000</v>
      </c>
      <c r="N1532" s="687"/>
    </row>
    <row r="1533" spans="1:14" x14ac:dyDescent="0.3">
      <c r="A1533" s="690">
        <v>26</v>
      </c>
      <c r="B1533" s="84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4" t="s">
        <v>684</v>
      </c>
      <c r="L1533" s="136" t="s">
        <v>15</v>
      </c>
      <c r="M1533" s="730">
        <v>500000</v>
      </c>
      <c r="N1533" s="689" t="s">
        <v>6314</v>
      </c>
    </row>
    <row r="1534" spans="1:14" x14ac:dyDescent="0.3">
      <c r="A1534" s="690">
        <v>26</v>
      </c>
      <c r="B1534" s="84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0">
        <v>300000</v>
      </c>
      <c r="N1534" s="689" t="s">
        <v>807</v>
      </c>
    </row>
    <row r="1535" spans="1:14" x14ac:dyDescent="0.3">
      <c r="A1535" s="690">
        <v>26</v>
      </c>
      <c r="B1535" s="84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0">
        <v>300000</v>
      </c>
      <c r="N1535" s="689" t="s">
        <v>807</v>
      </c>
    </row>
    <row r="1536" spans="1:14" x14ac:dyDescent="0.3">
      <c r="A1536" s="690">
        <v>26</v>
      </c>
      <c r="B1536" s="84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0">
        <v>500000</v>
      </c>
      <c r="N1536" s="689" t="s">
        <v>807</v>
      </c>
    </row>
    <row r="1537" spans="1:14" x14ac:dyDescent="0.3">
      <c r="A1537" s="690">
        <v>26</v>
      </c>
      <c r="B1537" s="84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9">
        <v>500000</v>
      </c>
      <c r="N1537" s="689" t="s">
        <v>807</v>
      </c>
    </row>
    <row r="1538" spans="1:14" x14ac:dyDescent="0.3">
      <c r="A1538" s="690">
        <v>26</v>
      </c>
      <c r="B1538" s="84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9">
        <v>300000</v>
      </c>
      <c r="N1538" s="689" t="s">
        <v>807</v>
      </c>
    </row>
    <row r="1539" spans="1:14" x14ac:dyDescent="0.3">
      <c r="A1539" s="690">
        <v>26</v>
      </c>
      <c r="B1539" s="84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4" t="s">
        <v>3454</v>
      </c>
      <c r="L1539" s="136" t="s">
        <v>15</v>
      </c>
      <c r="M1539" s="679">
        <v>250000</v>
      </c>
      <c r="N1539" s="689" t="s">
        <v>807</v>
      </c>
    </row>
    <row r="1540" spans="1:14" x14ac:dyDescent="0.3">
      <c r="A1540" s="690">
        <v>26</v>
      </c>
      <c r="B1540" s="84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4" t="s">
        <v>2828</v>
      </c>
      <c r="L1540" s="136" t="s">
        <v>15</v>
      </c>
      <c r="M1540" s="679">
        <v>250000</v>
      </c>
      <c r="N1540" s="689" t="s">
        <v>807</v>
      </c>
    </row>
    <row r="1541" spans="1:14" x14ac:dyDescent="0.3">
      <c r="A1541" s="692">
        <v>27</v>
      </c>
      <c r="B1541" s="843" t="s">
        <v>20</v>
      </c>
      <c r="C1541" s="640">
        <v>46207</v>
      </c>
      <c r="D1541" s="722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9" t="s">
        <v>6431</v>
      </c>
      <c r="M1541" s="678">
        <v>250000</v>
      </c>
      <c r="N1541" s="689" t="s">
        <v>6423</v>
      </c>
    </row>
    <row r="1542" spans="1:14" x14ac:dyDescent="0.3">
      <c r="A1542" s="692">
        <v>27</v>
      </c>
      <c r="B1542" s="843"/>
      <c r="C1542" s="640" t="s">
        <v>6443</v>
      </c>
      <c r="D1542" s="722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9" t="s">
        <v>6431</v>
      </c>
      <c r="M1542" s="678">
        <f>250000*2</f>
        <v>500000</v>
      </c>
      <c r="N1542" s="689"/>
    </row>
    <row r="1543" spans="1:14" x14ac:dyDescent="0.3">
      <c r="A1543" s="692">
        <v>27</v>
      </c>
      <c r="B1543" s="843"/>
      <c r="C1543" s="640" t="s">
        <v>6452</v>
      </c>
      <c r="D1543" s="722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9" t="s">
        <v>6431</v>
      </c>
      <c r="M1543" s="678">
        <f>250000*3</f>
        <v>750000</v>
      </c>
      <c r="N1543" s="689"/>
    </row>
    <row r="1544" spans="1:14" x14ac:dyDescent="0.3">
      <c r="A1544" s="692">
        <v>27</v>
      </c>
      <c r="B1544" s="843"/>
      <c r="C1544" s="640" t="s">
        <v>6452</v>
      </c>
      <c r="D1544" s="722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6" t="s">
        <v>6451</v>
      </c>
      <c r="L1544" s="699" t="s">
        <v>6431</v>
      </c>
      <c r="M1544" s="678">
        <f>250000*3</f>
        <v>750000</v>
      </c>
      <c r="N1544" s="689"/>
    </row>
    <row r="1545" spans="1:14" x14ac:dyDescent="0.3">
      <c r="A1545" s="692">
        <v>27</v>
      </c>
      <c r="B1545" s="843"/>
      <c r="C1545" s="640" t="s">
        <v>6443</v>
      </c>
      <c r="D1545" s="722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6" t="s">
        <v>6455</v>
      </c>
      <c r="L1545" s="699" t="s">
        <v>6431</v>
      </c>
      <c r="M1545" s="678">
        <f>250000*2</f>
        <v>500000</v>
      </c>
      <c r="N1545" s="689"/>
    </row>
    <row r="1546" spans="1:14" x14ac:dyDescent="0.3">
      <c r="A1546" s="692">
        <v>27</v>
      </c>
      <c r="B1546" s="843"/>
      <c r="C1546" s="656" t="s">
        <v>6452</v>
      </c>
      <c r="D1546" s="722" t="s">
        <v>6424</v>
      </c>
      <c r="E1546" s="632" t="s">
        <v>6425</v>
      </c>
      <c r="F1546" s="633" t="s">
        <v>6426</v>
      </c>
      <c r="G1546" s="675" t="s">
        <v>6440</v>
      </c>
      <c r="H1546" s="675" t="s">
        <v>6441</v>
      </c>
      <c r="I1546" s="676" t="s">
        <v>6457</v>
      </c>
      <c r="J1546" s="633" t="s">
        <v>6429</v>
      </c>
      <c r="K1546" s="736" t="s">
        <v>6451</v>
      </c>
      <c r="L1546" s="699" t="s">
        <v>6431</v>
      </c>
      <c r="M1546" s="678">
        <f>250000*3</f>
        <v>750000</v>
      </c>
      <c r="N1546" s="687"/>
    </row>
    <row r="1547" spans="1:14" x14ac:dyDescent="0.3">
      <c r="A1547" s="692">
        <v>27</v>
      </c>
      <c r="B1547" s="84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0">
        <v>300000</v>
      </c>
      <c r="N1547" s="689" t="s">
        <v>6435</v>
      </c>
    </row>
    <row r="1548" spans="1:14" x14ac:dyDescent="0.3">
      <c r="A1548" s="692">
        <v>27</v>
      </c>
      <c r="B1548" s="84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6" t="s">
        <v>6348</v>
      </c>
      <c r="L1548" s="646" t="s">
        <v>6349</v>
      </c>
      <c r="M1548" s="730">
        <v>250000</v>
      </c>
      <c r="N1548" s="689" t="s">
        <v>6423</v>
      </c>
    </row>
    <row r="1549" spans="1:14" x14ac:dyDescent="0.3">
      <c r="A1549" s="692">
        <v>27</v>
      </c>
      <c r="B1549" s="84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0">
        <v>250000</v>
      </c>
      <c r="N1549" s="689" t="s">
        <v>6437</v>
      </c>
    </row>
    <row r="1550" spans="1:14" x14ac:dyDescent="0.3">
      <c r="A1550" s="692">
        <v>27</v>
      </c>
      <c r="B1550" s="84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1" t="s">
        <v>6347</v>
      </c>
      <c r="K1550" s="632" t="s">
        <v>6410</v>
      </c>
      <c r="L1550" s="632" t="s">
        <v>6349</v>
      </c>
      <c r="M1550" s="753">
        <v>250000</v>
      </c>
      <c r="N1550" s="689" t="s">
        <v>6437</v>
      </c>
    </row>
    <row r="1551" spans="1:14" x14ac:dyDescent="0.3">
      <c r="A1551" s="692">
        <v>27</v>
      </c>
      <c r="B1551" s="84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1"/>
      <c r="K1551" s="632" t="s">
        <v>6413</v>
      </c>
      <c r="L1551" s="632" t="s">
        <v>6349</v>
      </c>
      <c r="M1551" s="753">
        <v>500000</v>
      </c>
      <c r="N1551" s="689" t="s">
        <v>6437</v>
      </c>
    </row>
    <row r="1552" spans="1:14" x14ac:dyDescent="0.3">
      <c r="A1552" s="692">
        <v>27</v>
      </c>
      <c r="B1552" s="84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9">
        <v>300000</v>
      </c>
      <c r="N1552" s="689" t="s">
        <v>6438</v>
      </c>
    </row>
    <row r="1553" spans="1:14" x14ac:dyDescent="0.3">
      <c r="A1553" s="692">
        <v>27</v>
      </c>
      <c r="B1553" s="84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1" t="s">
        <v>6347</v>
      </c>
      <c r="K1553" s="861" t="s">
        <v>6410</v>
      </c>
      <c r="L1553" s="632" t="s">
        <v>6349</v>
      </c>
      <c r="M1553" s="846">
        <v>250000</v>
      </c>
      <c r="N1553" s="689" t="s">
        <v>6437</v>
      </c>
    </row>
    <row r="1554" spans="1:14" x14ac:dyDescent="0.3">
      <c r="A1554" s="692">
        <v>27</v>
      </c>
      <c r="B1554" s="84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1" t="s">
        <v>6347</v>
      </c>
      <c r="K1554" s="862"/>
      <c r="L1554" s="632" t="s">
        <v>15</v>
      </c>
      <c r="M1554" s="847"/>
      <c r="N1554" s="689" t="s">
        <v>6438</v>
      </c>
    </row>
    <row r="1555" spans="1:14" x14ac:dyDescent="0.3">
      <c r="A1555" s="692">
        <v>27</v>
      </c>
      <c r="B1555" s="84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3" t="s">
        <v>6348</v>
      </c>
      <c r="L1555" s="632" t="s">
        <v>6349</v>
      </c>
      <c r="M1555" s="679">
        <v>250000</v>
      </c>
      <c r="N1555" s="689" t="s">
        <v>6438</v>
      </c>
    </row>
    <row r="1556" spans="1:14" x14ac:dyDescent="0.3">
      <c r="A1556" s="692">
        <v>27</v>
      </c>
      <c r="B1556" s="84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9">
        <v>300000</v>
      </c>
      <c r="N1556" s="689" t="s">
        <v>6436</v>
      </c>
    </row>
    <row r="1557" spans="1:14" x14ac:dyDescent="0.3">
      <c r="A1557" s="690">
        <v>28</v>
      </c>
      <c r="B1557" s="854" t="s">
        <v>20</v>
      </c>
      <c r="C1557" s="640">
        <v>46214</v>
      </c>
      <c r="D1557" s="722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6" t="s">
        <v>6525</v>
      </c>
      <c r="L1557" s="699" t="s">
        <v>6526</v>
      </c>
      <c r="M1557" s="678">
        <v>250000</v>
      </c>
      <c r="N1557" s="689" t="s">
        <v>6521</v>
      </c>
    </row>
    <row r="1558" spans="1:14" x14ac:dyDescent="0.3">
      <c r="A1558" s="690">
        <v>28</v>
      </c>
      <c r="B1558" s="855"/>
      <c r="C1558" s="640">
        <v>46216</v>
      </c>
      <c r="D1558" s="722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6" t="s">
        <v>2828</v>
      </c>
      <c r="L1558" s="699" t="s">
        <v>6526</v>
      </c>
      <c r="M1558" s="678">
        <f>250000*2</f>
        <v>500000</v>
      </c>
      <c r="N1558" s="689"/>
    </row>
    <row r="1559" spans="1:14" ht="24" x14ac:dyDescent="0.3">
      <c r="A1559" s="690">
        <v>28</v>
      </c>
      <c r="B1559" s="855"/>
      <c r="C1559" s="640" t="s">
        <v>6554</v>
      </c>
      <c r="D1559" s="722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6" t="s">
        <v>3004</v>
      </c>
      <c r="L1559" s="699" t="s">
        <v>6526</v>
      </c>
      <c r="M1559" s="678">
        <f>250000*3</f>
        <v>750000</v>
      </c>
      <c r="N1559" s="689"/>
    </row>
    <row r="1560" spans="1:14" ht="24" x14ac:dyDescent="0.3">
      <c r="A1560" s="690">
        <v>28</v>
      </c>
      <c r="B1560" s="855"/>
      <c r="C1560" s="640" t="s">
        <v>6555</v>
      </c>
      <c r="D1560" s="722" t="s">
        <v>6522</v>
      </c>
      <c r="E1560" s="632" t="s">
        <v>1638</v>
      </c>
      <c r="F1560" s="633" t="s">
        <v>6523</v>
      </c>
      <c r="G1560" s="675" t="s">
        <v>6250</v>
      </c>
      <c r="H1560" s="675" t="s">
        <v>6323</v>
      </c>
      <c r="I1560" s="634" t="s">
        <v>378</v>
      </c>
      <c r="J1560" s="633" t="s">
        <v>737</v>
      </c>
      <c r="K1560" s="634" t="s">
        <v>5852</v>
      </c>
      <c r="L1560" s="699" t="s">
        <v>6526</v>
      </c>
      <c r="M1560" s="678">
        <f>250000*2</f>
        <v>500000</v>
      </c>
      <c r="N1560" s="687"/>
    </row>
    <row r="1561" spans="1:14" x14ac:dyDescent="0.3">
      <c r="A1561" s="690">
        <v>28</v>
      </c>
      <c r="B1561" s="85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0">
        <v>250000</v>
      </c>
      <c r="N1561" s="689" t="s">
        <v>6521</v>
      </c>
    </row>
    <row r="1562" spans="1:14" x14ac:dyDescent="0.3">
      <c r="A1562" s="690">
        <v>28</v>
      </c>
      <c r="B1562" s="85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4" t="s">
        <v>2828</v>
      </c>
      <c r="L1562" s="136" t="s">
        <v>15</v>
      </c>
      <c r="M1562" s="730">
        <v>250000</v>
      </c>
      <c r="N1562" s="689" t="s">
        <v>6521</v>
      </c>
    </row>
    <row r="1563" spans="1:14" ht="27" x14ac:dyDescent="0.3">
      <c r="A1563" s="690">
        <v>28</v>
      </c>
      <c r="B1563" s="85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4" t="s">
        <v>686</v>
      </c>
      <c r="L1563" s="125" t="s">
        <v>15</v>
      </c>
      <c r="M1563" s="846">
        <v>250000</v>
      </c>
      <c r="N1563" s="689" t="s">
        <v>393</v>
      </c>
    </row>
    <row r="1564" spans="1:14" x14ac:dyDescent="0.3">
      <c r="A1564" s="690">
        <v>28</v>
      </c>
      <c r="B1564" s="85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59"/>
      <c r="L1564" s="125" t="s">
        <v>15</v>
      </c>
      <c r="M1564" s="860"/>
      <c r="N1564" s="689" t="s">
        <v>128</v>
      </c>
    </row>
    <row r="1565" spans="1:14" ht="27" x14ac:dyDescent="0.3">
      <c r="A1565" s="690">
        <v>28</v>
      </c>
      <c r="B1565" s="85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5"/>
      <c r="L1565" s="125" t="s">
        <v>15</v>
      </c>
      <c r="M1565" s="847"/>
      <c r="N1565" s="689" t="s">
        <v>393</v>
      </c>
    </row>
    <row r="1566" spans="1:14" x14ac:dyDescent="0.3">
      <c r="A1566" s="690">
        <v>28</v>
      </c>
      <c r="B1566" s="85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3">
        <v>300000</v>
      </c>
      <c r="N1566" s="689" t="s">
        <v>128</v>
      </c>
    </row>
    <row r="1567" spans="1:14" x14ac:dyDescent="0.3">
      <c r="A1567" s="690">
        <v>28</v>
      </c>
      <c r="B1567" s="85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0">
        <v>300000</v>
      </c>
      <c r="N1567" s="689" t="s">
        <v>128</v>
      </c>
    </row>
    <row r="1568" spans="1:14" x14ac:dyDescent="0.3">
      <c r="A1568" s="690">
        <v>28</v>
      </c>
      <c r="B1568" s="85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0">
        <v>300000</v>
      </c>
      <c r="N1568" s="689" t="s">
        <v>128</v>
      </c>
    </row>
    <row r="1569" spans="1:14" x14ac:dyDescent="0.3">
      <c r="A1569" s="690">
        <v>28</v>
      </c>
      <c r="B1569" s="85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7" t="s">
        <v>2828</v>
      </c>
      <c r="L1569" s="125" t="s">
        <v>15</v>
      </c>
      <c r="M1569" s="679">
        <v>250000</v>
      </c>
      <c r="N1569" s="689" t="s">
        <v>6530</v>
      </c>
    </row>
    <row r="1570" spans="1:14" x14ac:dyDescent="0.3">
      <c r="A1570" s="690">
        <v>29</v>
      </c>
      <c r="B1570" s="754" t="s">
        <v>20</v>
      </c>
      <c r="C1570" s="640" t="s">
        <v>6607</v>
      </c>
      <c r="D1570" s="722" t="s">
        <v>19</v>
      </c>
      <c r="E1570" s="632" t="s">
        <v>25</v>
      </c>
      <c r="F1570" s="633" t="s">
        <v>5254</v>
      </c>
      <c r="G1570" s="767" t="s">
        <v>6250</v>
      </c>
      <c r="H1570" s="767" t="s">
        <v>6323</v>
      </c>
      <c r="I1570" s="634" t="s">
        <v>6609</v>
      </c>
      <c r="J1570" s="633" t="s">
        <v>168</v>
      </c>
      <c r="K1570" s="736" t="s">
        <v>6610</v>
      </c>
      <c r="L1570" s="699" t="s">
        <v>209</v>
      </c>
      <c r="M1570" s="678">
        <f>250000*4</f>
        <v>1000000</v>
      </c>
      <c r="N1570" s="646"/>
    </row>
    <row r="1571" spans="1:14" x14ac:dyDescent="0.3">
      <c r="A1571" s="690">
        <v>29</v>
      </c>
      <c r="B1571" s="84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4" t="s">
        <v>1113</v>
      </c>
      <c r="L1571" s="125" t="s">
        <v>15</v>
      </c>
      <c r="M1571" s="846">
        <v>750000</v>
      </c>
      <c r="N1571" s="850" t="s">
        <v>6608</v>
      </c>
    </row>
    <row r="1572" spans="1:14" x14ac:dyDescent="0.3">
      <c r="A1572" s="690">
        <v>29</v>
      </c>
      <c r="B1572" s="84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5"/>
      <c r="L1572" s="125" t="s">
        <v>15</v>
      </c>
      <c r="M1572" s="847"/>
      <c r="N1572" s="851"/>
    </row>
    <row r="1573" spans="1:14" ht="27" x14ac:dyDescent="0.3">
      <c r="A1573" s="690">
        <v>29</v>
      </c>
      <c r="B1573" s="84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0">
        <v>250000</v>
      </c>
      <c r="N1573" s="646" t="s">
        <v>6612</v>
      </c>
    </row>
    <row r="1574" spans="1:14" ht="27" x14ac:dyDescent="0.3">
      <c r="A1574" s="690">
        <v>29</v>
      </c>
      <c r="B1574" s="84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3">
        <v>250000</v>
      </c>
      <c r="N1574" s="646" t="s">
        <v>6613</v>
      </c>
    </row>
    <row r="1575" spans="1:14" x14ac:dyDescent="0.3">
      <c r="A1575" s="690">
        <v>29</v>
      </c>
      <c r="B1575" s="84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3">
        <v>500000</v>
      </c>
      <c r="N1575" s="646" t="s">
        <v>6614</v>
      </c>
    </row>
    <row r="1576" spans="1:14" ht="27" x14ac:dyDescent="0.3">
      <c r="A1576" s="690">
        <v>29</v>
      </c>
      <c r="B1576" s="84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2" t="s">
        <v>41</v>
      </c>
      <c r="L1576" s="136" t="s">
        <v>15</v>
      </c>
      <c r="M1576" s="846">
        <v>250000</v>
      </c>
      <c r="N1576" s="646" t="s">
        <v>6615</v>
      </c>
    </row>
    <row r="1577" spans="1:14" x14ac:dyDescent="0.3">
      <c r="A1577" s="690">
        <v>29</v>
      </c>
      <c r="B1577" s="84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3"/>
      <c r="L1577" s="136" t="s">
        <v>15</v>
      </c>
      <c r="M1577" s="847"/>
      <c r="N1577" s="646" t="s">
        <v>6616</v>
      </c>
    </row>
    <row r="1578" spans="1:14" x14ac:dyDescent="0.3">
      <c r="A1578" s="690">
        <v>29</v>
      </c>
      <c r="B1578" s="84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0">
        <v>300000</v>
      </c>
      <c r="N1578" s="646" t="s">
        <v>6617</v>
      </c>
    </row>
    <row r="1579" spans="1:14" x14ac:dyDescent="0.3">
      <c r="A1579" s="690">
        <v>29</v>
      </c>
      <c r="B1579" s="84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9" t="s">
        <v>2828</v>
      </c>
      <c r="L1579" s="136" t="s">
        <v>15</v>
      </c>
      <c r="M1579" s="730">
        <v>250000</v>
      </c>
      <c r="N1579" s="646" t="s">
        <v>6611</v>
      </c>
    </row>
    <row r="1580" spans="1:14" x14ac:dyDescent="0.3">
      <c r="A1580" s="690">
        <v>29</v>
      </c>
      <c r="B1580" s="84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0">
        <v>250000</v>
      </c>
      <c r="N1580" s="646" t="s">
        <v>6619</v>
      </c>
    </row>
    <row r="1581" spans="1:14" x14ac:dyDescent="0.3">
      <c r="A1581" s="690">
        <v>29</v>
      </c>
      <c r="B1581" s="84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4" t="s">
        <v>686</v>
      </c>
      <c r="L1581" s="125" t="s">
        <v>15</v>
      </c>
      <c r="M1581" s="846">
        <v>250000</v>
      </c>
      <c r="N1581" s="646" t="s">
        <v>6737</v>
      </c>
    </row>
    <row r="1582" spans="1:14" x14ac:dyDescent="0.3">
      <c r="A1582" s="690">
        <v>29</v>
      </c>
      <c r="B1582" s="84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5"/>
      <c r="L1582" s="125" t="s">
        <v>15</v>
      </c>
      <c r="M1582" s="847"/>
      <c r="N1582" s="646" t="s">
        <v>6620</v>
      </c>
    </row>
    <row r="1583" spans="1:14" x14ac:dyDescent="0.3">
      <c r="A1583" s="690">
        <v>29</v>
      </c>
      <c r="B1583" s="84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4" t="s">
        <v>686</v>
      </c>
      <c r="L1583" s="125" t="s">
        <v>15</v>
      </c>
      <c r="M1583" s="846">
        <v>250000</v>
      </c>
      <c r="N1583" s="646" t="s">
        <v>6737</v>
      </c>
    </row>
    <row r="1584" spans="1:14" x14ac:dyDescent="0.3">
      <c r="A1584" s="690">
        <v>29</v>
      </c>
      <c r="B1584" s="84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5"/>
      <c r="L1584" s="125" t="s">
        <v>15</v>
      </c>
      <c r="M1584" s="847"/>
      <c r="N1584" s="646" t="s">
        <v>6621</v>
      </c>
    </row>
    <row r="1585" spans="1:14" x14ac:dyDescent="0.3">
      <c r="A1585" s="690">
        <v>30</v>
      </c>
      <c r="B1585" s="843" t="s">
        <v>20</v>
      </c>
      <c r="C1585" s="399">
        <v>46230</v>
      </c>
      <c r="D1585" s="722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9"/>
      <c r="M1585" s="678">
        <v>250000</v>
      </c>
      <c r="N1585" s="646"/>
    </row>
    <row r="1586" spans="1:14" ht="24" x14ac:dyDescent="0.3">
      <c r="A1586" s="690">
        <v>30</v>
      </c>
      <c r="B1586" s="843"/>
      <c r="C1586" s="640" t="s">
        <v>6655</v>
      </c>
      <c r="D1586" s="722" t="s">
        <v>6657</v>
      </c>
      <c r="E1586" s="632" t="s">
        <v>6658</v>
      </c>
      <c r="F1586" s="633" t="s">
        <v>6660</v>
      </c>
      <c r="G1586" s="709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9"/>
      <c r="M1586" s="678">
        <v>500000</v>
      </c>
      <c r="N1586" s="646"/>
    </row>
    <row r="1587" spans="1:14" x14ac:dyDescent="0.3">
      <c r="A1587" s="690">
        <v>30</v>
      </c>
      <c r="B1587" s="84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3">
        <v>300000</v>
      </c>
      <c r="N1587" s="646" t="s">
        <v>6653</v>
      </c>
    </row>
    <row r="1588" spans="1:14" x14ac:dyDescent="0.3">
      <c r="A1588" s="690">
        <v>30</v>
      </c>
      <c r="B1588" s="84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3">
        <v>250000</v>
      </c>
      <c r="N1588" s="770"/>
    </row>
    <row r="1589" spans="1:14" x14ac:dyDescent="0.3">
      <c r="A1589" s="690">
        <v>30</v>
      </c>
      <c r="B1589" s="84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3">
        <v>550000</v>
      </c>
      <c r="N1589" s="646"/>
    </row>
    <row r="1590" spans="1:14" x14ac:dyDescent="0.3">
      <c r="A1590" s="690">
        <v>30</v>
      </c>
      <c r="B1590" s="84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3">
        <v>250000</v>
      </c>
      <c r="N1590" s="646"/>
    </row>
    <row r="1591" spans="1:14" x14ac:dyDescent="0.3">
      <c r="A1591" s="690">
        <v>30</v>
      </c>
      <c r="B1591" s="84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3">
        <v>250000</v>
      </c>
      <c r="N1591" s="646"/>
    </row>
    <row r="1592" spans="1:14" x14ac:dyDescent="0.3">
      <c r="A1592" s="690">
        <v>30</v>
      </c>
      <c r="B1592" s="84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3">
        <v>250000</v>
      </c>
      <c r="N1592" s="646"/>
    </row>
    <row r="1593" spans="1:14" x14ac:dyDescent="0.3">
      <c r="A1593" s="690">
        <v>31</v>
      </c>
      <c r="B1593" s="771" t="s">
        <v>20</v>
      </c>
      <c r="C1593" s="399" t="s">
        <v>6719</v>
      </c>
      <c r="D1593" s="722" t="s">
        <v>124</v>
      </c>
      <c r="E1593" s="632" t="s">
        <v>151</v>
      </c>
      <c r="F1593" s="633" t="s">
        <v>5254</v>
      </c>
      <c r="G1593" s="73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9"/>
      <c r="M1593" s="678">
        <f>250000*3</f>
        <v>750000</v>
      </c>
      <c r="N1593" s="646"/>
    </row>
    <row r="1594" spans="1:14" x14ac:dyDescent="0.3">
      <c r="A1594" s="690">
        <v>31</v>
      </c>
      <c r="B1594" s="84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3">
        <v>250000</v>
      </c>
      <c r="N1594" s="850" t="s">
        <v>6721</v>
      </c>
    </row>
    <row r="1595" spans="1:14" x14ac:dyDescent="0.3">
      <c r="A1595" s="690">
        <v>31</v>
      </c>
      <c r="B1595" s="84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3">
        <v>250000</v>
      </c>
      <c r="N1595" s="856"/>
    </row>
    <row r="1596" spans="1:14" x14ac:dyDescent="0.3">
      <c r="A1596" s="690">
        <v>31</v>
      </c>
      <c r="B1596" s="84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3">
        <v>550000</v>
      </c>
      <c r="N1596" s="856"/>
    </row>
    <row r="1597" spans="1:14" x14ac:dyDescent="0.3">
      <c r="A1597" s="690">
        <v>31</v>
      </c>
      <c r="B1597" s="84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3">
        <v>250000</v>
      </c>
      <c r="N1597" s="856"/>
    </row>
    <row r="1598" spans="1:14" x14ac:dyDescent="0.3">
      <c r="A1598" s="690">
        <v>31</v>
      </c>
      <c r="B1598" s="84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3">
        <v>250000</v>
      </c>
      <c r="N1598" s="851"/>
    </row>
    <row r="1599" spans="1:14" x14ac:dyDescent="0.3">
      <c r="A1599" s="690">
        <v>31</v>
      </c>
      <c r="B1599" s="84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3">
        <v>300000</v>
      </c>
      <c r="N1599" s="646" t="s">
        <v>127</v>
      </c>
    </row>
    <row r="1600" spans="1:14" ht="27" x14ac:dyDescent="0.3">
      <c r="A1600" s="690">
        <v>32</v>
      </c>
      <c r="B1600" s="843" t="s">
        <v>20</v>
      </c>
      <c r="C1600" s="399" t="s">
        <v>6815</v>
      </c>
      <c r="D1600" s="722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9" t="s">
        <v>6818</v>
      </c>
      <c r="M1600" s="678">
        <f>250000*5</f>
        <v>1250000</v>
      </c>
      <c r="N1600" s="26"/>
    </row>
    <row r="1601" spans="1:14" ht="27" x14ac:dyDescent="0.3">
      <c r="A1601" s="690">
        <v>32</v>
      </c>
      <c r="B1601" s="843"/>
      <c r="C1601" s="399" t="s">
        <v>6821</v>
      </c>
      <c r="D1601" s="722" t="s">
        <v>219</v>
      </c>
      <c r="E1601" s="632" t="s">
        <v>151</v>
      </c>
      <c r="F1601" s="633" t="s">
        <v>5254</v>
      </c>
      <c r="G1601" s="735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9" t="s">
        <v>6818</v>
      </c>
      <c r="M1601" s="678">
        <f>250000*2</f>
        <v>500000</v>
      </c>
      <c r="N1601" s="26"/>
    </row>
    <row r="1602" spans="1:14" ht="27" x14ac:dyDescent="0.3">
      <c r="A1602" s="690">
        <v>32</v>
      </c>
      <c r="B1602" s="843"/>
      <c r="C1602" s="399" t="s">
        <v>6822</v>
      </c>
      <c r="D1602" s="722" t="s">
        <v>219</v>
      </c>
      <c r="E1602" s="632" t="s">
        <v>151</v>
      </c>
      <c r="F1602" s="633" t="s">
        <v>5254</v>
      </c>
      <c r="G1602" s="735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9" t="s">
        <v>6818</v>
      </c>
      <c r="M1602" s="678">
        <f>250000*3</f>
        <v>750000</v>
      </c>
      <c r="N1602" s="26"/>
    </row>
    <row r="1603" spans="1:14" ht="27" x14ac:dyDescent="0.3">
      <c r="A1603" s="690">
        <v>32</v>
      </c>
      <c r="B1603" s="843"/>
      <c r="C1603" s="399" t="s">
        <v>6828</v>
      </c>
      <c r="D1603" s="722" t="s">
        <v>219</v>
      </c>
      <c r="E1603" s="632" t="s">
        <v>151</v>
      </c>
      <c r="F1603" s="633" t="s">
        <v>5254</v>
      </c>
      <c r="G1603" s="735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9"/>
      <c r="M1603" s="678">
        <f>250000*3</f>
        <v>750000</v>
      </c>
      <c r="N1603" s="26"/>
    </row>
    <row r="1604" spans="1:14" x14ac:dyDescent="0.3">
      <c r="A1604" s="690">
        <v>32</v>
      </c>
      <c r="B1604" s="84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3">
        <v>250000</v>
      </c>
      <c r="N1604" s="26"/>
    </row>
    <row r="1605" spans="1:14" x14ac:dyDescent="0.3">
      <c r="A1605" s="690">
        <v>32</v>
      </c>
      <c r="B1605" s="84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3">
        <v>250000</v>
      </c>
      <c r="N1605" s="26"/>
    </row>
    <row r="1606" spans="1:14" x14ac:dyDescent="0.3">
      <c r="A1606" s="690">
        <v>32</v>
      </c>
      <c r="B1606" s="84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3">
        <v>250000</v>
      </c>
      <c r="N1606" s="26"/>
    </row>
    <row r="1607" spans="1:14" ht="27" x14ac:dyDescent="0.3">
      <c r="A1607" s="690">
        <v>32</v>
      </c>
      <c r="B1607" s="84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3">
        <v>250000</v>
      </c>
      <c r="N1607" s="26"/>
    </row>
    <row r="1608" spans="1:14" x14ac:dyDescent="0.3">
      <c r="A1608" s="690">
        <v>32</v>
      </c>
      <c r="B1608" s="84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3">
        <v>500000</v>
      </c>
      <c r="N1608" s="26"/>
    </row>
    <row r="1609" spans="1:14" ht="27" x14ac:dyDescent="0.3">
      <c r="A1609" s="690">
        <v>32</v>
      </c>
      <c r="B1609" s="84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3">
        <v>300000</v>
      </c>
      <c r="N1609" s="26"/>
    </row>
    <row r="1610" spans="1:14" ht="27" x14ac:dyDescent="0.3">
      <c r="A1610" s="690">
        <v>32</v>
      </c>
      <c r="B1610" s="84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3">
        <v>500000</v>
      </c>
      <c r="N1610" s="26"/>
    </row>
    <row r="1611" spans="1:14" ht="24" x14ac:dyDescent="0.3">
      <c r="A1611" s="690">
        <v>33</v>
      </c>
      <c r="B1611" s="84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8">
        <v>1000000</v>
      </c>
      <c r="N1611" s="646"/>
    </row>
    <row r="1612" spans="1:14" ht="24" x14ac:dyDescent="0.3">
      <c r="A1612" s="690">
        <v>33</v>
      </c>
      <c r="B1612" s="84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5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8">
        <v>500000</v>
      </c>
      <c r="N1612" s="646"/>
    </row>
    <row r="1613" spans="1:14" ht="24" x14ac:dyDescent="0.3">
      <c r="A1613" s="690">
        <v>33</v>
      </c>
      <c r="B1613" s="84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5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8">
        <v>500000</v>
      </c>
      <c r="N1613" s="646"/>
    </row>
    <row r="1614" spans="1:14" x14ac:dyDescent="0.3">
      <c r="A1614" s="690">
        <v>33</v>
      </c>
      <c r="B1614" s="84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8">
        <v>250000</v>
      </c>
      <c r="N1614" s="646" t="s">
        <v>1206</v>
      </c>
    </row>
    <row r="1615" spans="1:14" x14ac:dyDescent="0.3">
      <c r="A1615" s="690">
        <v>33</v>
      </c>
      <c r="B1615" s="84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8">
        <v>550000</v>
      </c>
      <c r="N1615" s="646" t="s">
        <v>726</v>
      </c>
    </row>
    <row r="1616" spans="1:14" x14ac:dyDescent="0.3">
      <c r="A1616" s="690">
        <v>33</v>
      </c>
      <c r="B1616" s="84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8">
        <v>550000</v>
      </c>
      <c r="N1616" s="646" t="s">
        <v>726</v>
      </c>
    </row>
    <row r="1617" spans="1:14" x14ac:dyDescent="0.3">
      <c r="A1617" s="690">
        <v>33</v>
      </c>
      <c r="B1617" s="84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8">
        <v>250000</v>
      </c>
      <c r="N1617" s="646" t="s">
        <v>1206</v>
      </c>
    </row>
    <row r="1618" spans="1:14" x14ac:dyDescent="0.3">
      <c r="A1618" s="690">
        <v>33</v>
      </c>
      <c r="B1618" s="84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8">
        <v>500000</v>
      </c>
      <c r="N1618" s="646" t="s">
        <v>726</v>
      </c>
    </row>
    <row r="1619" spans="1:14" x14ac:dyDescent="0.3">
      <c r="A1619" s="690">
        <v>33</v>
      </c>
      <c r="B1619" s="84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8">
        <v>250000</v>
      </c>
      <c r="N1619" s="646" t="s">
        <v>1206</v>
      </c>
    </row>
    <row r="1620" spans="1:14" x14ac:dyDescent="0.3">
      <c r="A1620" s="690">
        <v>33</v>
      </c>
      <c r="B1620" s="84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8">
        <v>250000</v>
      </c>
      <c r="N1620" s="646" t="s">
        <v>726</v>
      </c>
    </row>
    <row r="1621" spans="1:14" x14ac:dyDescent="0.3">
      <c r="A1621" s="690">
        <v>33</v>
      </c>
      <c r="B1621" s="84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8">
        <v>500000</v>
      </c>
      <c r="N1621" s="646" t="s">
        <v>1206</v>
      </c>
    </row>
    <row r="1622" spans="1:14" ht="27" x14ac:dyDescent="0.3">
      <c r="A1622" s="806">
        <v>34</v>
      </c>
      <c r="B1622" s="843" t="s">
        <v>20</v>
      </c>
      <c r="C1622" s="369" t="s">
        <v>6888</v>
      </c>
      <c r="D1622" s="722" t="s">
        <v>49</v>
      </c>
      <c r="E1622" s="632" t="s">
        <v>25</v>
      </c>
      <c r="F1622" s="633" t="s">
        <v>5254</v>
      </c>
      <c r="G1622" s="788">
        <v>7065</v>
      </c>
      <c r="H1622" s="788" t="s">
        <v>6889</v>
      </c>
      <c r="I1622" s="791" t="s">
        <v>3020</v>
      </c>
      <c r="J1622" s="633" t="s">
        <v>168</v>
      </c>
      <c r="K1622" s="791" t="s">
        <v>3035</v>
      </c>
      <c r="L1622" s="699" t="s">
        <v>209</v>
      </c>
      <c r="M1622" s="789">
        <f>250000*5</f>
        <v>1250000</v>
      </c>
      <c r="N1622" s="646"/>
    </row>
    <row r="1623" spans="1:14" ht="27" x14ac:dyDescent="0.3">
      <c r="A1623" s="806">
        <v>34</v>
      </c>
      <c r="B1623" s="843"/>
      <c r="C1623" s="369" t="s">
        <v>6891</v>
      </c>
      <c r="D1623" s="722" t="s">
        <v>5524</v>
      </c>
      <c r="E1623" s="632" t="s">
        <v>25</v>
      </c>
      <c r="F1623" s="633" t="s">
        <v>5254</v>
      </c>
      <c r="G1623" s="788">
        <v>2688</v>
      </c>
      <c r="H1623" s="788" t="s">
        <v>18</v>
      </c>
      <c r="I1623" s="791" t="s">
        <v>6890</v>
      </c>
      <c r="J1623" s="633" t="s">
        <v>168</v>
      </c>
      <c r="K1623" s="791" t="s">
        <v>3004</v>
      </c>
      <c r="L1623" s="699" t="s">
        <v>4875</v>
      </c>
      <c r="M1623" s="789">
        <f>250000*3</f>
        <v>750000</v>
      </c>
      <c r="N1623" s="646"/>
    </row>
    <row r="1624" spans="1:14" ht="27" x14ac:dyDescent="0.3">
      <c r="A1624" s="806">
        <v>34</v>
      </c>
      <c r="B1624" s="843"/>
      <c r="C1624" s="369" t="s">
        <v>6892</v>
      </c>
      <c r="D1624" s="722" t="s">
        <v>49</v>
      </c>
      <c r="E1624" s="632" t="s">
        <v>25</v>
      </c>
      <c r="F1624" s="633" t="s">
        <v>5254</v>
      </c>
      <c r="G1624" s="788">
        <v>7062</v>
      </c>
      <c r="H1624" s="788" t="s">
        <v>143</v>
      </c>
      <c r="I1624" s="791" t="s">
        <v>1105</v>
      </c>
      <c r="J1624" s="633" t="s">
        <v>1259</v>
      </c>
      <c r="K1624" s="791" t="s">
        <v>3716</v>
      </c>
      <c r="L1624" s="699" t="s">
        <v>209</v>
      </c>
      <c r="M1624" s="789">
        <f>250000*4</f>
        <v>1000000</v>
      </c>
      <c r="N1624" s="646"/>
    </row>
    <row r="1625" spans="1:14" x14ac:dyDescent="0.3">
      <c r="A1625" s="806">
        <v>34</v>
      </c>
      <c r="B1625" s="843" t="s">
        <v>21</v>
      </c>
      <c r="C1625" s="369">
        <v>46258</v>
      </c>
      <c r="D1625" s="4" t="s">
        <v>21</v>
      </c>
      <c r="E1625" s="4" t="s">
        <v>70</v>
      </c>
      <c r="F1625" s="787" t="s">
        <v>78</v>
      </c>
      <c r="G1625" s="787" t="s">
        <v>3833</v>
      </c>
      <c r="H1625" s="16" t="s">
        <v>207</v>
      </c>
      <c r="I1625" s="793" t="s">
        <v>6878</v>
      </c>
      <c r="J1625" s="787" t="s">
        <v>202</v>
      </c>
      <c r="K1625" s="787" t="s">
        <v>6880</v>
      </c>
      <c r="L1625" s="125" t="s">
        <v>15</v>
      </c>
      <c r="M1625" s="753">
        <v>300000</v>
      </c>
      <c r="N1625" s="646" t="s">
        <v>127</v>
      </c>
    </row>
    <row r="1626" spans="1:14" ht="27" x14ac:dyDescent="0.3">
      <c r="A1626" s="806">
        <v>34</v>
      </c>
      <c r="B1626" s="843"/>
      <c r="C1626" s="369">
        <v>46258</v>
      </c>
      <c r="D1626" s="4" t="s">
        <v>21</v>
      </c>
      <c r="E1626" s="4" t="s">
        <v>14</v>
      </c>
      <c r="F1626" s="787" t="s">
        <v>211</v>
      </c>
      <c r="G1626" s="787" t="s">
        <v>2916</v>
      </c>
      <c r="H1626" s="16" t="s">
        <v>2917</v>
      </c>
      <c r="I1626" s="793" t="s">
        <v>6887</v>
      </c>
      <c r="J1626" s="787" t="s">
        <v>6520</v>
      </c>
      <c r="K1626" s="787" t="s">
        <v>2838</v>
      </c>
      <c r="L1626" s="125" t="s">
        <v>15</v>
      </c>
      <c r="M1626" s="753">
        <v>500000</v>
      </c>
      <c r="N1626" s="646" t="s">
        <v>583</v>
      </c>
    </row>
    <row r="1627" spans="1:14" x14ac:dyDescent="0.3">
      <c r="A1627" s="806">
        <v>34</v>
      </c>
      <c r="B1627" s="843"/>
      <c r="C1627" s="369">
        <v>46258</v>
      </c>
      <c r="D1627" s="4" t="s">
        <v>21</v>
      </c>
      <c r="E1627" s="4" t="s">
        <v>14</v>
      </c>
      <c r="F1627" s="787" t="s">
        <v>149</v>
      </c>
      <c r="G1627" s="787" t="s">
        <v>3415</v>
      </c>
      <c r="H1627" s="16" t="s">
        <v>23</v>
      </c>
      <c r="I1627" s="793" t="s">
        <v>6883</v>
      </c>
      <c r="J1627" s="787"/>
      <c r="K1627" s="787" t="s">
        <v>6870</v>
      </c>
      <c r="L1627" s="125" t="s">
        <v>15</v>
      </c>
      <c r="M1627" s="753">
        <v>500000</v>
      </c>
      <c r="N1627" s="646" t="s">
        <v>128</v>
      </c>
    </row>
    <row r="1628" spans="1:14" x14ac:dyDescent="0.3">
      <c r="A1628" s="806">
        <v>34</v>
      </c>
      <c r="B1628" s="84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7"/>
      <c r="K1628" s="787" t="s">
        <v>6870</v>
      </c>
      <c r="L1628" s="125" t="s">
        <v>15</v>
      </c>
      <c r="M1628" s="753">
        <v>500000</v>
      </c>
      <c r="N1628" s="646" t="s">
        <v>128</v>
      </c>
    </row>
    <row r="1629" spans="1:14" x14ac:dyDescent="0.3">
      <c r="A1629" s="806">
        <v>34</v>
      </c>
      <c r="B1629" s="84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3" t="s">
        <v>6871</v>
      </c>
      <c r="K1629" s="787" t="s">
        <v>641</v>
      </c>
      <c r="L1629" s="125" t="s">
        <v>15</v>
      </c>
      <c r="M1629" s="753">
        <v>500000</v>
      </c>
      <c r="N1629" s="646" t="s">
        <v>128</v>
      </c>
    </row>
    <row r="1630" spans="1:14" x14ac:dyDescent="0.3">
      <c r="A1630" s="806">
        <v>34</v>
      </c>
      <c r="B1630" s="843"/>
      <c r="C1630" s="369">
        <v>46261</v>
      </c>
      <c r="D1630" s="4" t="s">
        <v>21</v>
      </c>
      <c r="E1630" s="4" t="s">
        <v>70</v>
      </c>
      <c r="F1630" s="787" t="s">
        <v>1787</v>
      </c>
      <c r="G1630" s="787" t="s">
        <v>2978</v>
      </c>
      <c r="H1630" s="16" t="s">
        <v>40</v>
      </c>
      <c r="I1630" s="793" t="s">
        <v>396</v>
      </c>
      <c r="J1630" s="787" t="s">
        <v>1948</v>
      </c>
      <c r="K1630" s="793" t="s">
        <v>686</v>
      </c>
      <c r="L1630" s="125" t="s">
        <v>15</v>
      </c>
      <c r="M1630" s="753">
        <v>250000</v>
      </c>
      <c r="N1630" s="646" t="s">
        <v>128</v>
      </c>
    </row>
    <row r="1631" spans="1:14" x14ac:dyDescent="0.3">
      <c r="A1631" s="806">
        <v>34</v>
      </c>
      <c r="B1631" s="843"/>
      <c r="C1631" s="369">
        <v>46262</v>
      </c>
      <c r="D1631" s="4" t="s">
        <v>64</v>
      </c>
      <c r="E1631" s="4" t="s">
        <v>17</v>
      </c>
      <c r="F1631" s="787" t="s">
        <v>100</v>
      </c>
      <c r="G1631" s="787" t="s">
        <v>6666</v>
      </c>
      <c r="H1631" s="16" t="s">
        <v>207</v>
      </c>
      <c r="I1631" s="793" t="s">
        <v>6867</v>
      </c>
      <c r="J1631" s="787"/>
      <c r="K1631" s="793" t="s">
        <v>641</v>
      </c>
      <c r="L1631" s="125" t="s">
        <v>15</v>
      </c>
      <c r="M1631" s="753">
        <v>500000</v>
      </c>
      <c r="N1631" s="646" t="s">
        <v>127</v>
      </c>
    </row>
    <row r="1632" spans="1:14" x14ac:dyDescent="0.3">
      <c r="A1632" s="806">
        <v>35</v>
      </c>
      <c r="B1632" s="843" t="s">
        <v>20</v>
      </c>
      <c r="C1632" s="399">
        <v>46263</v>
      </c>
      <c r="D1632" s="722" t="s">
        <v>6707</v>
      </c>
      <c r="E1632" s="632" t="s">
        <v>1604</v>
      </c>
      <c r="F1632" s="633" t="s">
        <v>5254</v>
      </c>
      <c r="G1632" s="797" t="s">
        <v>5754</v>
      </c>
      <c r="H1632" s="797" t="s">
        <v>18</v>
      </c>
      <c r="I1632" s="800" t="s">
        <v>3402</v>
      </c>
      <c r="J1632" s="633" t="s">
        <v>2172</v>
      </c>
      <c r="K1632" s="800" t="s">
        <v>2828</v>
      </c>
      <c r="L1632" s="699" t="s">
        <v>475</v>
      </c>
      <c r="M1632" s="798">
        <v>250000</v>
      </c>
      <c r="N1632" s="646" t="s">
        <v>7020</v>
      </c>
    </row>
    <row r="1633" spans="1:14" x14ac:dyDescent="0.3">
      <c r="A1633" s="806">
        <v>35</v>
      </c>
      <c r="B1633" s="843"/>
      <c r="C1633" s="399" t="s">
        <v>7017</v>
      </c>
      <c r="D1633" s="722" t="s">
        <v>6707</v>
      </c>
      <c r="E1633" s="632" t="s">
        <v>1604</v>
      </c>
      <c r="F1633" s="633" t="s">
        <v>5254</v>
      </c>
      <c r="G1633" s="797">
        <v>7065</v>
      </c>
      <c r="H1633" s="797" t="s">
        <v>7018</v>
      </c>
      <c r="I1633" s="800" t="s">
        <v>3020</v>
      </c>
      <c r="J1633" s="633" t="s">
        <v>1629</v>
      </c>
      <c r="K1633" s="800" t="s">
        <v>7019</v>
      </c>
      <c r="L1633" s="699" t="s">
        <v>475</v>
      </c>
      <c r="M1633" s="798">
        <f>250000*5</f>
        <v>1250000</v>
      </c>
      <c r="N1633" s="646"/>
    </row>
    <row r="1634" spans="1:14" x14ac:dyDescent="0.3">
      <c r="A1634" s="806">
        <v>35</v>
      </c>
      <c r="B1634" s="843"/>
      <c r="C1634" s="399" t="s">
        <v>7021</v>
      </c>
      <c r="D1634" s="722" t="s">
        <v>6707</v>
      </c>
      <c r="E1634" s="632" t="s">
        <v>1604</v>
      </c>
      <c r="F1634" s="633" t="s">
        <v>5254</v>
      </c>
      <c r="G1634" s="797" t="s">
        <v>5754</v>
      </c>
      <c r="H1634" s="797" t="s">
        <v>18</v>
      </c>
      <c r="I1634" s="800" t="s">
        <v>3402</v>
      </c>
      <c r="J1634" s="633" t="s">
        <v>2172</v>
      </c>
      <c r="K1634" s="800" t="s">
        <v>2838</v>
      </c>
      <c r="L1634" s="699" t="s">
        <v>475</v>
      </c>
      <c r="M1634" s="798">
        <v>500000</v>
      </c>
      <c r="N1634" s="646"/>
    </row>
    <row r="1635" spans="1:14" x14ac:dyDescent="0.3">
      <c r="A1635" s="806">
        <v>35</v>
      </c>
      <c r="B1635" s="843"/>
      <c r="C1635" s="399" t="s">
        <v>7022</v>
      </c>
      <c r="D1635" s="722" t="s">
        <v>6707</v>
      </c>
      <c r="E1635" s="632" t="s">
        <v>1604</v>
      </c>
      <c r="F1635" s="633" t="s">
        <v>5254</v>
      </c>
      <c r="G1635" s="797" t="s">
        <v>6075</v>
      </c>
      <c r="H1635" s="797" t="s">
        <v>6071</v>
      </c>
      <c r="I1635" s="800" t="s">
        <v>3402</v>
      </c>
      <c r="J1635" s="633" t="s">
        <v>2172</v>
      </c>
      <c r="K1635" s="800" t="s">
        <v>2838</v>
      </c>
      <c r="L1635" s="699" t="s">
        <v>475</v>
      </c>
      <c r="M1635" s="798">
        <v>500000</v>
      </c>
      <c r="N1635" s="646"/>
    </row>
    <row r="1636" spans="1:14" x14ac:dyDescent="0.3">
      <c r="A1636" s="806">
        <v>35</v>
      </c>
      <c r="B1636" s="84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3">
        <v>300000</v>
      </c>
      <c r="N1636" s="850" t="s">
        <v>7020</v>
      </c>
    </row>
    <row r="1637" spans="1:14" x14ac:dyDescent="0.3">
      <c r="A1637" s="806">
        <v>35</v>
      </c>
      <c r="B1637" s="84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3">
        <v>800000</v>
      </c>
      <c r="N1637" s="851"/>
    </row>
    <row r="1638" spans="1:14" x14ac:dyDescent="0.3">
      <c r="A1638" s="806">
        <v>35</v>
      </c>
      <c r="B1638" s="843"/>
      <c r="C1638" s="399">
        <v>46265</v>
      </c>
      <c r="D1638" s="4" t="s">
        <v>138</v>
      </c>
      <c r="E1638" s="4" t="s">
        <v>14</v>
      </c>
      <c r="F1638" s="799" t="s">
        <v>107</v>
      </c>
      <c r="G1638" s="799">
        <v>34</v>
      </c>
      <c r="H1638" s="16" t="s">
        <v>1721</v>
      </c>
      <c r="I1638" s="802" t="s">
        <v>7008</v>
      </c>
      <c r="J1638" s="799" t="s">
        <v>4168</v>
      </c>
      <c r="K1638" s="799" t="s">
        <v>5606</v>
      </c>
      <c r="L1638" s="277" t="s">
        <v>15</v>
      </c>
      <c r="M1638" s="753">
        <v>500000</v>
      </c>
      <c r="N1638" s="646" t="s">
        <v>7023</v>
      </c>
    </row>
    <row r="1639" spans="1:14" x14ac:dyDescent="0.3">
      <c r="A1639" s="806">
        <v>35</v>
      </c>
      <c r="B1639" s="84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3">
        <v>250000</v>
      </c>
      <c r="N1639" s="646" t="s">
        <v>1651</v>
      </c>
    </row>
    <row r="1640" spans="1:14" x14ac:dyDescent="0.3">
      <c r="A1640" s="806">
        <v>35</v>
      </c>
      <c r="B1640" s="843"/>
      <c r="C1640" s="399">
        <v>46266</v>
      </c>
      <c r="D1640" s="4" t="s">
        <v>21</v>
      </c>
      <c r="E1640" s="4" t="s">
        <v>14</v>
      </c>
      <c r="F1640" s="799" t="s">
        <v>140</v>
      </c>
      <c r="G1640" s="799" t="s">
        <v>2959</v>
      </c>
      <c r="H1640" s="16" t="s">
        <v>1492</v>
      </c>
      <c r="I1640" s="802" t="s">
        <v>6949</v>
      </c>
      <c r="J1640" s="799" t="s">
        <v>1948</v>
      </c>
      <c r="K1640" s="799" t="s">
        <v>686</v>
      </c>
      <c r="L1640" s="125" t="s">
        <v>15</v>
      </c>
      <c r="M1640" s="753">
        <v>250000</v>
      </c>
      <c r="N1640" s="646" t="s">
        <v>5508</v>
      </c>
    </row>
    <row r="1641" spans="1:14" x14ac:dyDescent="0.3">
      <c r="A1641" s="806">
        <v>35</v>
      </c>
      <c r="B1641" s="843"/>
      <c r="C1641" s="399">
        <v>46267</v>
      </c>
      <c r="D1641" s="4" t="s">
        <v>21</v>
      </c>
      <c r="E1641" s="4" t="s">
        <v>14</v>
      </c>
      <c r="F1641" s="799" t="s">
        <v>140</v>
      </c>
      <c r="G1641" s="799" t="s">
        <v>2959</v>
      </c>
      <c r="H1641" s="16" t="s">
        <v>143</v>
      </c>
      <c r="I1641" s="802" t="s">
        <v>6949</v>
      </c>
      <c r="J1641" s="799"/>
      <c r="K1641" s="799" t="s">
        <v>641</v>
      </c>
      <c r="L1641" s="125" t="s">
        <v>15</v>
      </c>
      <c r="M1641" s="753">
        <v>500000</v>
      </c>
      <c r="N1641" s="646" t="s">
        <v>5508</v>
      </c>
    </row>
    <row r="1642" spans="1:14" ht="27" x14ac:dyDescent="0.3">
      <c r="A1642" s="806">
        <v>35</v>
      </c>
      <c r="B1642" s="84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3">
        <v>250000</v>
      </c>
      <c r="N1642" s="646" t="s">
        <v>3904</v>
      </c>
    </row>
    <row r="1643" spans="1:14" x14ac:dyDescent="0.3">
      <c r="A1643" s="806">
        <v>35</v>
      </c>
      <c r="B1643" s="843"/>
      <c r="C1643" s="399">
        <v>46268</v>
      </c>
      <c r="D1643" s="4" t="s">
        <v>21</v>
      </c>
      <c r="E1643" s="4" t="s">
        <v>14</v>
      </c>
      <c r="F1643" s="799" t="s">
        <v>140</v>
      </c>
      <c r="G1643" s="799" t="s">
        <v>2959</v>
      </c>
      <c r="H1643" s="16" t="s">
        <v>1895</v>
      </c>
      <c r="I1643" s="802" t="s">
        <v>6949</v>
      </c>
      <c r="J1643" s="799"/>
      <c r="K1643" s="799" t="s">
        <v>641</v>
      </c>
      <c r="L1643" s="125" t="s">
        <v>15</v>
      </c>
      <c r="M1643" s="753">
        <v>500000</v>
      </c>
      <c r="N1643" s="646" t="s">
        <v>5508</v>
      </c>
    </row>
    <row r="1644" spans="1:14" ht="27" x14ac:dyDescent="0.3">
      <c r="A1644" s="806">
        <v>35</v>
      </c>
      <c r="B1644" s="84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3">
        <v>250000</v>
      </c>
      <c r="N1644" s="646" t="s">
        <v>3904</v>
      </c>
    </row>
    <row r="1645" spans="1:14" ht="27" x14ac:dyDescent="0.3">
      <c r="A1645" s="806">
        <v>35</v>
      </c>
      <c r="B1645" s="84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9" t="s">
        <v>641</v>
      </c>
      <c r="L1645" s="125" t="s">
        <v>15</v>
      </c>
      <c r="M1645" s="753">
        <v>500000</v>
      </c>
      <c r="N1645" s="646" t="s">
        <v>5508</v>
      </c>
    </row>
    <row r="1646" spans="1:14" x14ac:dyDescent="0.3">
      <c r="A1646" s="806">
        <v>36</v>
      </c>
      <c r="B1646" s="843" t="s">
        <v>20</v>
      </c>
      <c r="C1646" s="369">
        <v>46270</v>
      </c>
      <c r="D1646" s="722" t="s">
        <v>6707</v>
      </c>
      <c r="E1646" s="632" t="s">
        <v>25</v>
      </c>
      <c r="F1646" s="633" t="s">
        <v>5254</v>
      </c>
      <c r="G1646" s="810" t="s">
        <v>7082</v>
      </c>
      <c r="H1646" s="810" t="s">
        <v>7083</v>
      </c>
      <c r="I1646" s="818" t="s">
        <v>3715</v>
      </c>
      <c r="J1646" s="633" t="s">
        <v>4918</v>
      </c>
      <c r="K1646" s="818" t="s">
        <v>3775</v>
      </c>
      <c r="L1646" s="699" t="s">
        <v>1356</v>
      </c>
      <c r="M1646" s="813">
        <f>250000</f>
        <v>250000</v>
      </c>
      <c r="N1646" s="646" t="s">
        <v>7092</v>
      </c>
    </row>
    <row r="1647" spans="1:14" x14ac:dyDescent="0.3">
      <c r="A1647" s="806">
        <v>36</v>
      </c>
      <c r="B1647" s="843"/>
      <c r="C1647" s="369" t="s">
        <v>7081</v>
      </c>
      <c r="D1647" s="722" t="s">
        <v>6707</v>
      </c>
      <c r="E1647" s="632" t="s">
        <v>25</v>
      </c>
      <c r="F1647" s="633" t="s">
        <v>5254</v>
      </c>
      <c r="G1647" s="810" t="s">
        <v>7082</v>
      </c>
      <c r="H1647" s="810" t="s">
        <v>7083</v>
      </c>
      <c r="I1647" s="818" t="s">
        <v>3715</v>
      </c>
      <c r="J1647" s="633" t="s">
        <v>4918</v>
      </c>
      <c r="K1647" s="818" t="s">
        <v>4944</v>
      </c>
      <c r="L1647" s="699" t="s">
        <v>1356</v>
      </c>
      <c r="M1647" s="813">
        <f>250000*3</f>
        <v>750000</v>
      </c>
      <c r="N1647" s="646"/>
    </row>
    <row r="1648" spans="1:14" ht="27" x14ac:dyDescent="0.3">
      <c r="A1648" s="806">
        <v>36</v>
      </c>
      <c r="B1648" s="843"/>
      <c r="C1648" s="369" t="s">
        <v>7084</v>
      </c>
      <c r="D1648" s="722" t="s">
        <v>6707</v>
      </c>
      <c r="E1648" s="632" t="s">
        <v>25</v>
      </c>
      <c r="F1648" s="633" t="s">
        <v>5254</v>
      </c>
      <c r="G1648" s="810" t="s">
        <v>7082</v>
      </c>
      <c r="H1648" s="810" t="s">
        <v>3758</v>
      </c>
      <c r="I1648" s="818" t="s">
        <v>3715</v>
      </c>
      <c r="J1648" s="633" t="s">
        <v>4918</v>
      </c>
      <c r="K1648" s="818" t="s">
        <v>3702</v>
      </c>
      <c r="L1648" s="699" t="s">
        <v>1356</v>
      </c>
      <c r="M1648" s="813">
        <f>250000*2</f>
        <v>500000</v>
      </c>
      <c r="N1648" s="646"/>
    </row>
    <row r="1649" spans="1:14" x14ac:dyDescent="0.3">
      <c r="A1649" s="806">
        <v>36</v>
      </c>
      <c r="B1649" s="843"/>
      <c r="C1649" s="369" t="s">
        <v>7086</v>
      </c>
      <c r="D1649" s="722" t="s">
        <v>6707</v>
      </c>
      <c r="E1649" s="632" t="s">
        <v>25</v>
      </c>
      <c r="F1649" s="633" t="s">
        <v>5254</v>
      </c>
      <c r="G1649" s="810">
        <v>7065</v>
      </c>
      <c r="H1649" s="810" t="s">
        <v>6889</v>
      </c>
      <c r="I1649" s="818" t="s">
        <v>3743</v>
      </c>
      <c r="J1649" s="633" t="s">
        <v>3748</v>
      </c>
      <c r="K1649" s="818" t="s">
        <v>7085</v>
      </c>
      <c r="L1649" s="699" t="s">
        <v>1356</v>
      </c>
      <c r="M1649" s="813">
        <f>250000*2</f>
        <v>500000</v>
      </c>
      <c r="N1649" s="646"/>
    </row>
    <row r="1650" spans="1:14" x14ac:dyDescent="0.3">
      <c r="A1650" s="806">
        <v>36</v>
      </c>
      <c r="B1650" s="843"/>
      <c r="C1650" s="369" t="s">
        <v>7087</v>
      </c>
      <c r="D1650" s="722" t="s">
        <v>6707</v>
      </c>
      <c r="E1650" s="632" t="s">
        <v>25</v>
      </c>
      <c r="F1650" s="633" t="s">
        <v>5254</v>
      </c>
      <c r="G1650" s="810">
        <v>7065</v>
      </c>
      <c r="H1650" s="810" t="s">
        <v>7018</v>
      </c>
      <c r="I1650" s="818" t="s">
        <v>3743</v>
      </c>
      <c r="J1650" s="633" t="s">
        <v>3748</v>
      </c>
      <c r="K1650" s="818" t="s">
        <v>7088</v>
      </c>
      <c r="L1650" s="699" t="s">
        <v>1356</v>
      </c>
      <c r="M1650" s="813">
        <f>250000*3</f>
        <v>750000</v>
      </c>
      <c r="N1650" s="646"/>
    </row>
    <row r="1651" spans="1:14" x14ac:dyDescent="0.3">
      <c r="A1651" s="806">
        <v>36</v>
      </c>
      <c r="B1651" s="843"/>
      <c r="C1651" s="369" t="s">
        <v>7091</v>
      </c>
      <c r="D1651" s="722" t="s">
        <v>6707</v>
      </c>
      <c r="E1651" s="632" t="s">
        <v>25</v>
      </c>
      <c r="F1651" s="633" t="s">
        <v>5254</v>
      </c>
      <c r="G1651" s="810" t="s">
        <v>6448</v>
      </c>
      <c r="H1651" s="810" t="s">
        <v>7089</v>
      </c>
      <c r="I1651" s="818" t="s">
        <v>7090</v>
      </c>
      <c r="J1651" s="633" t="s">
        <v>3748</v>
      </c>
      <c r="K1651" s="818" t="s">
        <v>3716</v>
      </c>
      <c r="L1651" s="699" t="s">
        <v>1356</v>
      </c>
      <c r="M1651" s="813">
        <f>250000*4</f>
        <v>1000000</v>
      </c>
      <c r="N1651" s="646"/>
    </row>
    <row r="1652" spans="1:14" ht="21" x14ac:dyDescent="0.3">
      <c r="A1652" s="806">
        <v>36</v>
      </c>
      <c r="B1652" s="84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7078</v>
      </c>
      <c r="J1652" s="454"/>
      <c r="K1652" s="809" t="s">
        <v>641</v>
      </c>
      <c r="L1652" s="125" t="s">
        <v>15</v>
      </c>
      <c r="M1652" s="753">
        <v>500000</v>
      </c>
      <c r="N1652" s="822" t="s">
        <v>7079</v>
      </c>
    </row>
    <row r="1653" spans="1:14" x14ac:dyDescent="0.3">
      <c r="A1653" s="806">
        <v>36</v>
      </c>
      <c r="B1653" s="843"/>
      <c r="C1653" s="369">
        <v>46272</v>
      </c>
      <c r="D1653" s="4" t="s">
        <v>21</v>
      </c>
      <c r="E1653" s="4" t="s">
        <v>14</v>
      </c>
      <c r="F1653" s="809" t="s">
        <v>140</v>
      </c>
      <c r="G1653" s="809" t="s">
        <v>2959</v>
      </c>
      <c r="H1653" s="16" t="s">
        <v>143</v>
      </c>
      <c r="I1653" s="820" t="s">
        <v>6949</v>
      </c>
      <c r="J1653" s="809" t="s">
        <v>90</v>
      </c>
      <c r="K1653" s="809" t="s">
        <v>3708</v>
      </c>
      <c r="L1653" s="125" t="s">
        <v>15</v>
      </c>
      <c r="M1653" s="753">
        <v>250000</v>
      </c>
      <c r="N1653" s="808" t="s">
        <v>5969</v>
      </c>
    </row>
    <row r="1654" spans="1:14" x14ac:dyDescent="0.3">
      <c r="A1654" s="806">
        <v>36</v>
      </c>
      <c r="B1654" s="843"/>
      <c r="C1654" s="369">
        <v>46273</v>
      </c>
      <c r="D1654" s="4" t="s">
        <v>21</v>
      </c>
      <c r="E1654" s="4" t="s">
        <v>14</v>
      </c>
      <c r="F1654" s="809" t="s">
        <v>140</v>
      </c>
      <c r="G1654" s="809" t="s">
        <v>2959</v>
      </c>
      <c r="H1654" s="16" t="s">
        <v>143</v>
      </c>
      <c r="I1654" s="820" t="s">
        <v>6949</v>
      </c>
      <c r="J1654" s="809" t="s">
        <v>90</v>
      </c>
      <c r="K1654" s="844" t="s">
        <v>3708</v>
      </c>
      <c r="L1654" s="125" t="s">
        <v>15</v>
      </c>
      <c r="M1654" s="846">
        <v>250000</v>
      </c>
      <c r="N1654" s="646" t="s">
        <v>5969</v>
      </c>
    </row>
    <row r="1655" spans="1:14" x14ac:dyDescent="0.3">
      <c r="A1655" s="806">
        <v>36</v>
      </c>
      <c r="B1655" s="843"/>
      <c r="C1655" s="369">
        <v>46273</v>
      </c>
      <c r="D1655" s="4" t="s">
        <v>21</v>
      </c>
      <c r="E1655" s="4" t="s">
        <v>14</v>
      </c>
      <c r="F1655" s="809" t="s">
        <v>107</v>
      </c>
      <c r="G1655" s="809" t="s">
        <v>2959</v>
      </c>
      <c r="H1655" s="16" t="s">
        <v>3742</v>
      </c>
      <c r="I1655" s="820" t="s">
        <v>7048</v>
      </c>
      <c r="J1655" s="809" t="s">
        <v>90</v>
      </c>
      <c r="K1655" s="845"/>
      <c r="L1655" s="125" t="s">
        <v>15</v>
      </c>
      <c r="M1655" s="847"/>
      <c r="N1655" s="646" t="s">
        <v>3779</v>
      </c>
    </row>
    <row r="1656" spans="1:14" x14ac:dyDescent="0.3">
      <c r="A1656" s="806">
        <v>36</v>
      </c>
      <c r="B1656" s="84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0" t="s">
        <v>7041</v>
      </c>
      <c r="J1656" s="809" t="s">
        <v>7042</v>
      </c>
      <c r="K1656" s="820" t="s">
        <v>2828</v>
      </c>
      <c r="L1656" s="125" t="s">
        <v>1356</v>
      </c>
      <c r="M1656" s="753">
        <v>250000</v>
      </c>
      <c r="N1656" s="646" t="s">
        <v>7080</v>
      </c>
    </row>
    <row r="1657" spans="1:14" x14ac:dyDescent="0.3">
      <c r="A1657" s="806">
        <v>36</v>
      </c>
      <c r="B1657" s="843"/>
      <c r="C1657" s="369">
        <v>46274</v>
      </c>
      <c r="D1657" s="4" t="s">
        <v>21</v>
      </c>
      <c r="E1657" s="4" t="s">
        <v>14</v>
      </c>
      <c r="F1657" s="809" t="s">
        <v>107</v>
      </c>
      <c r="G1657" s="809" t="s">
        <v>2959</v>
      </c>
      <c r="H1657" s="16" t="s">
        <v>3742</v>
      </c>
      <c r="I1657" s="820" t="s">
        <v>7047</v>
      </c>
      <c r="J1657" s="809" t="s">
        <v>90</v>
      </c>
      <c r="K1657" s="844" t="s">
        <v>3708</v>
      </c>
      <c r="L1657" s="125" t="s">
        <v>15</v>
      </c>
      <c r="M1657" s="846">
        <v>250000</v>
      </c>
      <c r="N1657" s="646" t="s">
        <v>3779</v>
      </c>
    </row>
    <row r="1658" spans="1:14" x14ac:dyDescent="0.3">
      <c r="A1658" s="806">
        <v>36</v>
      </c>
      <c r="B1658" s="843"/>
      <c r="C1658" s="369">
        <v>46274</v>
      </c>
      <c r="D1658" s="4" t="s">
        <v>21</v>
      </c>
      <c r="E1658" s="4" t="s">
        <v>14</v>
      </c>
      <c r="F1658" s="809" t="s">
        <v>107</v>
      </c>
      <c r="G1658" s="809" t="s">
        <v>2959</v>
      </c>
      <c r="H1658" s="16" t="s">
        <v>3728</v>
      </c>
      <c r="I1658" s="820" t="s">
        <v>7074</v>
      </c>
      <c r="J1658" s="809" t="s">
        <v>90</v>
      </c>
      <c r="K1658" s="845"/>
      <c r="L1658" s="125" t="s">
        <v>15</v>
      </c>
      <c r="M1658" s="847"/>
      <c r="N1658" s="646" t="s">
        <v>3779</v>
      </c>
    </row>
    <row r="1659" spans="1:14" x14ac:dyDescent="0.3">
      <c r="A1659" s="1138">
        <v>36</v>
      </c>
      <c r="B1659" s="843"/>
      <c r="C1659" s="369">
        <v>46276</v>
      </c>
      <c r="D1659" s="4" t="s">
        <v>21</v>
      </c>
      <c r="E1659" s="4" t="s">
        <v>14</v>
      </c>
      <c r="F1659" s="809" t="s">
        <v>1787</v>
      </c>
      <c r="G1659" s="809" t="s">
        <v>2978</v>
      </c>
      <c r="H1659" s="16" t="s">
        <v>23</v>
      </c>
      <c r="I1659" s="820" t="s">
        <v>7073</v>
      </c>
      <c r="J1659" s="809"/>
      <c r="K1659" s="809" t="s">
        <v>4907</v>
      </c>
      <c r="L1659" s="125" t="s">
        <v>15</v>
      </c>
      <c r="M1659" s="753">
        <v>500000</v>
      </c>
      <c r="N1659" s="646" t="s">
        <v>5969</v>
      </c>
    </row>
    <row r="1660" spans="1:14" x14ac:dyDescent="0.3">
      <c r="A1660" s="1139">
        <v>37</v>
      </c>
      <c r="B1660" s="1137" t="s">
        <v>20</v>
      </c>
      <c r="C1660" s="399">
        <v>46277</v>
      </c>
      <c r="D1660" s="722" t="s">
        <v>6707</v>
      </c>
      <c r="E1660" s="632" t="s">
        <v>151</v>
      </c>
      <c r="F1660" s="633" t="s">
        <v>5254</v>
      </c>
      <c r="G1660" s="825" t="s">
        <v>6075</v>
      </c>
      <c r="H1660" s="825" t="s">
        <v>145</v>
      </c>
      <c r="I1660" s="830" t="s">
        <v>1105</v>
      </c>
      <c r="J1660" s="633" t="s">
        <v>1259</v>
      </c>
      <c r="K1660" s="830" t="s">
        <v>2828</v>
      </c>
      <c r="L1660" s="699" t="s">
        <v>209</v>
      </c>
      <c r="M1660" s="826">
        <v>250000</v>
      </c>
      <c r="N1660" s="646" t="s">
        <v>7178</v>
      </c>
    </row>
    <row r="1661" spans="1:14" ht="27" x14ac:dyDescent="0.3">
      <c r="A1661" s="1139">
        <v>37</v>
      </c>
      <c r="B1661" s="1137"/>
      <c r="C1661" s="399" t="s">
        <v>7177</v>
      </c>
      <c r="D1661" s="722" t="s">
        <v>6707</v>
      </c>
      <c r="E1661" s="632" t="s">
        <v>151</v>
      </c>
      <c r="F1661" s="633" t="s">
        <v>5254</v>
      </c>
      <c r="G1661" s="825" t="s">
        <v>6075</v>
      </c>
      <c r="H1661" s="825" t="s">
        <v>145</v>
      </c>
      <c r="I1661" s="830" t="s">
        <v>1105</v>
      </c>
      <c r="J1661" s="633" t="s">
        <v>1259</v>
      </c>
      <c r="K1661" s="830" t="s">
        <v>2838</v>
      </c>
      <c r="L1661" s="699" t="s">
        <v>209</v>
      </c>
      <c r="M1661" s="826">
        <v>500000</v>
      </c>
      <c r="N1661" s="646"/>
    </row>
    <row r="1662" spans="1:14" x14ac:dyDescent="0.3">
      <c r="A1662" s="1139">
        <v>37</v>
      </c>
      <c r="B1662" s="1137"/>
      <c r="C1662" s="399">
        <v>46281</v>
      </c>
      <c r="D1662" s="722" t="s">
        <v>6707</v>
      </c>
      <c r="E1662" s="632" t="s">
        <v>151</v>
      </c>
      <c r="F1662" s="633" t="s">
        <v>5254</v>
      </c>
      <c r="G1662" s="825" t="s">
        <v>6315</v>
      </c>
      <c r="H1662" s="825" t="s">
        <v>361</v>
      </c>
      <c r="I1662" s="830" t="s">
        <v>6316</v>
      </c>
      <c r="J1662" s="633" t="s">
        <v>1259</v>
      </c>
      <c r="K1662" s="830" t="s">
        <v>2828</v>
      </c>
      <c r="L1662" s="699" t="s">
        <v>209</v>
      </c>
      <c r="M1662" s="826">
        <v>250000</v>
      </c>
      <c r="N1662" s="646"/>
    </row>
    <row r="1663" spans="1:14" ht="27" x14ac:dyDescent="0.3">
      <c r="A1663" s="1139">
        <v>37</v>
      </c>
      <c r="B1663" s="1137"/>
      <c r="C1663" s="399" t="s">
        <v>7180</v>
      </c>
      <c r="D1663" s="722" t="s">
        <v>6707</v>
      </c>
      <c r="E1663" s="632" t="s">
        <v>151</v>
      </c>
      <c r="F1663" s="633" t="s">
        <v>5254</v>
      </c>
      <c r="G1663" s="825" t="s">
        <v>6315</v>
      </c>
      <c r="H1663" s="825" t="s">
        <v>264</v>
      </c>
      <c r="I1663" s="830" t="s">
        <v>6316</v>
      </c>
      <c r="J1663" s="633" t="s">
        <v>1259</v>
      </c>
      <c r="K1663" s="830" t="s">
        <v>2838</v>
      </c>
      <c r="L1663" s="699" t="s">
        <v>209</v>
      </c>
      <c r="M1663" s="826">
        <v>500000</v>
      </c>
      <c r="N1663" s="646"/>
    </row>
    <row r="1664" spans="1:14" ht="27" x14ac:dyDescent="0.3">
      <c r="A1664" s="1139">
        <v>37</v>
      </c>
      <c r="B1664" s="1137"/>
      <c r="C1664" s="399" t="s">
        <v>7179</v>
      </c>
      <c r="D1664" s="722" t="s">
        <v>6707</v>
      </c>
      <c r="E1664" s="632" t="s">
        <v>151</v>
      </c>
      <c r="F1664" s="633" t="s">
        <v>5254</v>
      </c>
      <c r="G1664" s="825" t="s">
        <v>5754</v>
      </c>
      <c r="H1664" s="825" t="s">
        <v>125</v>
      </c>
      <c r="I1664" s="830" t="s">
        <v>216</v>
      </c>
      <c r="J1664" s="633" t="s">
        <v>168</v>
      </c>
      <c r="K1664" s="830" t="s">
        <v>3004</v>
      </c>
      <c r="L1664" s="699" t="s">
        <v>209</v>
      </c>
      <c r="M1664" s="826">
        <v>750000</v>
      </c>
      <c r="N1664" s="646"/>
    </row>
    <row r="1665" spans="1:14" ht="27" x14ac:dyDescent="0.3">
      <c r="A1665" s="1139">
        <v>37</v>
      </c>
      <c r="B1665" s="1137"/>
      <c r="C1665" s="399" t="s">
        <v>7180</v>
      </c>
      <c r="D1665" s="722" t="s">
        <v>6707</v>
      </c>
      <c r="E1665" s="632" t="s">
        <v>151</v>
      </c>
      <c r="F1665" s="633" t="s">
        <v>5254</v>
      </c>
      <c r="G1665" s="825">
        <v>7065</v>
      </c>
      <c r="H1665" s="825" t="s">
        <v>6889</v>
      </c>
      <c r="I1665" s="830" t="s">
        <v>7182</v>
      </c>
      <c r="J1665" s="633" t="s">
        <v>168</v>
      </c>
      <c r="K1665" s="830" t="s">
        <v>2838</v>
      </c>
      <c r="L1665" s="699" t="s">
        <v>209</v>
      </c>
      <c r="M1665" s="826">
        <v>500000</v>
      </c>
      <c r="N1665" s="646"/>
    </row>
    <row r="1666" spans="1:14" ht="27" x14ac:dyDescent="0.3">
      <c r="A1666" s="1139">
        <v>37</v>
      </c>
      <c r="B1666" s="1137"/>
      <c r="C1666" s="399" t="s">
        <v>7181</v>
      </c>
      <c r="D1666" s="722" t="s">
        <v>6707</v>
      </c>
      <c r="E1666" s="632" t="s">
        <v>151</v>
      </c>
      <c r="F1666" s="633" t="s">
        <v>5254</v>
      </c>
      <c r="G1666" s="825">
        <v>7065</v>
      </c>
      <c r="H1666" s="825" t="s">
        <v>1391</v>
      </c>
      <c r="I1666" s="830" t="s">
        <v>378</v>
      </c>
      <c r="J1666" s="633" t="s">
        <v>168</v>
      </c>
      <c r="K1666" s="830" t="s">
        <v>3035</v>
      </c>
      <c r="L1666" s="699" t="s">
        <v>209</v>
      </c>
      <c r="M1666" s="826">
        <v>1250000</v>
      </c>
      <c r="N1666" s="646"/>
    </row>
    <row r="1667" spans="1:14" x14ac:dyDescent="0.3">
      <c r="A1667" s="1139">
        <v>37</v>
      </c>
      <c r="B1667" s="1137" t="s">
        <v>21</v>
      </c>
      <c r="C1667" s="399">
        <v>46279</v>
      </c>
      <c r="D1667" s="4" t="s">
        <v>64</v>
      </c>
      <c r="E1667" s="4" t="s">
        <v>14</v>
      </c>
      <c r="F1667" s="827" t="s">
        <v>107</v>
      </c>
      <c r="G1667" s="827" t="s">
        <v>3386</v>
      </c>
      <c r="H1667" s="16" t="s">
        <v>1721</v>
      </c>
      <c r="I1667" s="832" t="s">
        <v>230</v>
      </c>
      <c r="J1667" s="827" t="s">
        <v>90</v>
      </c>
      <c r="K1667" s="827" t="s">
        <v>686</v>
      </c>
      <c r="L1667" s="125" t="s">
        <v>66</v>
      </c>
      <c r="M1667" s="753">
        <v>250000</v>
      </c>
      <c r="N1667" s="646" t="s">
        <v>128</v>
      </c>
    </row>
    <row r="1668" spans="1:14" x14ac:dyDescent="0.3">
      <c r="A1668" s="1139">
        <v>37</v>
      </c>
      <c r="B1668" s="1137"/>
      <c r="C1668" s="399">
        <v>46279</v>
      </c>
      <c r="D1668" s="4" t="s">
        <v>21</v>
      </c>
      <c r="E1668" s="4" t="s">
        <v>77</v>
      </c>
      <c r="F1668" s="827" t="s">
        <v>78</v>
      </c>
      <c r="G1668" s="827">
        <v>7060</v>
      </c>
      <c r="H1668" s="16" t="s">
        <v>71</v>
      </c>
      <c r="I1668" s="832" t="s">
        <v>7155</v>
      </c>
      <c r="J1668" s="827" t="s">
        <v>6312</v>
      </c>
      <c r="K1668" s="827" t="s">
        <v>41</v>
      </c>
      <c r="L1668" s="125" t="s">
        <v>66</v>
      </c>
      <c r="M1668" s="828">
        <v>250000</v>
      </c>
      <c r="N1668" s="646" t="s">
        <v>127</v>
      </c>
    </row>
    <row r="1669" spans="1:14" x14ac:dyDescent="0.3">
      <c r="A1669" s="1139">
        <v>37</v>
      </c>
      <c r="B1669" s="1137"/>
      <c r="C1669" s="399">
        <v>46280</v>
      </c>
      <c r="D1669" s="4" t="s">
        <v>64</v>
      </c>
      <c r="E1669" s="4" t="s">
        <v>14</v>
      </c>
      <c r="F1669" s="827" t="s">
        <v>107</v>
      </c>
      <c r="G1669" s="827" t="s">
        <v>3386</v>
      </c>
      <c r="H1669" s="16" t="s">
        <v>1721</v>
      </c>
      <c r="I1669" s="832" t="s">
        <v>7141</v>
      </c>
      <c r="J1669" s="827" t="s">
        <v>90</v>
      </c>
      <c r="K1669" s="827" t="s">
        <v>3075</v>
      </c>
      <c r="L1669" s="125" t="s">
        <v>66</v>
      </c>
      <c r="M1669" s="753">
        <v>300000</v>
      </c>
      <c r="N1669" s="646" t="s">
        <v>128</v>
      </c>
    </row>
    <row r="1670" spans="1:14" ht="27" x14ac:dyDescent="0.3">
      <c r="A1670" s="1139">
        <v>37</v>
      </c>
      <c r="B1670" s="1137"/>
      <c r="C1670" s="399">
        <v>46281</v>
      </c>
      <c r="D1670" s="4" t="s">
        <v>64</v>
      </c>
      <c r="E1670" s="4" t="s">
        <v>70</v>
      </c>
      <c r="F1670" s="827" t="s">
        <v>7146</v>
      </c>
      <c r="G1670" s="827" t="s">
        <v>3415</v>
      </c>
      <c r="H1670" s="16" t="s">
        <v>40</v>
      </c>
      <c r="I1670" s="832" t="s">
        <v>7168</v>
      </c>
      <c r="J1670" s="827"/>
      <c r="K1670" s="832" t="s">
        <v>487</v>
      </c>
      <c r="L1670" s="125" t="s">
        <v>66</v>
      </c>
      <c r="M1670" s="828">
        <v>500000</v>
      </c>
      <c r="N1670" s="646" t="s">
        <v>393</v>
      </c>
    </row>
    <row r="1671" spans="1:14" x14ac:dyDescent="0.3">
      <c r="A1671" s="1139">
        <v>37</v>
      </c>
      <c r="B1671" s="1137"/>
      <c r="C1671" s="399">
        <v>46282</v>
      </c>
      <c r="D1671" s="4" t="s">
        <v>21</v>
      </c>
      <c r="E1671" s="4" t="s">
        <v>14</v>
      </c>
      <c r="F1671" s="827" t="s">
        <v>1787</v>
      </c>
      <c r="G1671" s="827" t="s">
        <v>2978</v>
      </c>
      <c r="H1671" s="16" t="s">
        <v>67</v>
      </c>
      <c r="I1671" s="16" t="s">
        <v>7169</v>
      </c>
      <c r="J1671" s="827" t="s">
        <v>90</v>
      </c>
      <c r="K1671" s="827" t="s">
        <v>686</v>
      </c>
      <c r="L1671" s="125" t="s">
        <v>66</v>
      </c>
      <c r="M1671" s="828">
        <v>250000</v>
      </c>
      <c r="N1671" s="646" t="s">
        <v>393</v>
      </c>
    </row>
    <row r="1672" spans="1:14" x14ac:dyDescent="0.3">
      <c r="A1672" s="1139">
        <v>37</v>
      </c>
      <c r="B1672" s="1137"/>
      <c r="C1672" s="399">
        <v>46282</v>
      </c>
      <c r="D1672" s="4" t="s">
        <v>64</v>
      </c>
      <c r="E1672" s="4" t="s">
        <v>70</v>
      </c>
      <c r="F1672" s="827" t="s">
        <v>7146</v>
      </c>
      <c r="G1672" s="827" t="s">
        <v>3415</v>
      </c>
      <c r="H1672" s="16" t="s">
        <v>40</v>
      </c>
      <c r="I1672" s="832" t="s">
        <v>5397</v>
      </c>
      <c r="J1672" s="827"/>
      <c r="K1672" s="832" t="s">
        <v>487</v>
      </c>
      <c r="L1672" s="125" t="s">
        <v>66</v>
      </c>
      <c r="M1672" s="753">
        <v>500000</v>
      </c>
      <c r="N1672" s="646" t="s">
        <v>128</v>
      </c>
    </row>
  </sheetData>
  <autoFilter ref="A1:N1659"/>
  <mergeCells count="1094"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24" sqref="A24:D27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3250000</v>
      </c>
    </row>
    <row r="10" spans="1:4" x14ac:dyDescent="0.3">
      <c r="A10" s="589" t="s">
        <v>4855</v>
      </c>
      <c r="B10" s="589" t="s">
        <v>4856</v>
      </c>
      <c r="C10" s="1042" t="s">
        <v>4857</v>
      </c>
      <c r="D10" s="1042"/>
    </row>
    <row r="11" spans="1:4" x14ac:dyDescent="0.3">
      <c r="A11" s="589" t="s">
        <v>4858</v>
      </c>
      <c r="B11" s="589">
        <v>3</v>
      </c>
      <c r="C11" s="1043">
        <f>'사전품의양식 (12)'!L9</f>
        <v>3000000</v>
      </c>
      <c r="D11" s="1043"/>
    </row>
    <row r="12" spans="1:4" x14ac:dyDescent="0.3">
      <c r="A12" s="589" t="s">
        <v>4859</v>
      </c>
      <c r="B12" s="589">
        <v>1</v>
      </c>
      <c r="C12" s="1043">
        <f>'사전품의양식 (12)'!L11</f>
        <v>250000</v>
      </c>
      <c r="D12" s="1043"/>
    </row>
    <row r="13" spans="1:4" x14ac:dyDescent="0.3">
      <c r="A13" s="591" t="s">
        <v>53</v>
      </c>
      <c r="B13" s="591">
        <f>SUM(B11:B12)</f>
        <v>4</v>
      </c>
      <c r="C13" s="1044">
        <f>SUM(C11:C12)</f>
        <v>3250000</v>
      </c>
      <c r="D13" s="1044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0</v>
      </c>
      <c r="D18" s="590">
        <f>SUM(B18:C18)</f>
        <v>2250000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250000</v>
      </c>
      <c r="D19" s="592">
        <f>SUM(D17:D18)</f>
        <v>3250000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45" t="s">
        <v>4872</v>
      </c>
      <c r="D24" s="1046"/>
      <c r="E24" s="667"/>
    </row>
    <row r="25" spans="1:5" x14ac:dyDescent="0.3">
      <c r="A25" s="589" t="s">
        <v>4873</v>
      </c>
      <c r="B25" s="589" t="s">
        <v>4874</v>
      </c>
      <c r="C25" s="1040" t="s">
        <v>4875</v>
      </c>
      <c r="D25" s="1041"/>
      <c r="E25" s="667"/>
    </row>
    <row r="26" spans="1:5" x14ac:dyDescent="0.3">
      <c r="A26" s="1161" t="s">
        <v>7024</v>
      </c>
      <c r="B26" s="829" t="s">
        <v>7256</v>
      </c>
      <c r="C26" s="1040" t="s">
        <v>7257</v>
      </c>
      <c r="D26" s="1041"/>
      <c r="E26" s="667"/>
    </row>
    <row r="27" spans="1:5" x14ac:dyDescent="0.3">
      <c r="A27" s="1162"/>
      <c r="B27" s="790" t="s">
        <v>7025</v>
      </c>
      <c r="C27" s="1040" t="s">
        <v>7257</v>
      </c>
      <c r="D27" s="1041"/>
      <c r="E27" s="667"/>
    </row>
    <row r="29" spans="1:5" ht="20.25" x14ac:dyDescent="0.3">
      <c r="A29" s="586" t="s">
        <v>4867</v>
      </c>
    </row>
    <row r="31" spans="1:5" x14ac:dyDescent="0.3">
      <c r="A31" s="587" t="s">
        <v>4876</v>
      </c>
    </row>
    <row r="33" spans="1:1" x14ac:dyDescent="0.3">
      <c r="A33" s="587" t="s">
        <v>4877</v>
      </c>
    </row>
    <row r="35" spans="1:1" x14ac:dyDescent="0.3">
      <c r="A35" s="587" t="s">
        <v>4870</v>
      </c>
    </row>
    <row r="39" spans="1:1" ht="20.25" x14ac:dyDescent="0.3">
      <c r="A39" s="586" t="s">
        <v>4868</v>
      </c>
    </row>
  </sheetData>
  <mergeCells count="9">
    <mergeCell ref="A26:A27"/>
    <mergeCell ref="C26:D26"/>
    <mergeCell ref="C27:D27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8"/>
  <sheetViews>
    <sheetView topLeftCell="A11" zoomScale="90" zoomScaleNormal="90" zoomScaleSheetLayoutView="55" workbookViewId="0">
      <selection activeCell="A24" sqref="A24:M38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0"/>
      <c r="B1" s="680"/>
      <c r="C1" s="680"/>
      <c r="D1" s="680"/>
      <c r="E1" s="680"/>
      <c r="F1" s="680"/>
      <c r="G1" s="680"/>
      <c r="H1" s="680"/>
      <c r="I1" s="680"/>
      <c r="J1" s="680"/>
      <c r="K1" s="680"/>
      <c r="L1" s="680"/>
      <c r="M1" s="680"/>
    </row>
    <row r="2" spans="1:13" x14ac:dyDescent="0.3">
      <c r="A2" s="1048" t="s">
        <v>7258</v>
      </c>
      <c r="B2" s="1048" t="s">
        <v>1</v>
      </c>
      <c r="C2" s="1048" t="s">
        <v>2</v>
      </c>
      <c r="D2" s="1048" t="s">
        <v>3</v>
      </c>
      <c r="E2" s="778" t="s">
        <v>2623</v>
      </c>
      <c r="F2" s="1048" t="s">
        <v>5</v>
      </c>
      <c r="G2" s="1048" t="s">
        <v>6</v>
      </c>
      <c r="H2" s="1048" t="s">
        <v>2624</v>
      </c>
      <c r="I2" s="1048" t="s">
        <v>55</v>
      </c>
      <c r="J2" s="1048" t="s">
        <v>9</v>
      </c>
      <c r="K2" s="1049" t="s">
        <v>56</v>
      </c>
      <c r="L2" s="1048" t="s">
        <v>57</v>
      </c>
      <c r="M2" s="1048" t="s">
        <v>58</v>
      </c>
    </row>
    <row r="3" spans="1:13" x14ac:dyDescent="0.3">
      <c r="A3" s="1048"/>
      <c r="B3" s="1048"/>
      <c r="C3" s="1048"/>
      <c r="D3" s="1048"/>
      <c r="E3" s="778" t="s">
        <v>1724</v>
      </c>
      <c r="F3" s="1048"/>
      <c r="G3" s="1048"/>
      <c r="H3" s="1048"/>
      <c r="I3" s="1048"/>
      <c r="J3" s="1048"/>
      <c r="K3" s="1049"/>
      <c r="L3" s="1048"/>
      <c r="M3" s="1048"/>
    </row>
    <row r="4" spans="1:13" s="681" customFormat="1" ht="17.100000000000001" customHeight="1" x14ac:dyDescent="0.3">
      <c r="A4" s="843" t="s">
        <v>20</v>
      </c>
      <c r="B4" s="399">
        <v>46284</v>
      </c>
      <c r="C4" s="722" t="s">
        <v>7243</v>
      </c>
      <c r="D4" s="632" t="s">
        <v>7244</v>
      </c>
      <c r="E4" s="633" t="s">
        <v>7245</v>
      </c>
      <c r="F4" s="810">
        <v>7065</v>
      </c>
      <c r="G4" s="810" t="s">
        <v>7238</v>
      </c>
      <c r="H4" s="818" t="s">
        <v>7239</v>
      </c>
      <c r="I4" s="633"/>
      <c r="J4" s="818" t="s">
        <v>7236</v>
      </c>
      <c r="K4" s="699" t="s">
        <v>7237</v>
      </c>
      <c r="L4" s="813">
        <v>500000</v>
      </c>
      <c r="M4" s="646" t="s">
        <v>7234</v>
      </c>
    </row>
    <row r="5" spans="1:13" s="681" customFormat="1" ht="17.100000000000001" customHeight="1" x14ac:dyDescent="0.3">
      <c r="A5" s="843"/>
      <c r="B5" s="399">
        <v>46284</v>
      </c>
      <c r="C5" s="722" t="s">
        <v>7243</v>
      </c>
      <c r="D5" s="632" t="s">
        <v>7244</v>
      </c>
      <c r="E5" s="633" t="s">
        <v>7245</v>
      </c>
      <c r="F5" s="810" t="s">
        <v>7240</v>
      </c>
      <c r="G5" s="810" t="s">
        <v>7241</v>
      </c>
      <c r="H5" s="818" t="s">
        <v>7242</v>
      </c>
      <c r="I5" s="633"/>
      <c r="J5" s="818" t="s">
        <v>7235</v>
      </c>
      <c r="K5" s="699" t="s">
        <v>7237</v>
      </c>
      <c r="L5" s="813">
        <v>250000</v>
      </c>
      <c r="M5" s="646" t="s">
        <v>7234</v>
      </c>
    </row>
    <row r="6" spans="1:13" s="681" customFormat="1" ht="17.100000000000001" customHeight="1" x14ac:dyDescent="0.3">
      <c r="A6" s="843"/>
      <c r="B6" s="399" t="s">
        <v>7251</v>
      </c>
      <c r="C6" s="722" t="s">
        <v>7243</v>
      </c>
      <c r="D6" s="632" t="s">
        <v>7244</v>
      </c>
      <c r="E6" s="633" t="s">
        <v>7245</v>
      </c>
      <c r="F6" s="810" t="s">
        <v>7246</v>
      </c>
      <c r="G6" s="810" t="s">
        <v>7247</v>
      </c>
      <c r="H6" s="818" t="s">
        <v>7248</v>
      </c>
      <c r="I6" s="633"/>
      <c r="J6" s="818" t="s">
        <v>7249</v>
      </c>
      <c r="K6" s="699" t="s">
        <v>7250</v>
      </c>
      <c r="L6" s="813">
        <v>750000</v>
      </c>
      <c r="M6" s="646"/>
    </row>
    <row r="7" spans="1:13" s="681" customFormat="1" ht="17.100000000000001" customHeight="1" x14ac:dyDescent="0.3">
      <c r="A7" s="843"/>
      <c r="B7" s="399" t="s">
        <v>7251</v>
      </c>
      <c r="C7" s="722" t="s">
        <v>7243</v>
      </c>
      <c r="D7" s="632" t="s">
        <v>7244</v>
      </c>
      <c r="E7" s="633" t="s">
        <v>7245</v>
      </c>
      <c r="F7" s="810">
        <v>7065</v>
      </c>
      <c r="G7" s="810" t="s">
        <v>7252</v>
      </c>
      <c r="H7" s="818" t="s">
        <v>7253</v>
      </c>
      <c r="I7" s="633"/>
      <c r="J7" s="818" t="s">
        <v>7254</v>
      </c>
      <c r="K7" s="699" t="s">
        <v>7250</v>
      </c>
      <c r="L7" s="826">
        <v>750000</v>
      </c>
      <c r="M7" s="646"/>
    </row>
    <row r="8" spans="1:13" s="681" customFormat="1" ht="17.100000000000001" customHeight="1" x14ac:dyDescent="0.3">
      <c r="A8" s="843"/>
      <c r="B8" s="399" t="s">
        <v>7251</v>
      </c>
      <c r="C8" s="722" t="s">
        <v>7243</v>
      </c>
      <c r="D8" s="632" t="s">
        <v>7244</v>
      </c>
      <c r="E8" s="633" t="s">
        <v>7245</v>
      </c>
      <c r="F8" s="825" t="s">
        <v>7240</v>
      </c>
      <c r="G8" s="825" t="s">
        <v>7241</v>
      </c>
      <c r="H8" s="800" t="s">
        <v>7255</v>
      </c>
      <c r="I8" s="633"/>
      <c r="J8" s="830" t="s">
        <v>7254</v>
      </c>
      <c r="K8" s="699" t="s">
        <v>7250</v>
      </c>
      <c r="L8" s="826">
        <v>750000</v>
      </c>
      <c r="M8" s="646"/>
    </row>
    <row r="9" spans="1:13" ht="17.100000000000001" customHeight="1" x14ac:dyDescent="0.3">
      <c r="A9" s="843"/>
      <c r="B9" s="843" t="s">
        <v>1136</v>
      </c>
      <c r="C9" s="843"/>
      <c r="D9" s="843"/>
      <c r="E9" s="843"/>
      <c r="F9" s="843"/>
      <c r="G9" s="843"/>
      <c r="H9" s="843"/>
      <c r="I9" s="843"/>
      <c r="J9" s="843"/>
      <c r="K9" s="843"/>
      <c r="L9" s="725">
        <f>SUM(L4:L8)</f>
        <v>3000000</v>
      </c>
      <c r="M9" s="646"/>
    </row>
    <row r="10" spans="1:13" ht="27" x14ac:dyDescent="0.3">
      <c r="A10" s="843" t="s">
        <v>21</v>
      </c>
      <c r="B10" s="399">
        <v>46280</v>
      </c>
      <c r="C10" s="4" t="s">
        <v>64</v>
      </c>
      <c r="D10" s="4" t="s">
        <v>14</v>
      </c>
      <c r="E10" s="827" t="s">
        <v>107</v>
      </c>
      <c r="F10" s="827" t="s">
        <v>3386</v>
      </c>
      <c r="G10" s="16" t="s">
        <v>1721</v>
      </c>
      <c r="H10" s="832" t="s">
        <v>7191</v>
      </c>
      <c r="I10" s="827" t="s">
        <v>90</v>
      </c>
      <c r="J10" s="827" t="s">
        <v>7192</v>
      </c>
      <c r="K10" s="125" t="s">
        <v>66</v>
      </c>
      <c r="L10" s="753">
        <v>250000</v>
      </c>
      <c r="M10" s="646" t="s">
        <v>7233</v>
      </c>
    </row>
    <row r="11" spans="1:13" ht="17.100000000000001" customHeight="1" x14ac:dyDescent="0.3">
      <c r="A11" s="843"/>
      <c r="B11" s="843" t="s">
        <v>4879</v>
      </c>
      <c r="C11" s="843"/>
      <c r="D11" s="843"/>
      <c r="E11" s="843"/>
      <c r="F11" s="843"/>
      <c r="G11" s="843"/>
      <c r="H11" s="843"/>
      <c r="I11" s="843"/>
      <c r="J11" s="843"/>
      <c r="K11" s="843"/>
      <c r="L11" s="725">
        <f>SUM(L10)</f>
        <v>250000</v>
      </c>
      <c r="M11" s="646"/>
    </row>
    <row r="12" spans="1:13" ht="25.5" customHeight="1" x14ac:dyDescent="0.3">
      <c r="A12" s="1047" t="s">
        <v>62</v>
      </c>
      <c r="B12" s="1047"/>
      <c r="C12" s="1047"/>
      <c r="D12" s="1047"/>
      <c r="E12" s="1047"/>
      <c r="F12" s="1047"/>
      <c r="G12" s="1047"/>
      <c r="H12" s="1047"/>
      <c r="I12" s="1047"/>
      <c r="J12" s="1047"/>
      <c r="K12" s="1047"/>
      <c r="L12" s="725">
        <f>L9+L11</f>
        <v>3250000</v>
      </c>
      <c r="M12" s="649"/>
    </row>
    <row r="13" spans="1:13" ht="26.25" customHeight="1" x14ac:dyDescent="0.3"/>
    <row r="14" spans="1:13" ht="26.25" hidden="1" customHeight="1" x14ac:dyDescent="0.3"/>
    <row r="15" spans="1:13" ht="25.5" hidden="1" customHeight="1" x14ac:dyDescent="0.3">
      <c r="B15" s="682" t="s">
        <v>1144</v>
      </c>
      <c r="C15" s="683"/>
      <c r="D15" s="683"/>
      <c r="E15" s="683"/>
      <c r="F15" s="683"/>
      <c r="G15" s="683"/>
      <c r="H15" s="683"/>
      <c r="I15" s="683"/>
    </row>
    <row r="16" spans="1:13" ht="25.5" hidden="1" customHeight="1" x14ac:dyDescent="0.3">
      <c r="B16" s="684" t="s">
        <v>1140</v>
      </c>
      <c r="C16" s="682">
        <v>45282</v>
      </c>
      <c r="D16" s="683" t="s">
        <v>1151</v>
      </c>
      <c r="E16" s="683"/>
      <c r="F16" s="683"/>
      <c r="G16" s="683"/>
      <c r="I16" s="683"/>
    </row>
    <row r="17" spans="1:16" ht="25.5" hidden="1" customHeight="1" x14ac:dyDescent="0.3">
      <c r="B17" s="684" t="s">
        <v>1141</v>
      </c>
      <c r="C17" s="682">
        <v>45282</v>
      </c>
      <c r="D17" s="683" t="s">
        <v>1143</v>
      </c>
      <c r="E17" s="683"/>
      <c r="F17" s="683"/>
      <c r="G17" s="683"/>
      <c r="H17" s="683"/>
      <c r="I17" s="683"/>
    </row>
    <row r="18" spans="1:16" ht="25.5" hidden="1" customHeight="1" x14ac:dyDescent="0.3">
      <c r="B18" s="684" t="s">
        <v>1145</v>
      </c>
      <c r="C18" s="685" t="s">
        <v>1142</v>
      </c>
      <c r="D18" s="683" t="s">
        <v>1152</v>
      </c>
      <c r="E18" s="683"/>
      <c r="F18" s="683"/>
      <c r="G18" s="683"/>
      <c r="H18" s="683"/>
      <c r="I18" s="683"/>
    </row>
    <row r="19" spans="1:16" ht="20.100000000000001" hidden="1" customHeight="1" x14ac:dyDescent="0.3">
      <c r="B19" s="683"/>
      <c r="C19" s="683" t="s">
        <v>1146</v>
      </c>
      <c r="D19" s="683"/>
      <c r="E19" s="683"/>
      <c r="F19" s="683"/>
      <c r="G19" s="683"/>
      <c r="H19" s="683"/>
      <c r="I19" s="683"/>
    </row>
    <row r="20" spans="1:16" ht="16.5" hidden="1" customHeight="1" x14ac:dyDescent="0.3"/>
    <row r="21" spans="1:16" ht="20.100000000000001" hidden="1" customHeight="1" x14ac:dyDescent="0.3">
      <c r="J21" s="683"/>
    </row>
    <row r="24" spans="1:16" ht="28.5" customHeight="1" x14ac:dyDescent="0.3">
      <c r="A24" s="1142" t="s">
        <v>0</v>
      </c>
      <c r="B24" s="1143" t="s">
        <v>1</v>
      </c>
      <c r="C24" s="1144" t="s">
        <v>2</v>
      </c>
      <c r="D24" s="1144" t="s">
        <v>3</v>
      </c>
      <c r="E24" s="1144" t="s">
        <v>4</v>
      </c>
      <c r="F24" s="1144" t="s">
        <v>5</v>
      </c>
      <c r="G24" s="1144" t="s">
        <v>6</v>
      </c>
      <c r="H24" s="1145" t="s">
        <v>7</v>
      </c>
      <c r="I24" s="1144" t="s">
        <v>8</v>
      </c>
      <c r="J24" s="1144" t="s">
        <v>9</v>
      </c>
      <c r="K24" s="1146" t="s">
        <v>10</v>
      </c>
      <c r="L24" s="1144" t="s">
        <v>12</v>
      </c>
      <c r="M24" s="1147" t="s">
        <v>63</v>
      </c>
    </row>
    <row r="25" spans="1:16" s="17" customFormat="1" ht="33" customHeight="1" x14ac:dyDescent="0.3">
      <c r="A25" s="1148" t="s">
        <v>6765</v>
      </c>
      <c r="B25" s="399">
        <v>46286</v>
      </c>
      <c r="C25" s="4" t="s">
        <v>3650</v>
      </c>
      <c r="D25" s="4" t="s">
        <v>77</v>
      </c>
      <c r="E25" s="827" t="s">
        <v>5254</v>
      </c>
      <c r="F25" s="827" t="s">
        <v>6965</v>
      </c>
      <c r="G25" s="16" t="s">
        <v>575</v>
      </c>
      <c r="H25" s="832" t="s">
        <v>7199</v>
      </c>
      <c r="I25" s="827" t="s">
        <v>7225</v>
      </c>
      <c r="J25" s="827"/>
      <c r="K25" s="125" t="s">
        <v>42</v>
      </c>
      <c r="L25" s="18" t="s">
        <v>7211</v>
      </c>
      <c r="M25" s="1149"/>
      <c r="N25" s="1140"/>
      <c r="O25" s="430"/>
      <c r="P25" s="827"/>
    </row>
    <row r="26" spans="1:16" s="17" customFormat="1" ht="33" customHeight="1" x14ac:dyDescent="0.3">
      <c r="A26" s="1150"/>
      <c r="B26" s="399">
        <v>46286</v>
      </c>
      <c r="C26" s="4" t="s">
        <v>3650</v>
      </c>
      <c r="D26" s="4" t="s">
        <v>17</v>
      </c>
      <c r="E26" s="832" t="s">
        <v>7059</v>
      </c>
      <c r="F26" s="827" t="s">
        <v>7060</v>
      </c>
      <c r="G26" s="16" t="s">
        <v>23</v>
      </c>
      <c r="H26" s="832" t="s">
        <v>7062</v>
      </c>
      <c r="I26" s="827"/>
      <c r="J26" s="832" t="s">
        <v>487</v>
      </c>
      <c r="K26" s="125" t="s">
        <v>42</v>
      </c>
      <c r="L26" s="8">
        <v>2</v>
      </c>
      <c r="M26" s="1151"/>
      <c r="N26" s="1140"/>
      <c r="O26" s="437" t="s">
        <v>7230</v>
      </c>
      <c r="P26" s="827"/>
    </row>
    <row r="27" spans="1:16" s="17" customFormat="1" ht="33" customHeight="1" x14ac:dyDescent="0.3">
      <c r="A27" s="1150"/>
      <c r="B27" s="399">
        <v>46286</v>
      </c>
      <c r="C27" s="4" t="s">
        <v>6707</v>
      </c>
      <c r="D27" s="4" t="s">
        <v>25</v>
      </c>
      <c r="E27" s="827" t="s">
        <v>6709</v>
      </c>
      <c r="F27" s="827">
        <v>7065</v>
      </c>
      <c r="G27" s="16" t="s">
        <v>145</v>
      </c>
      <c r="H27" s="832" t="s">
        <v>6706</v>
      </c>
      <c r="I27" s="827" t="s">
        <v>7225</v>
      </c>
      <c r="J27" s="832"/>
      <c r="K27" s="277" t="s">
        <v>7213</v>
      </c>
      <c r="L27" s="8">
        <v>2</v>
      </c>
      <c r="M27" s="1151"/>
      <c r="N27" s="1140"/>
      <c r="O27" s="430"/>
      <c r="P27" s="827"/>
    </row>
    <row r="28" spans="1:16" s="17" customFormat="1" ht="33" customHeight="1" x14ac:dyDescent="0.3">
      <c r="A28" s="1150"/>
      <c r="B28" s="399">
        <v>46286</v>
      </c>
      <c r="C28" s="4" t="s">
        <v>7216</v>
      </c>
      <c r="D28" s="4" t="s">
        <v>7217</v>
      </c>
      <c r="E28" s="832" t="s">
        <v>7218</v>
      </c>
      <c r="F28" s="827">
        <v>3306</v>
      </c>
      <c r="G28" s="16" t="s">
        <v>7219</v>
      </c>
      <c r="H28" s="832" t="s">
        <v>7220</v>
      </c>
      <c r="I28" s="832" t="s">
        <v>7221</v>
      </c>
      <c r="J28" s="832" t="s">
        <v>7222</v>
      </c>
      <c r="K28" s="125" t="s">
        <v>66</v>
      </c>
      <c r="L28" s="8">
        <v>4</v>
      </c>
      <c r="M28" s="1151"/>
      <c r="N28" s="1140"/>
      <c r="O28" s="430"/>
      <c r="P28" s="827"/>
    </row>
    <row r="29" spans="1:16" s="17" customFormat="1" ht="33" customHeight="1" x14ac:dyDescent="0.3">
      <c r="A29" s="1150"/>
      <c r="B29" s="399">
        <v>46286</v>
      </c>
      <c r="C29" s="4" t="s">
        <v>64</v>
      </c>
      <c r="D29" s="4" t="s">
        <v>14</v>
      </c>
      <c r="E29" s="827" t="s">
        <v>107</v>
      </c>
      <c r="F29" s="827" t="s">
        <v>2959</v>
      </c>
      <c r="G29" s="16" t="s">
        <v>67</v>
      </c>
      <c r="H29" s="832" t="s">
        <v>7228</v>
      </c>
      <c r="I29" s="827"/>
      <c r="J29" s="832" t="s">
        <v>7227</v>
      </c>
      <c r="K29" s="125" t="s">
        <v>66</v>
      </c>
      <c r="L29" s="8">
        <v>3</v>
      </c>
      <c r="M29" s="1151"/>
      <c r="N29" s="1140"/>
      <c r="O29" s="431" t="s">
        <v>7232</v>
      </c>
      <c r="P29" s="827"/>
    </row>
    <row r="30" spans="1:16" s="17" customFormat="1" ht="33" customHeight="1" x14ac:dyDescent="0.3">
      <c r="A30" s="1150"/>
      <c r="B30" s="399">
        <v>46287</v>
      </c>
      <c r="C30" s="4" t="s">
        <v>64</v>
      </c>
      <c r="D30" s="4" t="s">
        <v>14</v>
      </c>
      <c r="E30" s="827" t="s">
        <v>107</v>
      </c>
      <c r="F30" s="827" t="s">
        <v>2959</v>
      </c>
      <c r="G30" s="16" t="s">
        <v>67</v>
      </c>
      <c r="H30" s="832" t="s">
        <v>7229</v>
      </c>
      <c r="I30" s="827"/>
      <c r="J30" s="832" t="s">
        <v>7227</v>
      </c>
      <c r="K30" s="125" t="s">
        <v>66</v>
      </c>
      <c r="L30" s="8">
        <v>3</v>
      </c>
      <c r="M30" s="1151"/>
      <c r="N30" s="1140"/>
      <c r="O30" s="431" t="s">
        <v>7232</v>
      </c>
      <c r="P30" s="827"/>
    </row>
    <row r="31" spans="1:16" s="17" customFormat="1" ht="33" customHeight="1" x14ac:dyDescent="0.3">
      <c r="A31" s="1150"/>
      <c r="B31" s="399">
        <v>46287</v>
      </c>
      <c r="C31" s="4" t="s">
        <v>6707</v>
      </c>
      <c r="D31" s="4" t="s">
        <v>25</v>
      </c>
      <c r="E31" s="827" t="s">
        <v>6709</v>
      </c>
      <c r="F31" s="827">
        <v>7065</v>
      </c>
      <c r="G31" s="16" t="s">
        <v>145</v>
      </c>
      <c r="H31" s="832" t="s">
        <v>6706</v>
      </c>
      <c r="I31" s="827" t="s">
        <v>7212</v>
      </c>
      <c r="J31" s="832"/>
      <c r="K31" s="277" t="s">
        <v>7213</v>
      </c>
      <c r="L31" s="18" t="s">
        <v>7226</v>
      </c>
      <c r="M31" s="1149"/>
      <c r="N31" s="1140"/>
      <c r="O31" s="431"/>
      <c r="P31" s="827"/>
    </row>
    <row r="32" spans="1:16" s="17" customFormat="1" ht="33" customHeight="1" x14ac:dyDescent="0.3">
      <c r="A32" s="1150"/>
      <c r="B32" s="399">
        <v>46287</v>
      </c>
      <c r="C32" s="4" t="s">
        <v>7216</v>
      </c>
      <c r="D32" s="4" t="s">
        <v>7217</v>
      </c>
      <c r="E32" s="832" t="s">
        <v>7218</v>
      </c>
      <c r="F32" s="827">
        <v>3306</v>
      </c>
      <c r="G32" s="16" t="s">
        <v>7219</v>
      </c>
      <c r="H32" s="832" t="s">
        <v>7220</v>
      </c>
      <c r="I32" s="832" t="s">
        <v>7221</v>
      </c>
      <c r="J32" s="832" t="s">
        <v>7222</v>
      </c>
      <c r="K32" s="125" t="s">
        <v>66</v>
      </c>
      <c r="L32" s="8">
        <v>4</v>
      </c>
      <c r="M32" s="1151"/>
      <c r="N32" s="1140"/>
      <c r="O32" s="431"/>
      <c r="P32" s="827"/>
    </row>
    <row r="33" spans="1:16" s="17" customFormat="1" ht="33" customHeight="1" x14ac:dyDescent="0.3">
      <c r="A33" s="1150"/>
      <c r="B33" s="399">
        <v>46287</v>
      </c>
      <c r="C33" s="4" t="s">
        <v>21</v>
      </c>
      <c r="D33" s="4" t="s">
        <v>14</v>
      </c>
      <c r="E33" s="827" t="s">
        <v>1893</v>
      </c>
      <c r="F33" s="827" t="s">
        <v>3589</v>
      </c>
      <c r="G33" s="16" t="s">
        <v>7185</v>
      </c>
      <c r="H33" s="832" t="s">
        <v>7189</v>
      </c>
      <c r="I33" s="827" t="s">
        <v>202</v>
      </c>
      <c r="J33" s="832"/>
      <c r="K33" s="125" t="s">
        <v>66</v>
      </c>
      <c r="L33" s="8">
        <v>1</v>
      </c>
      <c r="M33" s="1151"/>
      <c r="N33" s="1140"/>
      <c r="O33" s="431"/>
      <c r="P33" s="827"/>
    </row>
    <row r="34" spans="1:16" s="17" customFormat="1" ht="33" customHeight="1" x14ac:dyDescent="0.3">
      <c r="A34" s="1150"/>
      <c r="B34" s="399">
        <v>46287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32" t="s">
        <v>7194</v>
      </c>
      <c r="I34" s="827" t="s">
        <v>7195</v>
      </c>
      <c r="J34" s="832" t="s">
        <v>7196</v>
      </c>
      <c r="K34" s="125" t="s">
        <v>7197</v>
      </c>
      <c r="L34" s="8">
        <v>3</v>
      </c>
      <c r="M34" s="1151"/>
      <c r="N34" s="1140"/>
      <c r="O34" s="431" t="s">
        <v>7231</v>
      </c>
      <c r="P34" s="827"/>
    </row>
    <row r="35" spans="1:16" s="17" customFormat="1" ht="33" customHeight="1" x14ac:dyDescent="0.3">
      <c r="A35" s="1150"/>
      <c r="B35" s="399">
        <v>46288</v>
      </c>
      <c r="C35" s="4" t="s">
        <v>6707</v>
      </c>
      <c r="D35" s="4" t="s">
        <v>25</v>
      </c>
      <c r="E35" s="827" t="s">
        <v>6709</v>
      </c>
      <c r="F35" s="827">
        <v>7065</v>
      </c>
      <c r="G35" s="16" t="s">
        <v>145</v>
      </c>
      <c r="H35" s="832" t="s">
        <v>6706</v>
      </c>
      <c r="I35" s="827" t="s">
        <v>7214</v>
      </c>
      <c r="J35" s="832"/>
      <c r="K35" s="277" t="s">
        <v>7213</v>
      </c>
      <c r="L35" s="8">
        <v>2</v>
      </c>
      <c r="M35" s="1151"/>
      <c r="N35" s="1141"/>
      <c r="O35" s="430"/>
      <c r="P35" s="827"/>
    </row>
    <row r="36" spans="1:16" s="17" customFormat="1" ht="33" customHeight="1" x14ac:dyDescent="0.3">
      <c r="A36" s="1150"/>
      <c r="B36" s="399">
        <v>46289</v>
      </c>
      <c r="C36" s="4"/>
      <c r="D36" s="4"/>
      <c r="E36" s="827"/>
      <c r="F36" s="827"/>
      <c r="G36" s="16"/>
      <c r="H36" s="832" t="s">
        <v>7150</v>
      </c>
      <c r="I36" s="827"/>
      <c r="J36" s="832"/>
      <c r="K36" s="125"/>
      <c r="L36" s="8"/>
      <c r="M36" s="1151"/>
      <c r="N36" s="1141"/>
      <c r="O36" s="430"/>
      <c r="P36" s="827"/>
    </row>
    <row r="37" spans="1:16" s="17" customFormat="1" ht="33" customHeight="1" x14ac:dyDescent="0.3">
      <c r="A37" s="1150"/>
      <c r="B37" s="399">
        <v>46290</v>
      </c>
      <c r="C37" s="4"/>
      <c r="D37" s="4"/>
      <c r="E37" s="827"/>
      <c r="F37" s="827"/>
      <c r="G37" s="16"/>
      <c r="H37" s="832" t="s">
        <v>7150</v>
      </c>
      <c r="I37" s="827"/>
      <c r="J37" s="832"/>
      <c r="K37" s="125"/>
      <c r="L37" s="16"/>
      <c r="M37" s="1151"/>
      <c r="N37" s="1141"/>
      <c r="O37" s="430"/>
      <c r="P37" s="827"/>
    </row>
    <row r="38" spans="1:16" s="17" customFormat="1" ht="33" customHeight="1" x14ac:dyDescent="0.3">
      <c r="A38" s="1152"/>
      <c r="B38" s="1153">
        <v>46291</v>
      </c>
      <c r="C38" s="1154"/>
      <c r="D38" s="1154"/>
      <c r="E38" s="1155"/>
      <c r="F38" s="1156"/>
      <c r="G38" s="1157"/>
      <c r="H38" s="1158" t="s">
        <v>7150</v>
      </c>
      <c r="I38" s="1156"/>
      <c r="J38" s="1156"/>
      <c r="K38" s="1159"/>
      <c r="L38" s="1157"/>
      <c r="M38" s="1160"/>
      <c r="N38" s="1140"/>
      <c r="O38" s="432"/>
      <c r="P38" s="82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2:K12"/>
    <mergeCell ref="B11:K11"/>
    <mergeCell ref="A10:A11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1" t="s">
        <v>53</v>
      </c>
      <c r="B21" s="871"/>
      <c r="C21" s="871"/>
      <c r="D21" s="871"/>
      <c r="E21" s="871"/>
      <c r="F21" s="871"/>
      <c r="G21" s="871"/>
      <c r="H21" s="871"/>
      <c r="I21" s="871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83" t="s">
        <v>53</v>
      </c>
      <c r="B26" s="1084"/>
      <c r="C26" s="1084"/>
      <c r="D26" s="1084"/>
      <c r="E26" s="1084"/>
      <c r="F26" s="1084"/>
      <c r="G26" s="1084"/>
      <c r="H26" s="1084"/>
      <c r="I26" s="108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83" t="s">
        <v>53</v>
      </c>
      <c r="B35" s="1084"/>
      <c r="C35" s="1084"/>
      <c r="D35" s="1084"/>
      <c r="E35" s="1084"/>
      <c r="F35" s="1084"/>
      <c r="G35" s="1084"/>
      <c r="H35" s="1084"/>
      <c r="I35" s="108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83" t="s">
        <v>53</v>
      </c>
      <c r="B42" s="1084"/>
      <c r="C42" s="1084"/>
      <c r="D42" s="1084"/>
      <c r="E42" s="1084"/>
      <c r="F42" s="1084"/>
      <c r="G42" s="1084"/>
      <c r="H42" s="1084"/>
      <c r="I42" s="108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83" t="s">
        <v>53</v>
      </c>
      <c r="B48" s="1084"/>
      <c r="C48" s="1084"/>
      <c r="D48" s="1084"/>
      <c r="E48" s="1084"/>
      <c r="F48" s="1084"/>
      <c r="G48" s="1084"/>
      <c r="H48" s="1084"/>
      <c r="I48" s="108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83" t="s">
        <v>53</v>
      </c>
      <c r="B54" s="1084"/>
      <c r="C54" s="1084"/>
      <c r="D54" s="1084"/>
      <c r="E54" s="1084"/>
      <c r="F54" s="1084"/>
      <c r="G54" s="1084"/>
      <c r="H54" s="1084"/>
      <c r="I54" s="108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1"/>
      <c r="B61" s="111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1"/>
      <c r="B62" s="111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1"/>
      <c r="B63" s="111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83" t="s">
        <v>53</v>
      </c>
      <c r="B64" s="1084"/>
      <c r="C64" s="1084"/>
      <c r="D64" s="1084"/>
      <c r="E64" s="1084"/>
      <c r="F64" s="1084"/>
      <c r="G64" s="1084"/>
      <c r="H64" s="1084"/>
      <c r="I64" s="108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83" t="s">
        <v>53</v>
      </c>
      <c r="B70" s="1084"/>
      <c r="C70" s="1084"/>
      <c r="D70" s="1084"/>
      <c r="E70" s="1084"/>
      <c r="F70" s="1084"/>
      <c r="G70" s="1084"/>
      <c r="H70" s="1084"/>
      <c r="I70" s="108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1" t="s">
        <v>53</v>
      </c>
      <c r="B78" s="871"/>
      <c r="C78" s="871"/>
      <c r="D78" s="871"/>
      <c r="E78" s="871"/>
      <c r="F78" s="871"/>
      <c r="G78" s="871"/>
      <c r="H78" s="871"/>
      <c r="I78" s="871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83" t="s">
        <v>53</v>
      </c>
      <c r="B86" s="1084"/>
      <c r="C86" s="1084"/>
      <c r="D86" s="1084"/>
      <c r="E86" s="1084"/>
      <c r="F86" s="1084"/>
      <c r="G86" s="1084"/>
      <c r="H86" s="1084"/>
      <c r="I86" s="108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83" t="s">
        <v>53</v>
      </c>
      <c r="B92" s="1084"/>
      <c r="C92" s="1084"/>
      <c r="D92" s="1084"/>
      <c r="E92" s="1084"/>
      <c r="F92" s="1084"/>
      <c r="G92" s="1084"/>
      <c r="H92" s="1084"/>
      <c r="I92" s="108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83" t="s">
        <v>53</v>
      </c>
      <c r="B101" s="1084"/>
      <c r="C101" s="1084"/>
      <c r="D101" s="1084"/>
      <c r="E101" s="1084"/>
      <c r="F101" s="1084"/>
      <c r="G101" s="1084"/>
      <c r="H101" s="1084"/>
      <c r="I101" s="108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1"/>
      <c r="B107" s="110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1"/>
      <c r="B108" s="110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1" t="s">
        <v>53</v>
      </c>
      <c r="B112" s="871"/>
      <c r="C112" s="871"/>
      <c r="D112" s="871"/>
      <c r="E112" s="871"/>
      <c r="F112" s="871"/>
      <c r="G112" s="871"/>
      <c r="H112" s="871"/>
      <c r="I112" s="871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5" t="s">
        <v>954</v>
      </c>
      <c r="B119" s="90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6"/>
      <c r="B120" s="90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1" t="s">
        <v>53</v>
      </c>
      <c r="B121" s="871"/>
      <c r="C121" s="871"/>
      <c r="D121" s="871"/>
      <c r="E121" s="871"/>
      <c r="F121" s="871"/>
      <c r="G121" s="871"/>
      <c r="H121" s="871"/>
      <c r="I121" s="871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6"/>
      <c r="B129" s="11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0" t="s">
        <v>90</v>
      </c>
      <c r="J129" s="1098">
        <v>2</v>
      </c>
      <c r="K129" s="25" t="s">
        <v>52</v>
      </c>
      <c r="L129" s="25" t="s">
        <v>51</v>
      </c>
    </row>
    <row r="130" spans="1:12" x14ac:dyDescent="0.3">
      <c r="A130" s="886"/>
      <c r="B130" s="11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0"/>
      <c r="J130" s="1099"/>
      <c r="K130" s="25" t="s">
        <v>52</v>
      </c>
      <c r="L130" s="25" t="s">
        <v>51</v>
      </c>
    </row>
    <row r="131" spans="1:12" x14ac:dyDescent="0.3">
      <c r="A131" s="88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6"/>
      <c r="B133" s="97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5" t="s">
        <v>1277</v>
      </c>
      <c r="J133" s="1098">
        <v>1</v>
      </c>
      <c r="K133" s="25" t="s">
        <v>52</v>
      </c>
      <c r="L133" s="25" t="s">
        <v>51</v>
      </c>
    </row>
    <row r="134" spans="1:12" x14ac:dyDescent="0.3">
      <c r="A134" s="886"/>
      <c r="B134" s="97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2"/>
      <c r="J134" s="1099"/>
      <c r="K134" s="25" t="s">
        <v>52</v>
      </c>
      <c r="L134" s="25" t="s">
        <v>51</v>
      </c>
    </row>
    <row r="135" spans="1:12" x14ac:dyDescent="0.3">
      <c r="A135" s="88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8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1" t="s">
        <v>53</v>
      </c>
      <c r="B137" s="871"/>
      <c r="C137" s="871"/>
      <c r="D137" s="871"/>
      <c r="E137" s="871"/>
      <c r="F137" s="871"/>
      <c r="G137" s="871"/>
      <c r="H137" s="871"/>
      <c r="I137" s="871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6" t="s">
        <v>1007</v>
      </c>
      <c r="B142" s="97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6"/>
      <c r="B143" s="97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1" t="s">
        <v>53</v>
      </c>
      <c r="B145" s="871"/>
      <c r="C145" s="871"/>
      <c r="D145" s="871"/>
      <c r="E145" s="871"/>
      <c r="F145" s="871"/>
      <c r="G145" s="871"/>
      <c r="H145" s="871"/>
      <c r="I145" s="871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5"/>
      <c r="B150" s="90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5"/>
      <c r="B151" s="90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57" t="s">
        <v>53</v>
      </c>
      <c r="B154" s="857"/>
      <c r="C154" s="857"/>
      <c r="D154" s="857"/>
      <c r="E154" s="857"/>
      <c r="F154" s="857"/>
      <c r="G154" s="857"/>
      <c r="H154" s="857"/>
      <c r="I154" s="85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8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1" t="s">
        <v>53</v>
      </c>
      <c r="B163" s="871"/>
      <c r="C163" s="871"/>
      <c r="D163" s="871"/>
      <c r="E163" s="871"/>
      <c r="F163" s="871"/>
      <c r="G163" s="871"/>
      <c r="H163" s="871"/>
      <c r="I163" s="871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57" t="s">
        <v>53</v>
      </c>
      <c r="B167" s="857"/>
      <c r="C167" s="857"/>
      <c r="D167" s="857"/>
      <c r="E167" s="857"/>
      <c r="F167" s="857"/>
      <c r="G167" s="857"/>
      <c r="H167" s="857"/>
      <c r="I167" s="85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8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1" t="s">
        <v>53</v>
      </c>
      <c r="B183" s="871"/>
      <c r="C183" s="871"/>
      <c r="D183" s="871"/>
      <c r="E183" s="871"/>
      <c r="F183" s="871"/>
      <c r="G183" s="871"/>
      <c r="H183" s="871"/>
      <c r="I183" s="871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28" t="s">
        <v>1061</v>
      </c>
      <c r="B189" s="90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29"/>
      <c r="B190" s="90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29"/>
      <c r="B191" s="90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29"/>
      <c r="B192" s="90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1" t="s">
        <v>53</v>
      </c>
      <c r="B193" s="871"/>
      <c r="C193" s="871"/>
      <c r="D193" s="871"/>
      <c r="E193" s="871"/>
      <c r="F193" s="871"/>
      <c r="G193" s="871"/>
      <c r="H193" s="871"/>
      <c r="I193" s="871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57" t="s">
        <v>53</v>
      </c>
      <c r="B203" s="857"/>
      <c r="C203" s="857"/>
      <c r="D203" s="857"/>
      <c r="E203" s="857"/>
      <c r="F203" s="857"/>
      <c r="G203" s="857"/>
      <c r="H203" s="857"/>
      <c r="I203" s="85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5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5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5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5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5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5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5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57" t="s">
        <v>53</v>
      </c>
      <c r="B214" s="857"/>
      <c r="C214" s="857"/>
      <c r="D214" s="857"/>
      <c r="E214" s="857"/>
      <c r="F214" s="857"/>
      <c r="G214" s="857"/>
      <c r="H214" s="857"/>
      <c r="I214" s="857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5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5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5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5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5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5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57" t="s">
        <v>1458</v>
      </c>
      <c r="B226" s="857"/>
      <c r="C226" s="857"/>
      <c r="D226" s="857"/>
      <c r="E226" s="857"/>
      <c r="F226" s="857"/>
      <c r="G226" s="857"/>
      <c r="H226" s="857"/>
      <c r="I226" s="85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5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5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5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5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5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5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5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57" t="s">
        <v>1499</v>
      </c>
      <c r="B236" s="857"/>
      <c r="C236" s="857"/>
      <c r="D236" s="857"/>
      <c r="E236" s="857"/>
      <c r="F236" s="857"/>
      <c r="G236" s="857"/>
      <c r="H236" s="857"/>
      <c r="I236" s="85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83" t="s">
        <v>53</v>
      </c>
      <c r="B244" s="1084"/>
      <c r="C244" s="1084"/>
      <c r="D244" s="1084"/>
      <c r="E244" s="1084"/>
      <c r="F244" s="1084"/>
      <c r="G244" s="1084"/>
      <c r="H244" s="1084"/>
      <c r="I244" s="108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83" t="s">
        <v>53</v>
      </c>
      <c r="B250" s="1084"/>
      <c r="C250" s="1084"/>
      <c r="D250" s="1084"/>
      <c r="E250" s="1084"/>
      <c r="F250" s="1084"/>
      <c r="G250" s="1084"/>
      <c r="H250" s="1084"/>
      <c r="I250" s="108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83" t="s">
        <v>53</v>
      </c>
      <c r="B257" s="1084"/>
      <c r="C257" s="1084"/>
      <c r="D257" s="1084"/>
      <c r="E257" s="1084"/>
      <c r="F257" s="1084"/>
      <c r="G257" s="1084"/>
      <c r="H257" s="1084"/>
      <c r="I257" s="108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83" t="s">
        <v>53</v>
      </c>
      <c r="B262" s="1084"/>
      <c r="C262" s="1084"/>
      <c r="D262" s="1084"/>
      <c r="E262" s="1084"/>
      <c r="F262" s="1084"/>
      <c r="G262" s="1084"/>
      <c r="H262" s="1084"/>
      <c r="I262" s="108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83" t="s">
        <v>53</v>
      </c>
      <c r="B271" s="1084"/>
      <c r="C271" s="1084"/>
      <c r="D271" s="1084"/>
      <c r="E271" s="1084"/>
      <c r="F271" s="1084"/>
      <c r="G271" s="1084"/>
      <c r="H271" s="1084"/>
      <c r="I271" s="108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83" t="s">
        <v>53</v>
      </c>
      <c r="B275" s="1084"/>
      <c r="C275" s="1084"/>
      <c r="D275" s="1084"/>
      <c r="E275" s="1084"/>
      <c r="F275" s="1084"/>
      <c r="G275" s="1084"/>
      <c r="H275" s="1084"/>
      <c r="I275" s="108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0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0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0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0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0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0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0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0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83" t="s">
        <v>1646</v>
      </c>
      <c r="B296" s="1084"/>
      <c r="C296" s="1084"/>
      <c r="D296" s="1084"/>
      <c r="E296" s="1084"/>
      <c r="F296" s="1084"/>
      <c r="G296" s="1084"/>
      <c r="H296" s="1084"/>
      <c r="I296" s="108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5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5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5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5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57" t="s">
        <v>1659</v>
      </c>
      <c r="B305" s="857"/>
      <c r="C305" s="857"/>
      <c r="D305" s="857"/>
      <c r="E305" s="857"/>
      <c r="F305" s="857"/>
      <c r="G305" s="857"/>
      <c r="H305" s="857"/>
      <c r="I305" s="85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57" t="s">
        <v>53</v>
      </c>
      <c r="B309" s="857"/>
      <c r="C309" s="857"/>
      <c r="D309" s="857"/>
      <c r="E309" s="857"/>
      <c r="F309" s="857"/>
      <c r="G309" s="857"/>
      <c r="H309" s="857"/>
      <c r="I309" s="85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5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5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57" t="s">
        <v>1659</v>
      </c>
      <c r="B314" s="857"/>
      <c r="C314" s="857"/>
      <c r="D314" s="857"/>
      <c r="E314" s="857"/>
      <c r="F314" s="857"/>
      <c r="G314" s="857"/>
      <c r="H314" s="857"/>
      <c r="I314" s="85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5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5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5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57" t="s">
        <v>1659</v>
      </c>
      <c r="B321" s="857"/>
      <c r="C321" s="857"/>
      <c r="D321" s="857"/>
      <c r="E321" s="857"/>
      <c r="F321" s="857"/>
      <c r="G321" s="857"/>
      <c r="H321" s="857"/>
      <c r="I321" s="857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5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5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5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5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5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57" t="s">
        <v>1659</v>
      </c>
      <c r="B330" s="857"/>
      <c r="C330" s="857"/>
      <c r="D330" s="857"/>
      <c r="E330" s="857"/>
      <c r="F330" s="857"/>
      <c r="G330" s="857"/>
      <c r="H330" s="857"/>
      <c r="I330" s="857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57" t="s">
        <v>1659</v>
      </c>
      <c r="B338" s="857"/>
      <c r="C338" s="857"/>
      <c r="D338" s="857"/>
      <c r="E338" s="857"/>
      <c r="F338" s="857"/>
      <c r="G338" s="857"/>
      <c r="H338" s="857"/>
      <c r="I338" s="857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0" t="s">
        <v>1521</v>
      </c>
      <c r="B343" s="128" t="s">
        <v>1531</v>
      </c>
      <c r="C343" s="1010" t="s">
        <v>306</v>
      </c>
      <c r="D343" s="1010" t="s">
        <v>322</v>
      </c>
      <c r="E343" s="891" t="s">
        <v>307</v>
      </c>
      <c r="F343" s="1123">
        <v>4266</v>
      </c>
      <c r="G343" s="1010" t="s">
        <v>640</v>
      </c>
      <c r="H343" s="1123" t="s">
        <v>1533</v>
      </c>
      <c r="I343" s="1010" t="s">
        <v>1534</v>
      </c>
      <c r="J343" s="891">
        <v>2</v>
      </c>
      <c r="K343" s="1080" t="s">
        <v>50</v>
      </c>
      <c r="L343" s="1080" t="s">
        <v>51</v>
      </c>
    </row>
    <row r="344" spans="1:13" x14ac:dyDescent="0.3">
      <c r="A344" s="1121"/>
      <c r="B344" s="129" t="s">
        <v>1532</v>
      </c>
      <c r="C344" s="892"/>
      <c r="D344" s="892"/>
      <c r="E344" s="892"/>
      <c r="F344" s="890"/>
      <c r="G344" s="892"/>
      <c r="H344" s="890"/>
      <c r="I344" s="892"/>
      <c r="J344" s="892"/>
      <c r="K344" s="1082"/>
      <c r="L344" s="1082"/>
    </row>
    <row r="345" spans="1:13" x14ac:dyDescent="0.3">
      <c r="A345" s="1121"/>
      <c r="B345" s="128" t="s">
        <v>1536</v>
      </c>
      <c r="C345" s="891" t="s">
        <v>306</v>
      </c>
      <c r="D345" s="891" t="s">
        <v>322</v>
      </c>
      <c r="E345" s="891" t="s">
        <v>307</v>
      </c>
      <c r="F345" s="889">
        <v>3306</v>
      </c>
      <c r="G345" s="891" t="s">
        <v>1153</v>
      </c>
      <c r="H345" s="889" t="s">
        <v>1538</v>
      </c>
      <c r="I345" s="891" t="s">
        <v>1534</v>
      </c>
      <c r="J345" s="891">
        <v>2</v>
      </c>
      <c r="K345" s="1080" t="s">
        <v>50</v>
      </c>
      <c r="L345" s="1080" t="s">
        <v>51</v>
      </c>
    </row>
    <row r="346" spans="1:13" x14ac:dyDescent="0.3">
      <c r="A346" s="1122"/>
      <c r="B346" s="129" t="s">
        <v>1537</v>
      </c>
      <c r="C346" s="892"/>
      <c r="D346" s="892"/>
      <c r="E346" s="892"/>
      <c r="F346" s="890"/>
      <c r="G346" s="892"/>
      <c r="H346" s="890"/>
      <c r="I346" s="892"/>
      <c r="J346" s="892"/>
      <c r="K346" s="1082"/>
      <c r="L346" s="1082"/>
    </row>
    <row r="347" spans="1:13" x14ac:dyDescent="0.3">
      <c r="A347" s="1083" t="s">
        <v>53</v>
      </c>
      <c r="B347" s="1084"/>
      <c r="C347" s="1084"/>
      <c r="D347" s="1084"/>
      <c r="E347" s="1084"/>
      <c r="F347" s="1084"/>
      <c r="G347" s="1084"/>
      <c r="H347" s="1084"/>
      <c r="I347" s="108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1" t="s">
        <v>53</v>
      </c>
      <c r="B357" s="871"/>
      <c r="C357" s="871"/>
      <c r="D357" s="871"/>
      <c r="E357" s="871"/>
      <c r="F357" s="871"/>
      <c r="G357" s="871"/>
      <c r="H357" s="871"/>
      <c r="I357" s="871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57" t="s">
        <v>1458</v>
      </c>
      <c r="B361" s="857"/>
      <c r="C361" s="857"/>
      <c r="D361" s="857"/>
      <c r="E361" s="857"/>
      <c r="F361" s="857"/>
      <c r="G361" s="857"/>
      <c r="H361" s="857"/>
      <c r="I361" s="85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5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5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5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5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5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57" t="s">
        <v>1659</v>
      </c>
      <c r="B370" s="857"/>
      <c r="C370" s="857"/>
      <c r="D370" s="857"/>
      <c r="E370" s="857"/>
      <c r="F370" s="857"/>
      <c r="G370" s="857"/>
      <c r="H370" s="857"/>
      <c r="I370" s="857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1" t="s">
        <v>1646</v>
      </c>
      <c r="B378" s="871"/>
      <c r="C378" s="871"/>
      <c r="D378" s="871"/>
      <c r="E378" s="871"/>
      <c r="F378" s="871"/>
      <c r="G378" s="871"/>
      <c r="H378" s="871"/>
      <c r="I378" s="871"/>
      <c r="J378" s="871"/>
      <c r="K378" s="4">
        <v>25</v>
      </c>
      <c r="L378" s="55"/>
    </row>
    <row r="381" spans="1:12" x14ac:dyDescent="0.3">
      <c r="B381" s="1103" t="s">
        <v>1</v>
      </c>
      <c r="C381" s="1103" t="s">
        <v>2</v>
      </c>
      <c r="D381" s="1103" t="s">
        <v>3</v>
      </c>
      <c r="E381" s="36" t="s">
        <v>54</v>
      </c>
      <c r="F381" s="1103" t="s">
        <v>5</v>
      </c>
      <c r="G381" s="1103" t="s">
        <v>6</v>
      </c>
      <c r="H381" s="1103" t="s">
        <v>7</v>
      </c>
      <c r="I381" s="1103" t="s">
        <v>55</v>
      </c>
      <c r="J381" s="1103" t="s">
        <v>9</v>
      </c>
      <c r="K381" s="1105" t="s">
        <v>56</v>
      </c>
      <c r="L381" s="1103" t="s">
        <v>57</v>
      </c>
    </row>
    <row r="382" spans="1:12" x14ac:dyDescent="0.3">
      <c r="B382" s="1104"/>
      <c r="C382" s="1104"/>
      <c r="D382" s="1104"/>
      <c r="E382" s="37" t="s">
        <v>59</v>
      </c>
      <c r="F382" s="1104"/>
      <c r="G382" s="1104"/>
      <c r="H382" s="1104"/>
      <c r="I382" s="1104"/>
      <c r="J382" s="1104"/>
      <c r="K382" s="1106"/>
      <c r="L382" s="110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57" t="s">
        <v>53</v>
      </c>
      <c r="B394" s="857"/>
      <c r="C394" s="857"/>
      <c r="D394" s="857"/>
      <c r="E394" s="857"/>
      <c r="F394" s="857"/>
      <c r="G394" s="857"/>
      <c r="H394" s="857"/>
      <c r="I394" s="857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57" t="s">
        <v>53</v>
      </c>
      <c r="B401" s="857"/>
      <c r="C401" s="857"/>
      <c r="D401" s="857"/>
      <c r="E401" s="857"/>
      <c r="F401" s="857"/>
      <c r="G401" s="857"/>
      <c r="H401" s="857"/>
      <c r="I401" s="857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5" t="s">
        <v>229</v>
      </c>
      <c r="B405" s="1091" t="s">
        <v>1805</v>
      </c>
      <c r="C405" s="1091" t="s">
        <v>700</v>
      </c>
      <c r="D405" s="1087" t="s">
        <v>675</v>
      </c>
      <c r="E405" s="1091" t="s">
        <v>1806</v>
      </c>
      <c r="F405" s="1091" t="s">
        <v>1807</v>
      </c>
      <c r="G405" s="1091" t="s">
        <v>662</v>
      </c>
      <c r="H405" s="1092" t="s">
        <v>1808</v>
      </c>
      <c r="I405" s="1087"/>
      <c r="J405" s="1092">
        <v>1</v>
      </c>
      <c r="K405" s="1080" t="s">
        <v>631</v>
      </c>
      <c r="L405" s="867" t="s">
        <v>51</v>
      </c>
    </row>
    <row r="406" spans="1:12" ht="13.5" customHeight="1" x14ac:dyDescent="0.3">
      <c r="A406" s="1095"/>
      <c r="B406" s="1091"/>
      <c r="C406" s="1091"/>
      <c r="D406" s="1087"/>
      <c r="E406" s="1091"/>
      <c r="F406" s="1091"/>
      <c r="G406" s="1091"/>
      <c r="H406" s="1092"/>
      <c r="I406" s="1087"/>
      <c r="J406" s="1092"/>
      <c r="K406" s="1082"/>
      <c r="L406" s="869"/>
    </row>
    <row r="407" spans="1:12" ht="27" customHeight="1" x14ac:dyDescent="0.3">
      <c r="A407" s="109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5" t="s">
        <v>1646</v>
      </c>
      <c r="B409" s="1095"/>
      <c r="C409" s="1095"/>
      <c r="D409" s="1095"/>
      <c r="E409" s="1095"/>
      <c r="F409" s="1095"/>
      <c r="G409" s="1095"/>
      <c r="H409" s="1095"/>
      <c r="I409" s="109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5" t="s">
        <v>2008</v>
      </c>
      <c r="B412" s="1100" t="s">
        <v>2009</v>
      </c>
      <c r="C412" s="1080" t="s">
        <v>21</v>
      </c>
      <c r="D412" s="967" t="s">
        <v>14</v>
      </c>
      <c r="E412" s="1080" t="s">
        <v>78</v>
      </c>
      <c r="F412" s="1091" t="s">
        <v>2010</v>
      </c>
      <c r="G412" s="1091" t="s">
        <v>40</v>
      </c>
      <c r="H412" s="1092" t="s">
        <v>614</v>
      </c>
      <c r="I412" s="1087"/>
      <c r="J412" s="1092">
        <v>1</v>
      </c>
      <c r="K412" s="1080" t="s">
        <v>2011</v>
      </c>
      <c r="L412" s="867" t="s">
        <v>1997</v>
      </c>
    </row>
    <row r="413" spans="1:12" ht="20.100000000000001" customHeight="1" x14ac:dyDescent="0.3">
      <c r="A413" s="1095"/>
      <c r="B413" s="1091"/>
      <c r="C413" s="1082"/>
      <c r="D413" s="969"/>
      <c r="E413" s="1082"/>
      <c r="F413" s="1091"/>
      <c r="G413" s="1091"/>
      <c r="H413" s="1092"/>
      <c r="I413" s="1087"/>
      <c r="J413" s="1092"/>
      <c r="K413" s="1082"/>
      <c r="L413" s="869"/>
    </row>
    <row r="414" spans="1:12" ht="20.100000000000001" customHeight="1" x14ac:dyDescent="0.3">
      <c r="A414" s="1095" t="s">
        <v>1646</v>
      </c>
      <c r="B414" s="1095"/>
      <c r="C414" s="1095"/>
      <c r="D414" s="1095"/>
      <c r="E414" s="1095"/>
      <c r="F414" s="1095"/>
      <c r="G414" s="1095"/>
      <c r="H414" s="1095"/>
      <c r="I414" s="109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6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68"/>
      <c r="B418" s="78" t="s">
        <v>1748</v>
      </c>
      <c r="C418" s="1087" t="s">
        <v>306</v>
      </c>
      <c r="D418" s="1087" t="s">
        <v>322</v>
      </c>
      <c r="E418" s="1087" t="s">
        <v>307</v>
      </c>
      <c r="F418" s="1092">
        <v>3306</v>
      </c>
      <c r="G418" s="1087" t="s">
        <v>1153</v>
      </c>
      <c r="H418" s="1092" t="s">
        <v>1749</v>
      </c>
      <c r="I418" s="1087" t="s">
        <v>664</v>
      </c>
      <c r="J418" s="1087">
        <v>4</v>
      </c>
      <c r="K418" s="1080" t="s">
        <v>631</v>
      </c>
      <c r="L418" s="867" t="s">
        <v>51</v>
      </c>
    </row>
    <row r="419" spans="1:12" ht="13.5" customHeight="1" x14ac:dyDescent="0.3">
      <c r="A419" s="868"/>
      <c r="B419" s="79" t="s">
        <v>1751</v>
      </c>
      <c r="C419" s="1087"/>
      <c r="D419" s="1087"/>
      <c r="E419" s="1087"/>
      <c r="F419" s="1092"/>
      <c r="G419" s="1087"/>
      <c r="H419" s="1092"/>
      <c r="I419" s="1087"/>
      <c r="J419" s="1087"/>
      <c r="K419" s="1082"/>
      <c r="L419" s="869"/>
    </row>
    <row r="420" spans="1:12" ht="13.5" customHeight="1" x14ac:dyDescent="0.3">
      <c r="A420" s="868"/>
      <c r="B420" s="78" t="s">
        <v>1800</v>
      </c>
      <c r="C420" s="1087" t="s">
        <v>306</v>
      </c>
      <c r="D420" s="1087" t="s">
        <v>322</v>
      </c>
      <c r="E420" s="1087" t="s">
        <v>307</v>
      </c>
      <c r="F420" s="1092" t="s">
        <v>1801</v>
      </c>
      <c r="G420" s="1087" t="s">
        <v>1802</v>
      </c>
      <c r="H420" s="1092" t="s">
        <v>1803</v>
      </c>
      <c r="I420" s="1087" t="s">
        <v>664</v>
      </c>
      <c r="J420" s="1087">
        <v>5</v>
      </c>
      <c r="K420" s="1080" t="s">
        <v>631</v>
      </c>
      <c r="L420" s="867" t="s">
        <v>51</v>
      </c>
    </row>
    <row r="421" spans="1:12" ht="13.5" customHeight="1" x14ac:dyDescent="0.3">
      <c r="A421" s="868"/>
      <c r="B421" s="79" t="s">
        <v>1795</v>
      </c>
      <c r="C421" s="1087"/>
      <c r="D421" s="1087"/>
      <c r="E421" s="1087"/>
      <c r="F421" s="1092"/>
      <c r="G421" s="1087"/>
      <c r="H421" s="1092"/>
      <c r="I421" s="1087"/>
      <c r="J421" s="1087"/>
      <c r="K421" s="1082"/>
      <c r="L421" s="869"/>
    </row>
    <row r="422" spans="1:12" ht="27" customHeight="1" x14ac:dyDescent="0.3">
      <c r="A422" s="869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5" t="s">
        <v>1646</v>
      </c>
      <c r="B423" s="1095"/>
      <c r="C423" s="1095"/>
      <c r="D423" s="1095"/>
      <c r="E423" s="1095"/>
      <c r="F423" s="1095"/>
      <c r="G423" s="1095"/>
      <c r="H423" s="1095"/>
      <c r="I423" s="109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5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5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5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57" t="s">
        <v>1646</v>
      </c>
      <c r="B431" s="857"/>
      <c r="C431" s="857"/>
      <c r="D431" s="857"/>
      <c r="E431" s="857"/>
      <c r="F431" s="857"/>
      <c r="G431" s="857"/>
      <c r="H431" s="857"/>
      <c r="I431" s="857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5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57" t="s">
        <v>1646</v>
      </c>
      <c r="B435" s="857"/>
      <c r="C435" s="857"/>
      <c r="D435" s="857"/>
      <c r="E435" s="857"/>
      <c r="F435" s="857"/>
      <c r="G435" s="857"/>
      <c r="H435" s="857"/>
      <c r="I435" s="857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06" t="s">
        <v>2027</v>
      </c>
      <c r="B438" s="252" t="s">
        <v>1760</v>
      </c>
      <c r="C438" s="972" t="s">
        <v>306</v>
      </c>
      <c r="D438" s="972" t="s">
        <v>322</v>
      </c>
      <c r="E438" s="972" t="s">
        <v>307</v>
      </c>
      <c r="F438" s="1096" t="s">
        <v>1761</v>
      </c>
      <c r="G438" s="972" t="s">
        <v>329</v>
      </c>
      <c r="H438" s="1098" t="s">
        <v>1762</v>
      </c>
      <c r="I438" s="955" t="s">
        <v>664</v>
      </c>
      <c r="J438" s="1093">
        <v>2</v>
      </c>
      <c r="K438" s="1080" t="s">
        <v>1996</v>
      </c>
      <c r="L438" s="1080" t="s">
        <v>51</v>
      </c>
    </row>
    <row r="439" spans="1:12" ht="13.5" customHeight="1" x14ac:dyDescent="0.3">
      <c r="A439" s="907"/>
      <c r="B439" s="253" t="s">
        <v>2028</v>
      </c>
      <c r="C439" s="973"/>
      <c r="D439" s="973"/>
      <c r="E439" s="973"/>
      <c r="F439" s="1097"/>
      <c r="G439" s="973"/>
      <c r="H439" s="1099"/>
      <c r="I439" s="956"/>
      <c r="J439" s="1094"/>
      <c r="K439" s="1082"/>
      <c r="L439" s="1082"/>
    </row>
    <row r="440" spans="1:12" ht="13.5" customHeight="1" x14ac:dyDescent="0.3">
      <c r="A440" s="907"/>
      <c r="B440" s="254" t="s">
        <v>1794</v>
      </c>
      <c r="C440" s="873" t="s">
        <v>306</v>
      </c>
      <c r="D440" s="873" t="s">
        <v>322</v>
      </c>
      <c r="E440" s="873" t="s">
        <v>307</v>
      </c>
      <c r="F440" s="872" t="s">
        <v>1796</v>
      </c>
      <c r="G440" s="873" t="s">
        <v>1797</v>
      </c>
      <c r="H440" s="872" t="s">
        <v>1792</v>
      </c>
      <c r="I440" s="873" t="s">
        <v>664</v>
      </c>
      <c r="J440" s="891">
        <v>4</v>
      </c>
      <c r="K440" s="1080" t="s">
        <v>631</v>
      </c>
      <c r="L440" s="1080" t="s">
        <v>1997</v>
      </c>
    </row>
    <row r="441" spans="1:12" ht="13.5" customHeight="1" x14ac:dyDescent="0.3">
      <c r="A441" s="907"/>
      <c r="B441" s="255" t="s">
        <v>1795</v>
      </c>
      <c r="C441" s="873"/>
      <c r="D441" s="873"/>
      <c r="E441" s="873"/>
      <c r="F441" s="872"/>
      <c r="G441" s="873"/>
      <c r="H441" s="872"/>
      <c r="I441" s="873"/>
      <c r="J441" s="892"/>
      <c r="K441" s="1082"/>
      <c r="L441" s="1082"/>
    </row>
    <row r="442" spans="1:12" ht="20.100000000000001" customHeight="1" x14ac:dyDescent="0.3">
      <c r="A442" s="90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0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0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0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0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0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0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0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83" t="s">
        <v>1646</v>
      </c>
      <c r="B450" s="1084"/>
      <c r="C450" s="1084"/>
      <c r="D450" s="1084"/>
      <c r="E450" s="1084"/>
      <c r="F450" s="1084"/>
      <c r="G450" s="1084"/>
      <c r="H450" s="1084"/>
      <c r="I450" s="108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1" t="s">
        <v>2059</v>
      </c>
      <c r="B459" s="871"/>
      <c r="C459" s="871"/>
      <c r="D459" s="871"/>
      <c r="E459" s="871"/>
      <c r="F459" s="871"/>
      <c r="G459" s="871"/>
      <c r="H459" s="871"/>
      <c r="I459" s="871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59"/>
      <c r="B463" s="1088" t="s">
        <v>1767</v>
      </c>
      <c r="C463" s="1089" t="s">
        <v>311</v>
      </c>
      <c r="D463" s="1089" t="s">
        <v>320</v>
      </c>
      <c r="E463" s="1089" t="s">
        <v>709</v>
      </c>
      <c r="F463" s="1089" t="s">
        <v>1768</v>
      </c>
      <c r="G463" s="1088" t="s">
        <v>1769</v>
      </c>
      <c r="H463" s="258" t="s">
        <v>1770</v>
      </c>
      <c r="I463" s="1089"/>
      <c r="J463" s="1089">
        <v>1</v>
      </c>
      <c r="K463" s="967" t="s">
        <v>631</v>
      </c>
      <c r="L463" s="999" t="s">
        <v>51</v>
      </c>
    </row>
    <row r="464" spans="1:12" ht="13.5" customHeight="1" x14ac:dyDescent="0.3">
      <c r="A464" s="859"/>
      <c r="B464" s="1088"/>
      <c r="C464" s="1089"/>
      <c r="D464" s="1089"/>
      <c r="E464" s="1089"/>
      <c r="F464" s="1089"/>
      <c r="G464" s="1088"/>
      <c r="H464" s="259" t="s">
        <v>1773</v>
      </c>
      <c r="I464" s="1089"/>
      <c r="J464" s="1089"/>
      <c r="K464" s="969"/>
      <c r="L464" s="1000"/>
    </row>
    <row r="465" spans="1:12" ht="13.5" customHeight="1" x14ac:dyDescent="0.3">
      <c r="A465" s="859"/>
      <c r="B465" s="1090" t="s">
        <v>1813</v>
      </c>
      <c r="C465" s="1091" t="s">
        <v>700</v>
      </c>
      <c r="D465" s="1087" t="s">
        <v>320</v>
      </c>
      <c r="E465" s="1087" t="s">
        <v>337</v>
      </c>
      <c r="F465" s="1091" t="s">
        <v>353</v>
      </c>
      <c r="G465" s="1091" t="s">
        <v>1814</v>
      </c>
      <c r="H465" s="1092" t="s">
        <v>1815</v>
      </c>
      <c r="I465" s="1087" t="s">
        <v>638</v>
      </c>
      <c r="J465" s="1092">
        <v>2</v>
      </c>
      <c r="K465" s="1080" t="s">
        <v>631</v>
      </c>
      <c r="L465" s="1080" t="s">
        <v>51</v>
      </c>
    </row>
    <row r="466" spans="1:12" ht="13.5" customHeight="1" x14ac:dyDescent="0.3">
      <c r="A466" s="859"/>
      <c r="B466" s="1090"/>
      <c r="C466" s="1091"/>
      <c r="D466" s="1087"/>
      <c r="E466" s="1087"/>
      <c r="F466" s="1091"/>
      <c r="G466" s="1091"/>
      <c r="H466" s="1092"/>
      <c r="I466" s="1087"/>
      <c r="J466" s="1092"/>
      <c r="K466" s="1082"/>
      <c r="L466" s="1082"/>
    </row>
    <row r="467" spans="1:12" ht="27" customHeight="1" x14ac:dyDescent="0.3">
      <c r="A467" s="85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59"/>
      <c r="B468" s="1091" t="s">
        <v>1820</v>
      </c>
      <c r="C468" s="1091" t="s">
        <v>700</v>
      </c>
      <c r="D468" s="1087" t="s">
        <v>320</v>
      </c>
      <c r="E468" s="1087" t="s">
        <v>709</v>
      </c>
      <c r="F468" s="1087" t="s">
        <v>1768</v>
      </c>
      <c r="G468" s="1091" t="s">
        <v>1821</v>
      </c>
      <c r="H468" s="261" t="s">
        <v>1822</v>
      </c>
      <c r="I468" s="1087" t="s">
        <v>638</v>
      </c>
      <c r="J468" s="1087">
        <v>2</v>
      </c>
      <c r="K468" s="1080" t="s">
        <v>631</v>
      </c>
      <c r="L468" s="1080" t="s">
        <v>51</v>
      </c>
    </row>
    <row r="469" spans="1:12" ht="13.5" customHeight="1" x14ac:dyDescent="0.3">
      <c r="A469" s="859"/>
      <c r="B469" s="1091"/>
      <c r="C469" s="1091"/>
      <c r="D469" s="1087"/>
      <c r="E469" s="1087"/>
      <c r="F469" s="1087"/>
      <c r="G469" s="1091"/>
      <c r="H469" s="262" t="s">
        <v>1823</v>
      </c>
      <c r="I469" s="1087"/>
      <c r="J469" s="1087"/>
      <c r="K469" s="1082"/>
      <c r="L469" s="1082"/>
    </row>
    <row r="470" spans="1:12" ht="27" customHeight="1" x14ac:dyDescent="0.3">
      <c r="A470" s="85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57" t="s">
        <v>53</v>
      </c>
      <c r="B472" s="857"/>
      <c r="C472" s="857"/>
      <c r="D472" s="857"/>
      <c r="E472" s="857"/>
      <c r="F472" s="857"/>
      <c r="G472" s="857"/>
      <c r="H472" s="857"/>
      <c r="I472" s="857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57" t="s">
        <v>228</v>
      </c>
      <c r="B476" s="1088" t="s">
        <v>1767</v>
      </c>
      <c r="C476" s="1089" t="s">
        <v>311</v>
      </c>
      <c r="D476" s="1089" t="s">
        <v>320</v>
      </c>
      <c r="E476" s="1089" t="s">
        <v>709</v>
      </c>
      <c r="F476" s="1089" t="s">
        <v>1768</v>
      </c>
      <c r="G476" s="1088" t="s">
        <v>1769</v>
      </c>
      <c r="H476" s="258" t="s">
        <v>1770</v>
      </c>
      <c r="I476" s="1089"/>
      <c r="J476" s="1089">
        <v>1</v>
      </c>
      <c r="K476" s="967" t="s">
        <v>631</v>
      </c>
      <c r="L476" s="999" t="s">
        <v>51</v>
      </c>
    </row>
    <row r="477" spans="1:12" ht="13.5" customHeight="1" x14ac:dyDescent="0.3">
      <c r="A477" s="857"/>
      <c r="B477" s="1088"/>
      <c r="C477" s="1089"/>
      <c r="D477" s="1089"/>
      <c r="E477" s="1089"/>
      <c r="F477" s="1089"/>
      <c r="G477" s="1088"/>
      <c r="H477" s="259" t="s">
        <v>1773</v>
      </c>
      <c r="I477" s="1089"/>
      <c r="J477" s="1089"/>
      <c r="K477" s="969"/>
      <c r="L477" s="1000"/>
    </row>
    <row r="478" spans="1:12" ht="27" customHeight="1" x14ac:dyDescent="0.3">
      <c r="A478" s="85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57" t="s">
        <v>1646</v>
      </c>
      <c r="B479" s="857"/>
      <c r="C479" s="857"/>
      <c r="D479" s="857"/>
      <c r="E479" s="857"/>
      <c r="F479" s="857"/>
      <c r="G479" s="857"/>
      <c r="H479" s="857"/>
      <c r="I479" s="857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83" t="s">
        <v>53</v>
      </c>
      <c r="B487" s="1084"/>
      <c r="C487" s="1084"/>
      <c r="D487" s="1084"/>
      <c r="E487" s="1084"/>
      <c r="F487" s="1084"/>
      <c r="G487" s="1084"/>
      <c r="H487" s="1084"/>
      <c r="I487" s="108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9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86" t="s">
        <v>1919</v>
      </c>
      <c r="G494" s="1077" t="s">
        <v>662</v>
      </c>
      <c r="H494" s="1086" t="s">
        <v>1920</v>
      </c>
      <c r="I494" s="1077" t="s">
        <v>349</v>
      </c>
      <c r="J494" s="1077">
        <v>2</v>
      </c>
      <c r="K494" s="1091" t="s">
        <v>50</v>
      </c>
      <c r="L494" s="222">
        <v>23</v>
      </c>
    </row>
    <row r="495" spans="1:12" ht="12.6" customHeight="1" x14ac:dyDescent="0.3">
      <c r="A495" s="1079"/>
      <c r="B495" s="1077"/>
      <c r="C495" s="1077"/>
      <c r="D495" s="1077"/>
      <c r="E495" s="1077"/>
      <c r="F495" s="1086"/>
      <c r="G495" s="1077"/>
      <c r="H495" s="1086"/>
      <c r="I495" s="1077"/>
      <c r="J495" s="1077"/>
      <c r="K495" s="1091"/>
    </row>
    <row r="496" spans="1:12" ht="24.95" customHeight="1" x14ac:dyDescent="0.3">
      <c r="A496" s="10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57" t="s">
        <v>53</v>
      </c>
      <c r="B500" s="857"/>
      <c r="C500" s="857"/>
      <c r="D500" s="857"/>
      <c r="E500" s="857"/>
      <c r="F500" s="857"/>
      <c r="G500" s="857"/>
      <c r="H500" s="857"/>
      <c r="I500" s="857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1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1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1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1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57" t="s">
        <v>2217</v>
      </c>
      <c r="B511" s="857"/>
      <c r="C511" s="857"/>
      <c r="D511" s="857"/>
      <c r="E511" s="857"/>
      <c r="F511" s="857"/>
      <c r="G511" s="857"/>
      <c r="H511" s="857"/>
      <c r="I511" s="857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1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1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1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1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1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1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1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1" t="s">
        <v>2233</v>
      </c>
      <c r="B522" s="871"/>
      <c r="C522" s="871"/>
      <c r="D522" s="871"/>
      <c r="E522" s="871"/>
      <c r="F522" s="871"/>
      <c r="G522" s="871"/>
      <c r="H522" s="871"/>
      <c r="I522" s="871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57" t="s">
        <v>2238</v>
      </c>
      <c r="B528" s="857"/>
      <c r="C528" s="857"/>
      <c r="D528" s="857"/>
      <c r="E528" s="857"/>
      <c r="F528" s="857"/>
      <c r="G528" s="857"/>
      <c r="H528" s="857"/>
      <c r="I528" s="857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1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1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1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57" t="s">
        <v>2233</v>
      </c>
      <c r="B535" s="857"/>
      <c r="C535" s="857"/>
      <c r="D535" s="857"/>
      <c r="E535" s="857"/>
      <c r="F535" s="857"/>
      <c r="G535" s="857"/>
      <c r="H535" s="857"/>
      <c r="I535" s="857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83" t="s">
        <v>2238</v>
      </c>
      <c r="B540" s="1084"/>
      <c r="C540" s="1084"/>
      <c r="D540" s="1084"/>
      <c r="E540" s="1084"/>
      <c r="F540" s="1084"/>
      <c r="G540" s="1084"/>
      <c r="H540" s="1084"/>
      <c r="I540" s="108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5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5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5" t="s">
        <v>2233</v>
      </c>
      <c r="B546" s="1095"/>
      <c r="C546" s="1095"/>
      <c r="D546" s="1095"/>
      <c r="E546" s="1095"/>
      <c r="F546" s="1095"/>
      <c r="G546" s="1095"/>
      <c r="H546" s="1095"/>
      <c r="I546" s="109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57" t="s">
        <v>2233</v>
      </c>
      <c r="B550" s="857"/>
      <c r="C550" s="857"/>
      <c r="D550" s="857"/>
      <c r="E550" s="857"/>
      <c r="F550" s="857"/>
      <c r="G550" s="857"/>
      <c r="H550" s="857"/>
      <c r="I550" s="857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57" t="s">
        <v>2233</v>
      </c>
      <c r="B565" s="857"/>
      <c r="C565" s="857"/>
      <c r="D565" s="857"/>
      <c r="E565" s="857"/>
      <c r="F565" s="857"/>
      <c r="G565" s="857"/>
      <c r="H565" s="857"/>
      <c r="I565" s="857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5" t="s">
        <v>306</v>
      </c>
      <c r="D569" s="915" t="s">
        <v>322</v>
      </c>
      <c r="E569" s="915" t="s">
        <v>307</v>
      </c>
      <c r="F569" s="915">
        <v>3306</v>
      </c>
      <c r="G569" s="915" t="s">
        <v>1153</v>
      </c>
      <c r="H569" s="915" t="s">
        <v>1907</v>
      </c>
      <c r="I569" s="915" t="s">
        <v>1111</v>
      </c>
      <c r="J569" s="915" t="s">
        <v>692</v>
      </c>
      <c r="K569" s="1124" t="s">
        <v>2291</v>
      </c>
    </row>
    <row r="570" spans="1:12" x14ac:dyDescent="0.3">
      <c r="B570" s="243" t="s">
        <v>1909</v>
      </c>
      <c r="C570" s="916"/>
      <c r="D570" s="916"/>
      <c r="E570" s="916"/>
      <c r="F570" s="916"/>
      <c r="G570" s="916"/>
      <c r="H570" s="916"/>
      <c r="I570" s="916"/>
      <c r="J570" s="916"/>
      <c r="K570" s="1125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57" t="s">
        <v>1458</v>
      </c>
      <c r="B582" s="857"/>
      <c r="C582" s="857"/>
      <c r="D582" s="857"/>
      <c r="E582" s="857"/>
      <c r="F582" s="857"/>
      <c r="G582" s="857"/>
      <c r="H582" s="857"/>
      <c r="I582" s="857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1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1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57" t="s">
        <v>2393</v>
      </c>
      <c r="B588" s="857"/>
      <c r="C588" s="857"/>
      <c r="D588" s="857"/>
      <c r="E588" s="857"/>
      <c r="F588" s="857"/>
      <c r="G588" s="857"/>
      <c r="H588" s="857"/>
      <c r="I588" s="857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1" t="s">
        <v>2406</v>
      </c>
      <c r="B592" s="871"/>
      <c r="C592" s="871"/>
      <c r="D592" s="871"/>
      <c r="E592" s="871"/>
      <c r="F592" s="871"/>
      <c r="G592" s="871"/>
      <c r="H592" s="871"/>
      <c r="I592" s="871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1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1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1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1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1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1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1" t="s">
        <v>2406</v>
      </c>
      <c r="B601" s="871"/>
      <c r="C601" s="871"/>
      <c r="D601" s="871"/>
      <c r="E601" s="871"/>
      <c r="F601" s="871"/>
      <c r="G601" s="871"/>
      <c r="H601" s="871"/>
      <c r="I601" s="871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57" t="s">
        <v>2437</v>
      </c>
      <c r="B606" s="857"/>
      <c r="C606" s="857"/>
      <c r="D606" s="857"/>
      <c r="E606" s="857"/>
      <c r="F606" s="857"/>
      <c r="G606" s="857"/>
      <c r="H606" s="857"/>
      <c r="I606" s="857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1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1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1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57" t="s">
        <v>2406</v>
      </c>
      <c r="B613" s="857"/>
      <c r="C613" s="857"/>
      <c r="D613" s="857"/>
      <c r="E613" s="857"/>
      <c r="F613" s="857"/>
      <c r="G613" s="857"/>
      <c r="H613" s="857"/>
      <c r="I613" s="857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57" t="s">
        <v>2406</v>
      </c>
      <c r="B627" s="857"/>
      <c r="C627" s="857"/>
      <c r="D627" s="857"/>
      <c r="E627" s="857"/>
      <c r="F627" s="857"/>
      <c r="G627" s="857"/>
      <c r="H627" s="857"/>
      <c r="I627" s="857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76" t="s">
        <v>1646</v>
      </c>
      <c r="B655" s="1076"/>
      <c r="C655" s="1076"/>
      <c r="D655" s="1076"/>
      <c r="E655" s="1076"/>
      <c r="F655" s="1076"/>
      <c r="G655" s="1076"/>
      <c r="H655" s="1076"/>
      <c r="I655" s="107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7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7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7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7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7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7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7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7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7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7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7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7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7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7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76" t="s">
        <v>1646</v>
      </c>
      <c r="B674" s="1076"/>
      <c r="C674" s="1076"/>
      <c r="D674" s="1076"/>
      <c r="E674" s="1076"/>
      <c r="F674" s="1076"/>
      <c r="G674" s="1076"/>
      <c r="H674" s="1076"/>
      <c r="I674" s="107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7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7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7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7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76" t="s">
        <v>1646</v>
      </c>
      <c r="B681" s="1076"/>
      <c r="C681" s="1076"/>
      <c r="D681" s="1076"/>
      <c r="E681" s="1076"/>
      <c r="F681" s="1076"/>
      <c r="G681" s="1076"/>
      <c r="H681" s="1076"/>
      <c r="I681" s="107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2" t="s">
        <v>1646</v>
      </c>
      <c r="B688" s="1132"/>
      <c r="C688" s="1132"/>
      <c r="D688" s="1132"/>
      <c r="E688" s="1132"/>
      <c r="F688" s="1132"/>
      <c r="G688" s="1132"/>
      <c r="H688" s="1132"/>
      <c r="I688" s="113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2" t="s">
        <v>1646</v>
      </c>
      <c r="B699" s="1132"/>
      <c r="C699" s="1132"/>
      <c r="D699" s="1132"/>
      <c r="E699" s="1132"/>
      <c r="F699" s="1132"/>
      <c r="G699" s="1132"/>
      <c r="H699" s="1132"/>
      <c r="I699" s="1132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66" t="s">
        <v>1646</v>
      </c>
      <c r="B717" s="1066"/>
      <c r="C717" s="1066"/>
      <c r="D717" s="1066"/>
      <c r="E717" s="1066"/>
      <c r="F717" s="1066"/>
      <c r="G717" s="1066"/>
      <c r="H717" s="1066"/>
      <c r="I717" s="1066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6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6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6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6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6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6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6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6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66" t="s">
        <v>1646</v>
      </c>
      <c r="B731" s="1066"/>
      <c r="C731" s="1066"/>
      <c r="D731" s="1066"/>
      <c r="E731" s="1066"/>
      <c r="F731" s="1066"/>
      <c r="G731" s="1066"/>
      <c r="H731" s="1066"/>
      <c r="I731" s="1066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66" t="s">
        <v>1646</v>
      </c>
      <c r="B749" s="1066"/>
      <c r="C749" s="1066"/>
      <c r="D749" s="1066"/>
      <c r="E749" s="1066"/>
      <c r="F749" s="1066"/>
      <c r="G749" s="1066"/>
      <c r="H749" s="1066"/>
      <c r="I749" s="1066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6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6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6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6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6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6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6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6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1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0" t="s">
        <v>1646</v>
      </c>
      <c r="B762" s="1050"/>
      <c r="C762" s="1050"/>
      <c r="D762" s="1050"/>
      <c r="E762" s="1050"/>
      <c r="F762" s="1050"/>
      <c r="G762" s="1050"/>
      <c r="H762" s="1050"/>
      <c r="I762" s="1050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0" t="s">
        <v>5686</v>
      </c>
      <c r="B765" s="694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1"/>
      <c r="B766" s="694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1"/>
      <c r="B767" s="694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1"/>
      <c r="B768" s="693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2"/>
      <c r="B769" s="693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0" t="s">
        <v>1646</v>
      </c>
      <c r="B770" s="1050"/>
      <c r="C770" s="1050"/>
      <c r="D770" s="1050"/>
      <c r="E770" s="1050"/>
      <c r="F770" s="1050"/>
      <c r="G770" s="1050"/>
      <c r="H770" s="1050"/>
      <c r="I770" s="1050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5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5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5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5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5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0" t="s">
        <v>1646</v>
      </c>
      <c r="B778" s="1050"/>
      <c r="C778" s="1050"/>
      <c r="D778" s="1050"/>
      <c r="E778" s="1050"/>
      <c r="F778" s="1050"/>
      <c r="G778" s="1050"/>
      <c r="H778" s="1050"/>
      <c r="I778" s="1050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5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5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5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5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5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5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5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5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0" t="s">
        <v>1646</v>
      </c>
      <c r="B790" s="1050"/>
      <c r="C790" s="1050"/>
      <c r="D790" s="1050"/>
      <c r="E790" s="1050"/>
      <c r="F790" s="1050"/>
      <c r="G790" s="1050"/>
      <c r="H790" s="1050"/>
      <c r="I790" s="1050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63" t="s">
        <v>5678</v>
      </c>
      <c r="B794" s="640">
        <v>46148</v>
      </c>
      <c r="C794" s="686" t="s">
        <v>306</v>
      </c>
      <c r="D794" s="686" t="s">
        <v>322</v>
      </c>
      <c r="E794" s="675" t="s">
        <v>5400</v>
      </c>
      <c r="F794" s="675" t="s">
        <v>4939</v>
      </c>
      <c r="G794" s="675" t="s">
        <v>482</v>
      </c>
      <c r="H794" s="676" t="s">
        <v>2979</v>
      </c>
      <c r="I794" s="695" t="s">
        <v>126</v>
      </c>
      <c r="J794" s="677">
        <v>1</v>
      </c>
      <c r="K794" s="618" t="s">
        <v>50</v>
      </c>
    </row>
    <row r="795" spans="1:11" x14ac:dyDescent="0.3">
      <c r="A795" s="1064"/>
      <c r="B795" s="640" t="s">
        <v>5665</v>
      </c>
      <c r="C795" s="686" t="s">
        <v>306</v>
      </c>
      <c r="D795" s="686" t="s">
        <v>322</v>
      </c>
      <c r="E795" s="675" t="s">
        <v>5400</v>
      </c>
      <c r="F795" s="675">
        <v>1615</v>
      </c>
      <c r="G795" s="675" t="s">
        <v>482</v>
      </c>
      <c r="H795" s="676" t="s">
        <v>5663</v>
      </c>
      <c r="I795" s="695" t="s">
        <v>1948</v>
      </c>
      <c r="J795" s="677">
        <v>2</v>
      </c>
      <c r="K795" s="618" t="s">
        <v>50</v>
      </c>
    </row>
    <row r="796" spans="1:11" x14ac:dyDescent="0.3">
      <c r="A796" s="106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6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6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6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6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6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0" t="s">
        <v>1646</v>
      </c>
      <c r="B802" s="1050"/>
      <c r="C802" s="1050"/>
      <c r="D802" s="1050"/>
      <c r="E802" s="1050"/>
      <c r="F802" s="1050"/>
      <c r="G802" s="1050"/>
      <c r="H802" s="1050"/>
      <c r="I802" s="1050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1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2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2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2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2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2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0" t="s">
        <v>1646</v>
      </c>
      <c r="B812" s="1050"/>
      <c r="C812" s="1050"/>
      <c r="D812" s="1050"/>
      <c r="E812" s="1050"/>
      <c r="F812" s="1050"/>
      <c r="G812" s="1050"/>
      <c r="H812" s="1050"/>
      <c r="I812" s="1050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1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1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0" t="s">
        <v>1646</v>
      </c>
      <c r="B819" s="1050"/>
      <c r="C819" s="1050"/>
      <c r="D819" s="1050"/>
      <c r="E819" s="1050"/>
      <c r="F819" s="1050"/>
      <c r="G819" s="1050"/>
      <c r="H819" s="1050"/>
      <c r="I819" s="1050"/>
      <c r="J819" s="618">
        <f>SUM(J813:J818)</f>
        <v>4</v>
      </c>
      <c r="K819" s="654"/>
    </row>
    <row r="823" spans="1:12" s="698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7"/>
    </row>
    <row r="824" spans="1:12" s="698" customFormat="1" ht="11.25" x14ac:dyDescent="0.3">
      <c r="A824" s="106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7"/>
    </row>
    <row r="825" spans="1:12" s="698" customFormat="1" ht="11.25" x14ac:dyDescent="0.3">
      <c r="A825" s="106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7"/>
    </row>
    <row r="826" spans="1:12" s="698" customFormat="1" ht="11.25" x14ac:dyDescent="0.3">
      <c r="A826" s="106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7"/>
    </row>
    <row r="827" spans="1:12" s="698" customFormat="1" ht="11.25" x14ac:dyDescent="0.3">
      <c r="A827" s="106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7"/>
    </row>
    <row r="828" spans="1:12" s="698" customFormat="1" ht="11.25" x14ac:dyDescent="0.3">
      <c r="A828" s="106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7"/>
    </row>
    <row r="829" spans="1:12" s="698" customFormat="1" ht="11.25" x14ac:dyDescent="0.3">
      <c r="A829" s="106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7"/>
    </row>
    <row r="830" spans="1:12" s="698" customFormat="1" ht="11.25" x14ac:dyDescent="0.3">
      <c r="A830" s="106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7"/>
    </row>
    <row r="831" spans="1:12" s="698" customFormat="1" ht="11.25" x14ac:dyDescent="0.3">
      <c r="A831" s="106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7"/>
    </row>
    <row r="832" spans="1:12" s="698" customFormat="1" ht="11.25" x14ac:dyDescent="0.3">
      <c r="A832" s="106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7"/>
    </row>
    <row r="833" spans="1:12" s="698" customFormat="1" ht="11.25" x14ac:dyDescent="0.3">
      <c r="A833" s="106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7"/>
    </row>
    <row r="834" spans="1:12" s="698" customFormat="1" ht="11.25" x14ac:dyDescent="0.3">
      <c r="A834" s="1050" t="s">
        <v>1646</v>
      </c>
      <c r="B834" s="1050"/>
      <c r="C834" s="1050"/>
      <c r="D834" s="1050"/>
      <c r="E834" s="1050"/>
      <c r="F834" s="1050"/>
      <c r="G834" s="1050"/>
      <c r="H834" s="1050"/>
      <c r="I834" s="1050"/>
      <c r="J834" s="618">
        <f>SUM(J824:J833)</f>
        <v>21</v>
      </c>
      <c r="K834" s="654"/>
      <c r="L834" s="697"/>
    </row>
    <row r="835" spans="1:12" s="698" customFormat="1" ht="11.25" x14ac:dyDescent="0.3">
      <c r="L835" s="697"/>
    </row>
    <row r="836" spans="1:12" s="698" customFormat="1" ht="11.25" x14ac:dyDescent="0.3">
      <c r="L836" s="697"/>
    </row>
    <row r="837" spans="1:12" s="698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7"/>
    </row>
    <row r="838" spans="1:12" s="698" customFormat="1" ht="11.25" x14ac:dyDescent="0.3">
      <c r="A838" s="106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7"/>
    </row>
    <row r="839" spans="1:12" s="698" customFormat="1" ht="11.25" x14ac:dyDescent="0.3">
      <c r="A839" s="106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7"/>
    </row>
    <row r="840" spans="1:12" s="698" customFormat="1" ht="11.25" x14ac:dyDescent="0.3">
      <c r="A840" s="106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7"/>
    </row>
    <row r="841" spans="1:12" s="698" customFormat="1" ht="11.25" x14ac:dyDescent="0.3">
      <c r="A841" s="1050" t="s">
        <v>1646</v>
      </c>
      <c r="B841" s="1050"/>
      <c r="C841" s="1050"/>
      <c r="D841" s="1050"/>
      <c r="E841" s="1050"/>
      <c r="F841" s="1050"/>
      <c r="G841" s="1050"/>
      <c r="H841" s="1050"/>
      <c r="I841" s="1050"/>
      <c r="J841" s="618">
        <f>SUM(J838:J840)</f>
        <v>3</v>
      </c>
      <c r="K841" s="654"/>
      <c r="L841" s="697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63" t="s">
        <v>5678</v>
      </c>
      <c r="B845" s="739" t="s">
        <v>5950</v>
      </c>
      <c r="C845" s="618" t="s">
        <v>19</v>
      </c>
      <c r="D845" s="618" t="s">
        <v>25</v>
      </c>
      <c r="E845" s="653" t="s">
        <v>5838</v>
      </c>
      <c r="F845" s="740" t="s">
        <v>5754</v>
      </c>
      <c r="G845" s="740" t="s">
        <v>18</v>
      </c>
      <c r="H845" s="741" t="s">
        <v>5953</v>
      </c>
      <c r="I845" s="695" t="s">
        <v>4168</v>
      </c>
      <c r="J845" s="742">
        <v>4</v>
      </c>
      <c r="K845" s="618" t="s">
        <v>50</v>
      </c>
    </row>
    <row r="846" spans="1:12" x14ac:dyDescent="0.3">
      <c r="A846" s="106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6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6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6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6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64"/>
      <c r="B851" s="739" t="s">
        <v>6249</v>
      </c>
      <c r="C851" s="743" t="s">
        <v>19</v>
      </c>
      <c r="D851" s="618" t="s">
        <v>25</v>
      </c>
      <c r="E851" s="653" t="s">
        <v>5254</v>
      </c>
      <c r="F851" s="744" t="s">
        <v>6250</v>
      </c>
      <c r="G851" s="745" t="s">
        <v>34</v>
      </c>
      <c r="H851" s="746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64"/>
      <c r="B852" s="657">
        <v>46203</v>
      </c>
      <c r="C852" s="743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0" t="s">
        <v>1646</v>
      </c>
      <c r="B853" s="1050"/>
      <c r="C853" s="1050"/>
      <c r="D853" s="1050"/>
      <c r="E853" s="1050"/>
      <c r="F853" s="1050"/>
      <c r="G853" s="1050"/>
      <c r="H853" s="1050"/>
      <c r="I853" s="1050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0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1"/>
      <c r="B859" s="656">
        <v>46172</v>
      </c>
      <c r="C859" s="632" t="s">
        <v>19</v>
      </c>
      <c r="D859" s="632" t="s">
        <v>25</v>
      </c>
      <c r="E859" s="633" t="s">
        <v>5838</v>
      </c>
      <c r="F859" s="675">
        <v>1615</v>
      </c>
      <c r="G859" s="675" t="s">
        <v>4912</v>
      </c>
      <c r="H859" s="676" t="s">
        <v>4088</v>
      </c>
      <c r="I859" s="686" t="s">
        <v>5944</v>
      </c>
      <c r="J859" s="634">
        <v>1</v>
      </c>
      <c r="K859" s="618" t="s">
        <v>50</v>
      </c>
    </row>
    <row r="860" spans="1:11" x14ac:dyDescent="0.3">
      <c r="A860" s="106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5">
        <v>1615</v>
      </c>
      <c r="G860" s="675" t="s">
        <v>4912</v>
      </c>
      <c r="H860" s="676" t="s">
        <v>3876</v>
      </c>
      <c r="I860" s="686" t="s">
        <v>4168</v>
      </c>
      <c r="J860" s="677">
        <v>2</v>
      </c>
      <c r="K860" s="618" t="s">
        <v>50</v>
      </c>
    </row>
    <row r="861" spans="1:11" x14ac:dyDescent="0.3">
      <c r="A861" s="106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5">
        <v>7062</v>
      </c>
      <c r="G861" s="675" t="s">
        <v>1497</v>
      </c>
      <c r="H861" s="676" t="s">
        <v>5946</v>
      </c>
      <c r="I861" s="686" t="s">
        <v>4168</v>
      </c>
      <c r="J861" s="677">
        <v>2</v>
      </c>
      <c r="K861" s="618" t="s">
        <v>50</v>
      </c>
    </row>
    <row r="862" spans="1:11" x14ac:dyDescent="0.3">
      <c r="A862" s="106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5" t="s">
        <v>5960</v>
      </c>
      <c r="H862" s="676" t="s">
        <v>5962</v>
      </c>
      <c r="I862" s="686" t="s">
        <v>3429</v>
      </c>
      <c r="J862" s="677">
        <v>2</v>
      </c>
      <c r="K862" s="618" t="s">
        <v>50</v>
      </c>
    </row>
    <row r="863" spans="1:11" x14ac:dyDescent="0.3">
      <c r="A863" s="106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1"/>
      <c r="B871" s="640">
        <v>46189</v>
      </c>
      <c r="C871" s="722" t="s">
        <v>421</v>
      </c>
      <c r="D871" s="722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1"/>
      <c r="B872" s="640">
        <v>46192</v>
      </c>
      <c r="C872" s="722" t="s">
        <v>421</v>
      </c>
      <c r="D872" s="722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1"/>
      <c r="B873" s="640">
        <v>46193</v>
      </c>
      <c r="C873" s="722" t="s">
        <v>421</v>
      </c>
      <c r="D873" s="722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5" t="s">
        <v>6135</v>
      </c>
      <c r="G874" s="675" t="s">
        <v>1172</v>
      </c>
      <c r="H874" s="676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5" t="s">
        <v>5754</v>
      </c>
      <c r="G875" s="675" t="s">
        <v>18</v>
      </c>
      <c r="H875" s="676" t="s">
        <v>6252</v>
      </c>
      <c r="I875" s="686" t="s">
        <v>812</v>
      </c>
      <c r="J875" s="677">
        <v>3</v>
      </c>
      <c r="K875" s="618" t="s">
        <v>50</v>
      </c>
    </row>
    <row r="876" spans="1:11" x14ac:dyDescent="0.3">
      <c r="A876" s="1050" t="s">
        <v>1646</v>
      </c>
      <c r="B876" s="1050"/>
      <c r="C876" s="1050"/>
      <c r="D876" s="1050"/>
      <c r="E876" s="1050"/>
      <c r="F876" s="1050"/>
      <c r="G876" s="1050"/>
      <c r="H876" s="1050"/>
      <c r="I876" s="1050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1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7"/>
    </row>
    <row r="885" spans="1:15" x14ac:dyDescent="0.3">
      <c r="A885" s="1061"/>
      <c r="B885" s="749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0">
        <v>2</v>
      </c>
      <c r="K885" s="618" t="s">
        <v>50</v>
      </c>
      <c r="M885" s="748"/>
    </row>
    <row r="886" spans="1:15" x14ac:dyDescent="0.3">
      <c r="A886" s="1061"/>
      <c r="B886" s="749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0" t="s">
        <v>1646</v>
      </c>
      <c r="B887" s="1050"/>
      <c r="C887" s="1050"/>
      <c r="D887" s="1050"/>
      <c r="E887" s="1050"/>
      <c r="F887" s="1050"/>
      <c r="G887" s="1050"/>
      <c r="H887" s="1050"/>
      <c r="I887" s="1050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5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5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5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5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0">
        <v>1</v>
      </c>
      <c r="K896" s="618" t="s">
        <v>50</v>
      </c>
    </row>
    <row r="897" spans="1:11" x14ac:dyDescent="0.3">
      <c r="A897" s="105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0">
        <v>1</v>
      </c>
      <c r="K897" s="618" t="s">
        <v>50</v>
      </c>
    </row>
    <row r="898" spans="1:11" x14ac:dyDescent="0.3">
      <c r="A898" s="105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5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3">
        <v>1</v>
      </c>
      <c r="K899" s="618" t="s">
        <v>50</v>
      </c>
    </row>
    <row r="900" spans="1:11" x14ac:dyDescent="0.3">
      <c r="A900" s="105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59"/>
      <c r="B901" s="739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59"/>
      <c r="B902" s="739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59"/>
      <c r="B903" s="739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0">
        <v>1</v>
      </c>
      <c r="K903" s="618" t="s">
        <v>6384</v>
      </c>
    </row>
    <row r="904" spans="1:11" x14ac:dyDescent="0.3">
      <c r="A904" s="1050" t="s">
        <v>1646</v>
      </c>
      <c r="B904" s="1050"/>
      <c r="C904" s="1050"/>
      <c r="D904" s="1050"/>
      <c r="E904" s="1050"/>
      <c r="F904" s="1050"/>
      <c r="G904" s="1050"/>
      <c r="H904" s="1050"/>
      <c r="I904" s="1050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5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2">
        <v>2</v>
      </c>
      <c r="K908" s="618" t="s">
        <v>50</v>
      </c>
    </row>
    <row r="909" spans="1:11" x14ac:dyDescent="0.3">
      <c r="A909" s="105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0">
        <v>1</v>
      </c>
      <c r="K909" s="618" t="s">
        <v>50</v>
      </c>
    </row>
    <row r="910" spans="1:11" x14ac:dyDescent="0.3">
      <c r="A910" s="105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0">
        <v>1</v>
      </c>
      <c r="K910" s="618" t="s">
        <v>50</v>
      </c>
    </row>
    <row r="911" spans="1:11" x14ac:dyDescent="0.3">
      <c r="A911" s="105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5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5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5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5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5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59"/>
      <c r="B917" s="749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59"/>
      <c r="B918" s="749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0" t="s">
        <v>1646</v>
      </c>
      <c r="B919" s="1050"/>
      <c r="C919" s="1050"/>
      <c r="D919" s="1050"/>
      <c r="E919" s="1050"/>
      <c r="F919" s="1050"/>
      <c r="G919" s="1050"/>
      <c r="H919" s="1050"/>
      <c r="I919" s="1050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0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2"/>
      <c r="B929" s="739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0" t="s">
        <v>1646</v>
      </c>
      <c r="B930" s="1050"/>
      <c r="C930" s="1050"/>
      <c r="D930" s="1050"/>
      <c r="E930" s="1050"/>
      <c r="F930" s="1050"/>
      <c r="G930" s="1050"/>
      <c r="H930" s="1050"/>
      <c r="I930" s="1050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57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57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57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57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57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57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57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57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57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57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57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0" t="s">
        <v>1646</v>
      </c>
      <c r="B944" s="1050"/>
      <c r="C944" s="1050"/>
      <c r="D944" s="1050"/>
      <c r="E944" s="1050"/>
      <c r="F944" s="1050"/>
      <c r="G944" s="1050"/>
      <c r="H944" s="1050"/>
      <c r="I944" s="1050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7" t="s">
        <v>6793</v>
      </c>
      <c r="B948" s="640" t="s">
        <v>6791</v>
      </c>
      <c r="C948" s="722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8"/>
      <c r="B949" s="640" t="s">
        <v>6443</v>
      </c>
      <c r="C949" s="722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8"/>
      <c r="B950" s="640" t="s">
        <v>6452</v>
      </c>
      <c r="C950" s="722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9"/>
      <c r="B951" s="640" t="s">
        <v>6555</v>
      </c>
      <c r="C951" s="722" t="s">
        <v>219</v>
      </c>
      <c r="D951" s="632" t="s">
        <v>1638</v>
      </c>
      <c r="E951" s="633" t="s">
        <v>5254</v>
      </c>
      <c r="F951" s="675" t="s">
        <v>6250</v>
      </c>
      <c r="G951" s="675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0" t="s">
        <v>1646</v>
      </c>
      <c r="B952" s="1050"/>
      <c r="C952" s="1050"/>
      <c r="D952" s="1050"/>
      <c r="E952" s="1050"/>
      <c r="F952" s="1050"/>
      <c r="G952" s="1050"/>
      <c r="H952" s="1050"/>
      <c r="I952" s="1050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0" t="s">
        <v>6795</v>
      </c>
      <c r="B955" s="640">
        <v>46207</v>
      </c>
      <c r="C955" s="722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0" t="s">
        <v>1646</v>
      </c>
      <c r="B956" s="1050"/>
      <c r="C956" s="1050"/>
      <c r="D956" s="1050"/>
      <c r="E956" s="1050"/>
      <c r="F956" s="1050"/>
      <c r="G956" s="1050"/>
      <c r="H956" s="1050"/>
      <c r="I956" s="1050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1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1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1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1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0" t="s">
        <v>1646</v>
      </c>
      <c r="B964" s="1050"/>
      <c r="C964" s="1050"/>
      <c r="D964" s="1050"/>
      <c r="E964" s="1050"/>
      <c r="F964" s="1050"/>
      <c r="G964" s="1050"/>
      <c r="H964" s="1050"/>
      <c r="I964" s="1050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6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1"/>
      <c r="J967" s="632">
        <v>2</v>
      </c>
      <c r="K967" s="618" t="s">
        <v>50</v>
      </c>
    </row>
    <row r="968" spans="1:11" x14ac:dyDescent="0.3">
      <c r="A968" s="106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1"/>
      <c r="J968" s="632">
        <v>2</v>
      </c>
      <c r="K968" s="618" t="s">
        <v>50</v>
      </c>
    </row>
    <row r="969" spans="1:11" x14ac:dyDescent="0.3">
      <c r="A969" s="106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1" t="s">
        <v>6312</v>
      </c>
      <c r="J969" s="632">
        <v>1</v>
      </c>
      <c r="K969" s="618" t="s">
        <v>50</v>
      </c>
    </row>
    <row r="970" spans="1:11" x14ac:dyDescent="0.3">
      <c r="A970" s="106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1"/>
      <c r="J970" s="632">
        <v>2</v>
      </c>
      <c r="K970" s="618" t="s">
        <v>50</v>
      </c>
    </row>
    <row r="971" spans="1:11" x14ac:dyDescent="0.3">
      <c r="A971" s="106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1" t="s">
        <v>6312</v>
      </c>
      <c r="J971" s="632">
        <v>1</v>
      </c>
      <c r="K971" s="618" t="s">
        <v>50</v>
      </c>
    </row>
    <row r="972" spans="1:11" ht="36" x14ac:dyDescent="0.3">
      <c r="A972" s="106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6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6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6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0" t="s">
        <v>1646</v>
      </c>
      <c r="B976" s="1050"/>
      <c r="C976" s="1050"/>
      <c r="D976" s="1050"/>
      <c r="E976" s="1050"/>
      <c r="F976" s="1050"/>
      <c r="G976" s="1050"/>
      <c r="H976" s="1050"/>
      <c r="I976" s="1050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5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86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87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0" t="s">
        <v>1646</v>
      </c>
      <c r="B982" s="1050"/>
      <c r="C982" s="1050"/>
      <c r="D982" s="1050"/>
      <c r="E982" s="1050"/>
      <c r="F982" s="1050"/>
      <c r="G982" s="1050"/>
      <c r="H982" s="1050"/>
      <c r="I982" s="1050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1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1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0" t="s">
        <v>1646</v>
      </c>
      <c r="B989" s="1050"/>
      <c r="C989" s="1050"/>
      <c r="D989" s="1050"/>
      <c r="E989" s="1050"/>
      <c r="F989" s="1050"/>
      <c r="G989" s="1050"/>
      <c r="H989" s="1050"/>
      <c r="I989" s="1050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28" t="s">
        <v>6800</v>
      </c>
      <c r="B994" s="729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1">
        <v>2</v>
      </c>
      <c r="K994" s="618" t="s">
        <v>50</v>
      </c>
    </row>
    <row r="995" spans="1:11" x14ac:dyDescent="0.3">
      <c r="A995" s="929"/>
      <c r="B995" s="729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1">
        <v>2</v>
      </c>
      <c r="K995" s="618" t="s">
        <v>50</v>
      </c>
    </row>
    <row r="996" spans="1:11" x14ac:dyDescent="0.3">
      <c r="A996" s="92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2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2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1">
        <v>1</v>
      </c>
      <c r="K998" s="618" t="s">
        <v>50</v>
      </c>
    </row>
    <row r="999" spans="1:11" ht="24" x14ac:dyDescent="0.3">
      <c r="A999" s="92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2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2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0" t="s">
        <v>1646</v>
      </c>
      <c r="B1003" s="1050"/>
      <c r="C1003" s="1050"/>
      <c r="D1003" s="1050"/>
      <c r="E1003" s="1050"/>
      <c r="F1003" s="1050"/>
      <c r="G1003" s="1050"/>
      <c r="H1003" s="1050"/>
      <c r="I1003" s="1050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33" t="s">
        <v>7095</v>
      </c>
      <c r="B1007" s="782">
        <v>46200</v>
      </c>
      <c r="C1007" s="722" t="s">
        <v>19</v>
      </c>
      <c r="D1007" s="632" t="s">
        <v>25</v>
      </c>
      <c r="E1007" s="751" t="s">
        <v>5254</v>
      </c>
      <c r="F1007" s="751" t="s">
        <v>6315</v>
      </c>
      <c r="G1007" s="722" t="s">
        <v>18</v>
      </c>
      <c r="H1007" s="632" t="s">
        <v>6316</v>
      </c>
      <c r="I1007" s="751" t="s">
        <v>2381</v>
      </c>
      <c r="J1007" s="632">
        <v>1</v>
      </c>
      <c r="K1007" s="618" t="s">
        <v>50</v>
      </c>
    </row>
    <row r="1008" spans="1:11" x14ac:dyDescent="0.3">
      <c r="A1008" s="1134"/>
      <c r="B1008" s="782" t="s">
        <v>6318</v>
      </c>
      <c r="C1008" s="722" t="s">
        <v>19</v>
      </c>
      <c r="D1008" s="632" t="s">
        <v>25</v>
      </c>
      <c r="E1008" s="751" t="s">
        <v>5254</v>
      </c>
      <c r="F1008" s="751" t="s">
        <v>6315</v>
      </c>
      <c r="G1008" s="722" t="s">
        <v>18</v>
      </c>
      <c r="H1008" s="632" t="s">
        <v>6316</v>
      </c>
      <c r="I1008" s="751" t="s">
        <v>2381</v>
      </c>
      <c r="J1008" s="632">
        <v>3</v>
      </c>
      <c r="K1008" s="618" t="s">
        <v>50</v>
      </c>
    </row>
    <row r="1009" spans="1:11" x14ac:dyDescent="0.3">
      <c r="A1009" s="1134"/>
      <c r="B1009" s="782" t="s">
        <v>6318</v>
      </c>
      <c r="C1009" s="722" t="s">
        <v>19</v>
      </c>
      <c r="D1009" s="632" t="s">
        <v>25</v>
      </c>
      <c r="E1009" s="751" t="s">
        <v>5254</v>
      </c>
      <c r="F1009" s="751">
        <v>7065</v>
      </c>
      <c r="G1009" s="722" t="s">
        <v>589</v>
      </c>
      <c r="H1009" s="632" t="s">
        <v>6324</v>
      </c>
      <c r="I1009" s="751" t="s">
        <v>90</v>
      </c>
      <c r="J1009" s="632">
        <v>3</v>
      </c>
      <c r="K1009" s="618" t="s">
        <v>50</v>
      </c>
    </row>
    <row r="1010" spans="1:11" x14ac:dyDescent="0.3">
      <c r="A1010" s="1134"/>
      <c r="B1010" s="783" t="s">
        <v>6322</v>
      </c>
      <c r="C1010" s="722" t="s">
        <v>19</v>
      </c>
      <c r="D1010" s="632" t="s">
        <v>25</v>
      </c>
      <c r="E1010" s="751" t="s">
        <v>5254</v>
      </c>
      <c r="F1010" s="686" t="s">
        <v>6250</v>
      </c>
      <c r="G1010" s="686" t="s">
        <v>6323</v>
      </c>
      <c r="H1010" s="784" t="s">
        <v>1105</v>
      </c>
      <c r="I1010" s="751" t="s">
        <v>2381</v>
      </c>
      <c r="J1010" s="632">
        <v>2</v>
      </c>
      <c r="K1010" s="618" t="s">
        <v>50</v>
      </c>
    </row>
    <row r="1011" spans="1:11" x14ac:dyDescent="0.3">
      <c r="A1011" s="1134"/>
      <c r="B1011" s="782" t="s">
        <v>6452</v>
      </c>
      <c r="C1011" s="722" t="s">
        <v>219</v>
      </c>
      <c r="D1011" s="632" t="s">
        <v>151</v>
      </c>
      <c r="E1011" s="751" t="s">
        <v>5254</v>
      </c>
      <c r="F1011" s="751" t="s">
        <v>5754</v>
      </c>
      <c r="G1011" s="722" t="s">
        <v>18</v>
      </c>
      <c r="H1011" s="632" t="s">
        <v>5856</v>
      </c>
      <c r="I1011" s="751"/>
      <c r="J1011" s="632">
        <v>3</v>
      </c>
      <c r="K1011" s="618" t="s">
        <v>50</v>
      </c>
    </row>
    <row r="1012" spans="1:11" x14ac:dyDescent="0.3">
      <c r="A1012" s="1134"/>
      <c r="B1012" s="782" t="s">
        <v>6443</v>
      </c>
      <c r="C1012" s="722" t="s">
        <v>219</v>
      </c>
      <c r="D1012" s="632" t="s">
        <v>151</v>
      </c>
      <c r="E1012" s="751" t="s">
        <v>5254</v>
      </c>
      <c r="F1012" s="751" t="s">
        <v>5847</v>
      </c>
      <c r="G1012" s="722" t="s">
        <v>6133</v>
      </c>
      <c r="H1012" s="632" t="s">
        <v>6454</v>
      </c>
      <c r="I1012" s="751" t="s">
        <v>2381</v>
      </c>
      <c r="J1012" s="632">
        <v>2</v>
      </c>
      <c r="K1012" s="618" t="s">
        <v>50</v>
      </c>
    </row>
    <row r="1013" spans="1:11" x14ac:dyDescent="0.3">
      <c r="A1013" s="1134"/>
      <c r="B1013" s="783" t="s">
        <v>6452</v>
      </c>
      <c r="C1013" s="722" t="s">
        <v>219</v>
      </c>
      <c r="D1013" s="632" t="s">
        <v>151</v>
      </c>
      <c r="E1013" s="751" t="s">
        <v>5254</v>
      </c>
      <c r="F1013" s="686" t="s">
        <v>6250</v>
      </c>
      <c r="G1013" s="686" t="s">
        <v>34</v>
      </c>
      <c r="H1013" s="784" t="s">
        <v>1105</v>
      </c>
      <c r="I1013" s="751" t="s">
        <v>2381</v>
      </c>
      <c r="J1013" s="632">
        <v>3</v>
      </c>
      <c r="K1013" s="618" t="s">
        <v>50</v>
      </c>
    </row>
    <row r="1014" spans="1:11" x14ac:dyDescent="0.3">
      <c r="A1014" s="1134"/>
      <c r="B1014" s="782">
        <v>46214</v>
      </c>
      <c r="C1014" s="722" t="s">
        <v>219</v>
      </c>
      <c r="D1014" s="632" t="s">
        <v>1638</v>
      </c>
      <c r="E1014" s="751" t="s">
        <v>5254</v>
      </c>
      <c r="F1014" s="751" t="s">
        <v>4947</v>
      </c>
      <c r="G1014" s="722" t="s">
        <v>115</v>
      </c>
      <c r="H1014" s="632" t="s">
        <v>1105</v>
      </c>
      <c r="I1014" s="751" t="s">
        <v>2172</v>
      </c>
      <c r="J1014" s="632">
        <v>1</v>
      </c>
      <c r="K1014" s="618" t="s">
        <v>50</v>
      </c>
    </row>
    <row r="1015" spans="1:11" x14ac:dyDescent="0.3">
      <c r="A1015" s="1134"/>
      <c r="B1015" s="782">
        <v>46216</v>
      </c>
      <c r="C1015" s="722" t="s">
        <v>219</v>
      </c>
      <c r="D1015" s="632" t="s">
        <v>1638</v>
      </c>
      <c r="E1015" s="751" t="s">
        <v>5254</v>
      </c>
      <c r="F1015" s="751" t="s">
        <v>6527</v>
      </c>
      <c r="G1015" s="722" t="s">
        <v>6528</v>
      </c>
      <c r="H1015" s="632" t="s">
        <v>1105</v>
      </c>
      <c r="I1015" s="751" t="s">
        <v>2172</v>
      </c>
      <c r="J1015" s="632">
        <v>1</v>
      </c>
      <c r="K1015" s="618" t="s">
        <v>50</v>
      </c>
    </row>
    <row r="1016" spans="1:11" x14ac:dyDescent="0.3">
      <c r="A1016" s="1134"/>
      <c r="B1016" s="782" t="s">
        <v>6554</v>
      </c>
      <c r="C1016" s="722" t="s">
        <v>219</v>
      </c>
      <c r="D1016" s="632" t="s">
        <v>1638</v>
      </c>
      <c r="E1016" s="751" t="s">
        <v>5254</v>
      </c>
      <c r="F1016" s="751">
        <v>7065</v>
      </c>
      <c r="G1016" s="722" t="s">
        <v>589</v>
      </c>
      <c r="H1016" s="632" t="s">
        <v>378</v>
      </c>
      <c r="I1016" s="751" t="s">
        <v>126</v>
      </c>
      <c r="J1016" s="632">
        <v>3</v>
      </c>
      <c r="K1016" s="618" t="s">
        <v>50</v>
      </c>
    </row>
    <row r="1017" spans="1:11" x14ac:dyDescent="0.3">
      <c r="A1017" s="1135"/>
      <c r="B1017" s="782" t="s">
        <v>6607</v>
      </c>
      <c r="C1017" s="722" t="s">
        <v>19</v>
      </c>
      <c r="D1017" s="632" t="s">
        <v>25</v>
      </c>
      <c r="E1017" s="751" t="s">
        <v>5254</v>
      </c>
      <c r="F1017" s="785" t="s">
        <v>6250</v>
      </c>
      <c r="G1017" s="785" t="s">
        <v>6323</v>
      </c>
      <c r="H1017" s="632" t="s">
        <v>6609</v>
      </c>
      <c r="I1017" s="751" t="s">
        <v>168</v>
      </c>
      <c r="J1017" s="632">
        <v>4</v>
      </c>
      <c r="K1017" s="618" t="s">
        <v>50</v>
      </c>
    </row>
    <row r="1018" spans="1:11" x14ac:dyDescent="0.3">
      <c r="A1018" s="1050" t="s">
        <v>1646</v>
      </c>
      <c r="B1018" s="1050"/>
      <c r="C1018" s="1050"/>
      <c r="D1018" s="1050"/>
      <c r="E1018" s="1050"/>
      <c r="F1018" s="1050"/>
      <c r="G1018" s="1050"/>
      <c r="H1018" s="1050"/>
      <c r="I1018" s="1050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5" t="s">
        <v>7096</v>
      </c>
      <c r="B1023" s="640" t="s">
        <v>6655</v>
      </c>
      <c r="C1023" s="722" t="s">
        <v>19</v>
      </c>
      <c r="D1023" s="632" t="s">
        <v>25</v>
      </c>
      <c r="E1023" s="633" t="s">
        <v>5254</v>
      </c>
      <c r="F1023" s="809" t="s">
        <v>3790</v>
      </c>
      <c r="G1023" s="810"/>
      <c r="H1023" s="818" t="s">
        <v>6662</v>
      </c>
      <c r="I1023" s="633" t="s">
        <v>4918</v>
      </c>
      <c r="J1023" s="818">
        <v>2</v>
      </c>
      <c r="K1023" s="618" t="s">
        <v>50</v>
      </c>
    </row>
    <row r="1024" spans="1:11" x14ac:dyDescent="0.3">
      <c r="A1024" s="886"/>
      <c r="B1024" s="369" t="s">
        <v>6719</v>
      </c>
      <c r="C1024" s="722" t="s">
        <v>124</v>
      </c>
      <c r="D1024" s="632" t="s">
        <v>151</v>
      </c>
      <c r="E1024" s="633" t="s">
        <v>5254</v>
      </c>
      <c r="F1024" s="649">
        <v>7065</v>
      </c>
      <c r="G1024" s="810" t="s">
        <v>145</v>
      </c>
      <c r="H1024" s="818" t="s">
        <v>6715</v>
      </c>
      <c r="I1024" s="633" t="s">
        <v>120</v>
      </c>
      <c r="J1024" s="818">
        <v>1</v>
      </c>
      <c r="K1024" s="618" t="s">
        <v>50</v>
      </c>
    </row>
    <row r="1025" spans="1:11" x14ac:dyDescent="0.3">
      <c r="A1025" s="886"/>
      <c r="B1025" s="369" t="s">
        <v>6821</v>
      </c>
      <c r="C1025" s="722" t="s">
        <v>219</v>
      </c>
      <c r="D1025" s="632" t="s">
        <v>151</v>
      </c>
      <c r="E1025" s="633" t="s">
        <v>5254</v>
      </c>
      <c r="F1025" s="649" t="s">
        <v>5847</v>
      </c>
      <c r="G1025" s="810" t="s">
        <v>3758</v>
      </c>
      <c r="H1025" s="818" t="s">
        <v>3715</v>
      </c>
      <c r="I1025" s="633" t="s">
        <v>4918</v>
      </c>
      <c r="J1025" s="818">
        <v>2</v>
      </c>
      <c r="K1025" s="618" t="s">
        <v>50</v>
      </c>
    </row>
    <row r="1026" spans="1:11" x14ac:dyDescent="0.3">
      <c r="A1026" s="886"/>
      <c r="B1026" s="810" t="s">
        <v>6905</v>
      </c>
      <c r="C1026" s="811" t="s">
        <v>306</v>
      </c>
      <c r="D1026" s="811" t="s">
        <v>322</v>
      </c>
      <c r="E1026" s="812" t="s">
        <v>5400</v>
      </c>
      <c r="F1026" s="649" t="s">
        <v>6893</v>
      </c>
      <c r="G1026" s="810" t="s">
        <v>329</v>
      </c>
      <c r="H1026" s="812" t="s">
        <v>6906</v>
      </c>
      <c r="I1026" s="812" t="s">
        <v>1534</v>
      </c>
      <c r="J1026" s="812">
        <v>2</v>
      </c>
      <c r="K1026" s="618" t="s">
        <v>50</v>
      </c>
    </row>
    <row r="1027" spans="1:11" x14ac:dyDescent="0.3">
      <c r="A1027" s="886"/>
      <c r="B1027" s="810" t="s">
        <v>6907</v>
      </c>
      <c r="C1027" s="811" t="s">
        <v>306</v>
      </c>
      <c r="D1027" s="811" t="s">
        <v>322</v>
      </c>
      <c r="E1027" s="812" t="s">
        <v>5400</v>
      </c>
      <c r="F1027" s="649" t="s">
        <v>5766</v>
      </c>
      <c r="G1027" s="810" t="s">
        <v>6908</v>
      </c>
      <c r="H1027" s="812" t="s">
        <v>4915</v>
      </c>
      <c r="I1027" s="812" t="s">
        <v>1534</v>
      </c>
      <c r="J1027" s="812">
        <v>2</v>
      </c>
      <c r="K1027" s="618" t="s">
        <v>50</v>
      </c>
    </row>
    <row r="1028" spans="1:11" x14ac:dyDescent="0.3">
      <c r="A1028" s="886"/>
      <c r="B1028" s="369" t="s">
        <v>6892</v>
      </c>
      <c r="C1028" s="722" t="s">
        <v>19</v>
      </c>
      <c r="D1028" s="632" t="s">
        <v>25</v>
      </c>
      <c r="E1028" s="633" t="s">
        <v>5254</v>
      </c>
      <c r="F1028" s="810">
        <v>7062</v>
      </c>
      <c r="G1028" s="810" t="s">
        <v>143</v>
      </c>
      <c r="H1028" s="818" t="s">
        <v>1105</v>
      </c>
      <c r="I1028" s="633" t="s">
        <v>1259</v>
      </c>
      <c r="J1028" s="818">
        <v>4</v>
      </c>
      <c r="K1028" s="618" t="s">
        <v>50</v>
      </c>
    </row>
    <row r="1029" spans="1:11" x14ac:dyDescent="0.3">
      <c r="A1029" s="886"/>
      <c r="B1029" s="369">
        <v>46263</v>
      </c>
      <c r="C1029" s="722" t="s">
        <v>6707</v>
      </c>
      <c r="D1029" s="632" t="s">
        <v>1604</v>
      </c>
      <c r="E1029" s="633" t="s">
        <v>5254</v>
      </c>
      <c r="F1029" s="810" t="s">
        <v>5754</v>
      </c>
      <c r="G1029" s="810" t="s">
        <v>18</v>
      </c>
      <c r="H1029" s="818" t="s">
        <v>3402</v>
      </c>
      <c r="I1029" s="633" t="s">
        <v>2172</v>
      </c>
      <c r="J1029" s="818">
        <v>1</v>
      </c>
      <c r="K1029" s="618" t="s">
        <v>50</v>
      </c>
    </row>
    <row r="1030" spans="1:11" x14ac:dyDescent="0.3">
      <c r="A1030" s="886"/>
      <c r="B1030" s="369" t="s">
        <v>7021</v>
      </c>
      <c r="C1030" s="722" t="s">
        <v>6707</v>
      </c>
      <c r="D1030" s="632" t="s">
        <v>1604</v>
      </c>
      <c r="E1030" s="633" t="s">
        <v>5254</v>
      </c>
      <c r="F1030" s="810" t="s">
        <v>5754</v>
      </c>
      <c r="G1030" s="810" t="s">
        <v>18</v>
      </c>
      <c r="H1030" s="818" t="s">
        <v>3402</v>
      </c>
      <c r="I1030" s="633" t="s">
        <v>2172</v>
      </c>
      <c r="J1030" s="818">
        <v>2</v>
      </c>
      <c r="K1030" s="618" t="s">
        <v>50</v>
      </c>
    </row>
    <row r="1031" spans="1:11" x14ac:dyDescent="0.3">
      <c r="A1031" s="887"/>
      <c r="B1031" s="369" t="s">
        <v>7022</v>
      </c>
      <c r="C1031" s="722" t="s">
        <v>6707</v>
      </c>
      <c r="D1031" s="632" t="s">
        <v>1604</v>
      </c>
      <c r="E1031" s="633" t="s">
        <v>5254</v>
      </c>
      <c r="F1031" s="810" t="s">
        <v>6075</v>
      </c>
      <c r="G1031" s="810" t="s">
        <v>6071</v>
      </c>
      <c r="H1031" s="818" t="s">
        <v>3402</v>
      </c>
      <c r="I1031" s="633" t="s">
        <v>2172</v>
      </c>
      <c r="J1031" s="818">
        <v>2</v>
      </c>
      <c r="K1031" s="618" t="s">
        <v>50</v>
      </c>
    </row>
    <row r="1032" spans="1:11" x14ac:dyDescent="0.3">
      <c r="A1032" s="1050" t="s">
        <v>1646</v>
      </c>
      <c r="B1032" s="1050"/>
      <c r="C1032" s="1050"/>
      <c r="D1032" s="1050"/>
      <c r="E1032" s="1050"/>
      <c r="F1032" s="1050"/>
      <c r="G1032" s="1050"/>
      <c r="H1032" s="1050"/>
      <c r="I1032" s="1050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54" t="s">
        <v>7096</v>
      </c>
      <c r="B1039" s="727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8" t="s">
        <v>6579</v>
      </c>
      <c r="I1039" s="633" t="s">
        <v>126</v>
      </c>
      <c r="J1039" s="751">
        <v>1</v>
      </c>
      <c r="K1039" s="618" t="s">
        <v>50</v>
      </c>
    </row>
    <row r="1040" spans="1:11" x14ac:dyDescent="0.3">
      <c r="A1040" s="1055"/>
      <c r="B1040" s="727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8" t="s">
        <v>6648</v>
      </c>
      <c r="I1040" s="633" t="s">
        <v>126</v>
      </c>
      <c r="J1040" s="751">
        <v>1</v>
      </c>
      <c r="K1040" s="618" t="s">
        <v>50</v>
      </c>
    </row>
    <row r="1041" spans="1:11" x14ac:dyDescent="0.3">
      <c r="A1041" s="1055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8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5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8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5"/>
      <c r="B1043" s="810" t="s">
        <v>6909</v>
      </c>
      <c r="C1043" s="646" t="s">
        <v>311</v>
      </c>
      <c r="D1043" s="646" t="s">
        <v>320</v>
      </c>
      <c r="E1043" s="810" t="s">
        <v>709</v>
      </c>
      <c r="F1043" s="810" t="s">
        <v>3098</v>
      </c>
      <c r="G1043" s="810" t="s">
        <v>3099</v>
      </c>
      <c r="H1043" s="810" t="s">
        <v>6911</v>
      </c>
      <c r="I1043" s="810"/>
      <c r="J1043" s="810">
        <v>1</v>
      </c>
      <c r="K1043" s="618" t="s">
        <v>50</v>
      </c>
    </row>
    <row r="1044" spans="1:11" ht="22.5" x14ac:dyDescent="0.3">
      <c r="A1044" s="1055"/>
      <c r="B1044" s="810" t="s">
        <v>7097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7098</v>
      </c>
    </row>
    <row r="1045" spans="1:11" ht="24" x14ac:dyDescent="0.3">
      <c r="A1045" s="1055"/>
      <c r="B1045" s="810" t="s">
        <v>6913</v>
      </c>
      <c r="C1045" s="646" t="s">
        <v>311</v>
      </c>
      <c r="D1045" s="646" t="s">
        <v>320</v>
      </c>
      <c r="E1045" s="810" t="s">
        <v>709</v>
      </c>
      <c r="F1045" s="810" t="s">
        <v>3098</v>
      </c>
      <c r="G1045" s="810" t="s">
        <v>3099</v>
      </c>
      <c r="H1045" s="810" t="s">
        <v>6914</v>
      </c>
      <c r="I1045" s="810"/>
      <c r="J1045" s="810">
        <v>1</v>
      </c>
      <c r="K1045" s="618" t="s">
        <v>50</v>
      </c>
    </row>
    <row r="1046" spans="1:11" ht="24" x14ac:dyDescent="0.3">
      <c r="A1046" s="1055"/>
      <c r="B1046" s="810" t="s">
        <v>6916</v>
      </c>
      <c r="C1046" s="646" t="s">
        <v>311</v>
      </c>
      <c r="D1046" s="646" t="s">
        <v>320</v>
      </c>
      <c r="E1046" s="810" t="s">
        <v>709</v>
      </c>
      <c r="F1046" s="810" t="s">
        <v>3098</v>
      </c>
      <c r="G1046" s="810" t="s">
        <v>3099</v>
      </c>
      <c r="H1046" s="810" t="s">
        <v>6843</v>
      </c>
      <c r="I1046" s="810"/>
      <c r="J1046" s="810">
        <v>1</v>
      </c>
      <c r="K1046" s="618" t="s">
        <v>50</v>
      </c>
    </row>
    <row r="1047" spans="1:11" ht="24" x14ac:dyDescent="0.3">
      <c r="A1047" s="1055"/>
      <c r="B1047" s="810" t="s">
        <v>6918</v>
      </c>
      <c r="C1047" s="646" t="s">
        <v>311</v>
      </c>
      <c r="D1047" s="646" t="s">
        <v>320</v>
      </c>
      <c r="E1047" s="810" t="s">
        <v>709</v>
      </c>
      <c r="F1047" s="810" t="s">
        <v>3098</v>
      </c>
      <c r="G1047" s="810" t="s">
        <v>3099</v>
      </c>
      <c r="H1047" s="810" t="s">
        <v>6919</v>
      </c>
      <c r="I1047" s="810" t="s">
        <v>5447</v>
      </c>
      <c r="J1047" s="810">
        <v>1</v>
      </c>
      <c r="K1047" s="618" t="s">
        <v>50</v>
      </c>
    </row>
    <row r="1048" spans="1:11" ht="24" x14ac:dyDescent="0.3">
      <c r="A1048" s="1055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56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0" t="s">
        <v>1646</v>
      </c>
      <c r="B1050" s="1050"/>
      <c r="C1050" s="1050"/>
      <c r="D1050" s="1050"/>
      <c r="E1050" s="1050"/>
      <c r="F1050" s="1050"/>
      <c r="G1050" s="1050"/>
      <c r="H1050" s="1050"/>
      <c r="I1050" s="1050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57" t="s">
        <v>7099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5" t="s">
        <v>6518</v>
      </c>
      <c r="I1055" s="817" t="s">
        <v>202</v>
      </c>
      <c r="J1055" s="817">
        <v>1</v>
      </c>
      <c r="K1055" s="618" t="s">
        <v>50</v>
      </c>
    </row>
    <row r="1056" spans="1:11" x14ac:dyDescent="0.3">
      <c r="A1056" s="1057"/>
      <c r="B1056" s="644" t="s">
        <v>6909</v>
      </c>
      <c r="C1056" s="814" t="s">
        <v>311</v>
      </c>
      <c r="D1056" s="814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57"/>
      <c r="B1057" s="644" t="s">
        <v>6913</v>
      </c>
      <c r="C1057" s="814" t="s">
        <v>311</v>
      </c>
      <c r="D1057" s="814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57"/>
      <c r="B1058" s="657">
        <v>46258</v>
      </c>
      <c r="C1058" s="814" t="s">
        <v>21</v>
      </c>
      <c r="D1058" s="814" t="s">
        <v>14</v>
      </c>
      <c r="E1058" s="817" t="s">
        <v>78</v>
      </c>
      <c r="F1058" s="817" t="s">
        <v>3833</v>
      </c>
      <c r="G1058" s="643" t="s">
        <v>207</v>
      </c>
      <c r="H1058" s="816" t="s">
        <v>6878</v>
      </c>
      <c r="I1058" s="817" t="s">
        <v>202</v>
      </c>
      <c r="J1058" s="817">
        <v>1</v>
      </c>
      <c r="K1058" s="618" t="s">
        <v>50</v>
      </c>
    </row>
    <row r="1059" spans="1:11" x14ac:dyDescent="0.3">
      <c r="A1059" s="1057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5" t="s">
        <v>6930</v>
      </c>
      <c r="I1059" s="653" t="s">
        <v>202</v>
      </c>
      <c r="J1059" s="815">
        <v>1</v>
      </c>
      <c r="K1059" s="618" t="s">
        <v>50</v>
      </c>
    </row>
    <row r="1060" spans="1:11" x14ac:dyDescent="0.3">
      <c r="A1060" s="1057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5" t="s">
        <v>6930</v>
      </c>
      <c r="I1060" s="653" t="s">
        <v>202</v>
      </c>
      <c r="J1060" s="815">
        <v>1</v>
      </c>
      <c r="K1060" s="618" t="s">
        <v>50</v>
      </c>
    </row>
    <row r="1061" spans="1:11" x14ac:dyDescent="0.3">
      <c r="A1061" s="1050" t="s">
        <v>1646</v>
      </c>
      <c r="B1061" s="1050"/>
      <c r="C1061" s="1050"/>
      <c r="D1061" s="1050"/>
      <c r="E1061" s="1050"/>
      <c r="F1061" s="1050"/>
      <c r="G1061" s="1050"/>
      <c r="H1061" s="1050"/>
      <c r="I1061" s="1050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1" t="s">
        <v>7099</v>
      </c>
      <c r="B1065" s="657" t="s">
        <v>6815</v>
      </c>
      <c r="C1065" s="743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5" t="s">
        <v>3743</v>
      </c>
      <c r="I1065" s="653" t="s">
        <v>737</v>
      </c>
      <c r="J1065" s="815">
        <v>5</v>
      </c>
      <c r="K1065" s="618" t="s">
        <v>50</v>
      </c>
    </row>
    <row r="1066" spans="1:11" x14ac:dyDescent="0.3">
      <c r="A1066" s="1052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2"/>
      <c r="B1067" s="657" t="s">
        <v>6888</v>
      </c>
      <c r="C1067" s="743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5" t="s">
        <v>3020</v>
      </c>
      <c r="I1067" s="653" t="s">
        <v>168</v>
      </c>
      <c r="J1067" s="815">
        <v>5</v>
      </c>
      <c r="K1067" s="618" t="s">
        <v>50</v>
      </c>
    </row>
    <row r="1068" spans="1:11" x14ac:dyDescent="0.3">
      <c r="A1068" s="1053"/>
      <c r="B1068" s="657">
        <v>46265</v>
      </c>
      <c r="C1068" s="743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5" t="s">
        <v>3020</v>
      </c>
      <c r="I1068" s="653" t="s">
        <v>1629</v>
      </c>
      <c r="J1068" s="815">
        <v>1</v>
      </c>
      <c r="K1068" s="618" t="s">
        <v>50</v>
      </c>
    </row>
    <row r="1069" spans="1:11" x14ac:dyDescent="0.3">
      <c r="A1069" s="1050" t="s">
        <v>1646</v>
      </c>
      <c r="B1069" s="1050"/>
      <c r="C1069" s="1050"/>
      <c r="D1069" s="1050"/>
      <c r="E1069" s="1050"/>
      <c r="F1069" s="1050"/>
      <c r="G1069" s="1050"/>
      <c r="H1069" s="1050"/>
      <c r="I1069" s="1050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1" t="s">
        <v>7100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6" t="s">
        <v>303</v>
      </c>
      <c r="I1073" s="817" t="s">
        <v>90</v>
      </c>
      <c r="J1073" s="817">
        <v>1</v>
      </c>
      <c r="K1073" s="618" t="s">
        <v>50</v>
      </c>
    </row>
    <row r="1074" spans="1:11" x14ac:dyDescent="0.3">
      <c r="A1074" s="1052"/>
      <c r="B1074" s="657">
        <v>46230</v>
      </c>
      <c r="C1074" s="814" t="s">
        <v>21</v>
      </c>
      <c r="D1074" s="814" t="s">
        <v>14</v>
      </c>
      <c r="E1074" s="817" t="s">
        <v>1893</v>
      </c>
      <c r="F1074" s="817" t="s">
        <v>4939</v>
      </c>
      <c r="G1074" s="643" t="s">
        <v>482</v>
      </c>
      <c r="H1074" s="816" t="s">
        <v>6542</v>
      </c>
      <c r="I1074" s="817"/>
      <c r="J1074" s="817">
        <v>1</v>
      </c>
      <c r="K1074" s="618" t="s">
        <v>50</v>
      </c>
    </row>
    <row r="1075" spans="1:11" x14ac:dyDescent="0.3">
      <c r="A1075" s="1052"/>
      <c r="B1075" s="657">
        <v>46234</v>
      </c>
      <c r="C1075" s="814" t="s">
        <v>21</v>
      </c>
      <c r="D1075" s="814" t="s">
        <v>14</v>
      </c>
      <c r="E1075" s="817" t="s">
        <v>1787</v>
      </c>
      <c r="F1075" s="817" t="s">
        <v>2978</v>
      </c>
      <c r="G1075" s="643" t="s">
        <v>205</v>
      </c>
      <c r="H1075" s="816" t="s">
        <v>5250</v>
      </c>
      <c r="I1075" s="817"/>
      <c r="J1075" s="817">
        <v>1</v>
      </c>
      <c r="K1075" s="618" t="s">
        <v>50</v>
      </c>
    </row>
    <row r="1076" spans="1:11" x14ac:dyDescent="0.3">
      <c r="A1076" s="1052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5" t="s">
        <v>6670</v>
      </c>
      <c r="I1076" s="653"/>
      <c r="J1076" s="653">
        <v>1</v>
      </c>
      <c r="K1076" s="618" t="s">
        <v>50</v>
      </c>
    </row>
    <row r="1077" spans="1:11" x14ac:dyDescent="0.3">
      <c r="A1077" s="1052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5" t="s">
        <v>6699</v>
      </c>
      <c r="I1077" s="653"/>
      <c r="J1077" s="653">
        <v>1</v>
      </c>
      <c r="K1077" s="618" t="s">
        <v>50</v>
      </c>
    </row>
    <row r="1078" spans="1:11" x14ac:dyDescent="0.3">
      <c r="A1078" s="1052"/>
      <c r="B1078" s="657">
        <v>46247</v>
      </c>
      <c r="C1078" s="814" t="s">
        <v>21</v>
      </c>
      <c r="D1078" s="814" t="s">
        <v>14</v>
      </c>
      <c r="E1078" s="817" t="s">
        <v>1787</v>
      </c>
      <c r="F1078" s="817" t="s">
        <v>5408</v>
      </c>
      <c r="G1078" s="643" t="s">
        <v>4903</v>
      </c>
      <c r="H1078" s="816" t="s">
        <v>6781</v>
      </c>
      <c r="I1078" s="817"/>
      <c r="J1078" s="817">
        <v>2</v>
      </c>
      <c r="K1078" s="618" t="s">
        <v>50</v>
      </c>
    </row>
    <row r="1079" spans="1:11" ht="22.5" x14ac:dyDescent="0.3">
      <c r="A1079" s="1052"/>
      <c r="B1079" s="657">
        <v>46249</v>
      </c>
      <c r="C1079" s="814" t="s">
        <v>21</v>
      </c>
      <c r="D1079" s="814" t="s">
        <v>14</v>
      </c>
      <c r="E1079" s="817" t="s">
        <v>107</v>
      </c>
      <c r="F1079" s="817" t="s">
        <v>5269</v>
      </c>
      <c r="G1079" s="643" t="s">
        <v>23</v>
      </c>
      <c r="H1079" s="816" t="s">
        <v>6814</v>
      </c>
      <c r="I1079" s="817" t="s">
        <v>6325</v>
      </c>
      <c r="J1079" s="817">
        <v>2</v>
      </c>
      <c r="K1079" s="618" t="s">
        <v>50</v>
      </c>
    </row>
    <row r="1080" spans="1:11" x14ac:dyDescent="0.3">
      <c r="A1080" s="1052"/>
      <c r="B1080" s="644" t="s">
        <v>6909</v>
      </c>
      <c r="C1080" s="814" t="s">
        <v>311</v>
      </c>
      <c r="D1080" s="814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2"/>
      <c r="B1081" s="644" t="s">
        <v>6913</v>
      </c>
      <c r="C1081" s="814" t="s">
        <v>311</v>
      </c>
      <c r="D1081" s="814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2"/>
      <c r="B1082" s="644" t="s">
        <v>6916</v>
      </c>
      <c r="C1082" s="814" t="s">
        <v>311</v>
      </c>
      <c r="D1082" s="814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2"/>
      <c r="B1083" s="644" t="s">
        <v>6916</v>
      </c>
      <c r="C1083" s="814" t="s">
        <v>311</v>
      </c>
      <c r="D1083" s="814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2"/>
      <c r="B1084" s="644" t="s">
        <v>6918</v>
      </c>
      <c r="C1084" s="814" t="s">
        <v>311</v>
      </c>
      <c r="D1084" s="814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2"/>
      <c r="B1085" s="657">
        <v>46258</v>
      </c>
      <c r="C1085" s="814" t="s">
        <v>21</v>
      </c>
      <c r="D1085" s="814" t="s">
        <v>14</v>
      </c>
      <c r="E1085" s="817" t="s">
        <v>149</v>
      </c>
      <c r="F1085" s="817" t="s">
        <v>3415</v>
      </c>
      <c r="G1085" s="643" t="s">
        <v>23</v>
      </c>
      <c r="H1085" s="816" t="s">
        <v>6883</v>
      </c>
      <c r="I1085" s="817"/>
      <c r="J1085" s="817">
        <v>2</v>
      </c>
      <c r="K1085" s="618" t="s">
        <v>50</v>
      </c>
    </row>
    <row r="1086" spans="1:11" x14ac:dyDescent="0.3">
      <c r="A1086" s="1053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5" t="s">
        <v>6864</v>
      </c>
      <c r="I1086" s="817"/>
      <c r="J1086" s="817">
        <v>2</v>
      </c>
      <c r="K1086" s="618" t="s">
        <v>50</v>
      </c>
    </row>
    <row r="1087" spans="1:11" x14ac:dyDescent="0.3">
      <c r="A1087" s="1050" t="s">
        <v>1646</v>
      </c>
      <c r="B1087" s="1050"/>
      <c r="C1087" s="1050"/>
      <c r="D1087" s="1050"/>
      <c r="E1087" s="1050"/>
      <c r="F1087" s="1050"/>
      <c r="G1087" s="1050"/>
      <c r="H1087" s="1050"/>
      <c r="I1087" s="1050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1" t="s">
        <v>7101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5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2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5" t="s">
        <v>6629</v>
      </c>
      <c r="I1092" s="653"/>
      <c r="J1092" s="653">
        <v>1</v>
      </c>
      <c r="K1092" s="618" t="s">
        <v>7104</v>
      </c>
    </row>
    <row r="1093" spans="1:11" x14ac:dyDescent="0.3">
      <c r="A1093" s="1052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5" t="s">
        <v>6693</v>
      </c>
      <c r="I1093" s="817" t="s">
        <v>1948</v>
      </c>
      <c r="J1093" s="817">
        <v>1</v>
      </c>
      <c r="K1093" s="618" t="s">
        <v>50</v>
      </c>
    </row>
    <row r="1094" spans="1:11" x14ac:dyDescent="0.3">
      <c r="A1094" s="1052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5" t="s">
        <v>6693</v>
      </c>
      <c r="I1094" s="817" t="s">
        <v>1948</v>
      </c>
      <c r="J1094" s="817">
        <v>1</v>
      </c>
      <c r="K1094" s="618" t="s">
        <v>50</v>
      </c>
    </row>
    <row r="1095" spans="1:11" x14ac:dyDescent="0.3">
      <c r="A1095" s="1052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5" t="s">
        <v>7102</v>
      </c>
      <c r="I1095" s="817"/>
      <c r="J1095" s="816">
        <v>1</v>
      </c>
      <c r="K1095" s="618" t="s">
        <v>50</v>
      </c>
    </row>
    <row r="1096" spans="1:11" x14ac:dyDescent="0.3">
      <c r="A1096" s="1052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5" t="s">
        <v>7103</v>
      </c>
      <c r="I1096" s="817"/>
      <c r="J1096" s="816">
        <v>1</v>
      </c>
      <c r="K1096" s="618" t="s">
        <v>50</v>
      </c>
    </row>
    <row r="1097" spans="1:11" x14ac:dyDescent="0.3">
      <c r="A1097" s="1052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6" t="s">
        <v>6826</v>
      </c>
      <c r="I1097" s="817" t="s">
        <v>168</v>
      </c>
      <c r="J1097" s="817">
        <v>1</v>
      </c>
      <c r="K1097" s="618" t="s">
        <v>50</v>
      </c>
    </row>
    <row r="1098" spans="1:11" x14ac:dyDescent="0.3">
      <c r="A1098" s="1053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6" t="s">
        <v>6827</v>
      </c>
      <c r="I1098" s="817" t="s">
        <v>168</v>
      </c>
      <c r="J1098" s="817">
        <v>1</v>
      </c>
      <c r="K1098" s="618" t="s">
        <v>50</v>
      </c>
    </row>
    <row r="1099" spans="1:11" x14ac:dyDescent="0.3">
      <c r="A1099" s="1050" t="s">
        <v>1646</v>
      </c>
      <c r="B1099" s="1050"/>
      <c r="C1099" s="1050"/>
      <c r="D1099" s="1050"/>
      <c r="E1099" s="1050"/>
      <c r="F1099" s="1050"/>
      <c r="G1099" s="1050"/>
      <c r="H1099" s="1050"/>
      <c r="I1099" s="1050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1" t="s">
        <v>5385</v>
      </c>
      <c r="I12" s="871"/>
      <c r="J12" s="871"/>
      <c r="K12" s="871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1" t="s">
        <v>5386</v>
      </c>
      <c r="I20" s="871"/>
      <c r="J20" s="871"/>
      <c r="K20" s="871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2" t="s">
        <v>2</v>
      </c>
      <c r="B23" s="702" t="s">
        <v>6124</v>
      </c>
      <c r="C23" s="702" t="s">
        <v>6125</v>
      </c>
    </row>
    <row r="24" spans="1:13" x14ac:dyDescent="0.3">
      <c r="A24" s="702" t="s">
        <v>6126</v>
      </c>
      <c r="B24" s="701">
        <v>10500000</v>
      </c>
      <c r="C24" s="702" t="s">
        <v>6127</v>
      </c>
    </row>
    <row r="25" spans="1:13" x14ac:dyDescent="0.3">
      <c r="A25" s="702" t="s">
        <v>6128</v>
      </c>
      <c r="B25" s="701">
        <v>4500000</v>
      </c>
      <c r="C25" s="702" t="s">
        <v>6129</v>
      </c>
    </row>
    <row r="26" spans="1:13" x14ac:dyDescent="0.3">
      <c r="A26" s="702" t="s">
        <v>6130</v>
      </c>
      <c r="B26" s="701">
        <v>15000000</v>
      </c>
      <c r="C26" s="70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7" t="s">
        <v>6146</v>
      </c>
      <c r="E4" s="703" t="s">
        <v>6147</v>
      </c>
      <c r="F4" s="703" t="s">
        <v>6</v>
      </c>
      <c r="G4" s="703" t="s">
        <v>6148</v>
      </c>
      <c r="H4" s="703" t="s">
        <v>6149</v>
      </c>
      <c r="I4" s="703" t="s">
        <v>6150</v>
      </c>
    </row>
    <row r="5" spans="4:9" ht="66" x14ac:dyDescent="0.3">
      <c r="D5" s="708">
        <v>5</v>
      </c>
      <c r="E5" s="705">
        <v>45701</v>
      </c>
      <c r="F5" s="706" t="s">
        <v>6151</v>
      </c>
      <c r="G5" s="706" t="s">
        <v>6152</v>
      </c>
      <c r="H5" s="706" t="s">
        <v>6153</v>
      </c>
      <c r="I5" s="706" t="s">
        <v>6154</v>
      </c>
    </row>
    <row r="6" spans="4:9" ht="82.5" x14ac:dyDescent="0.3">
      <c r="D6" s="708">
        <v>51</v>
      </c>
      <c r="E6" s="705">
        <v>45746</v>
      </c>
      <c r="F6" s="706" t="s">
        <v>6155</v>
      </c>
      <c r="G6" s="706" t="s">
        <v>6156</v>
      </c>
      <c r="H6" s="706" t="s">
        <v>6157</v>
      </c>
      <c r="I6" s="706" t="s">
        <v>6158</v>
      </c>
    </row>
    <row r="7" spans="4:9" ht="49.5" x14ac:dyDescent="0.3">
      <c r="D7" s="708">
        <v>61</v>
      </c>
      <c r="E7" s="705">
        <v>45783</v>
      </c>
      <c r="F7" s="706" t="s">
        <v>6159</v>
      </c>
      <c r="G7" s="706" t="s">
        <v>6160</v>
      </c>
      <c r="H7" s="706" t="s">
        <v>6161</v>
      </c>
      <c r="I7" s="706" t="s">
        <v>6162</v>
      </c>
    </row>
    <row r="8" spans="4:9" ht="66" x14ac:dyDescent="0.3">
      <c r="D8" s="708">
        <v>87</v>
      </c>
      <c r="E8" s="705">
        <v>45859</v>
      </c>
      <c r="F8" s="706" t="s">
        <v>6163</v>
      </c>
      <c r="G8" s="706" t="s">
        <v>6164</v>
      </c>
      <c r="H8" s="706" t="s">
        <v>6165</v>
      </c>
      <c r="I8" s="706" t="s">
        <v>6166</v>
      </c>
    </row>
    <row r="9" spans="4:9" ht="49.5" x14ac:dyDescent="0.3">
      <c r="D9" s="708">
        <v>88</v>
      </c>
      <c r="E9" s="705">
        <v>45859</v>
      </c>
      <c r="F9" s="706" t="s">
        <v>6167</v>
      </c>
      <c r="G9" s="706" t="s">
        <v>6168</v>
      </c>
      <c r="H9" s="706" t="s">
        <v>6169</v>
      </c>
      <c r="I9" s="706" t="s">
        <v>6170</v>
      </c>
    </row>
    <row r="10" spans="4:9" ht="33" x14ac:dyDescent="0.3">
      <c r="D10" s="708">
        <v>96</v>
      </c>
      <c r="E10" s="705">
        <v>45872</v>
      </c>
      <c r="F10" s="706" t="s">
        <v>6171</v>
      </c>
      <c r="G10" s="706" t="s">
        <v>6172</v>
      </c>
      <c r="H10" s="706" t="s">
        <v>6173</v>
      </c>
      <c r="I10" s="706" t="s">
        <v>6174</v>
      </c>
    </row>
    <row r="11" spans="4:9" ht="49.5" x14ac:dyDescent="0.3">
      <c r="D11" s="708">
        <v>114</v>
      </c>
      <c r="E11" s="705">
        <v>45899</v>
      </c>
      <c r="F11" s="706" t="s">
        <v>6171</v>
      </c>
      <c r="G11" s="706" t="s">
        <v>6175</v>
      </c>
      <c r="H11" s="706" t="s">
        <v>6176</v>
      </c>
      <c r="I11" s="706" t="s">
        <v>6177</v>
      </c>
    </row>
    <row r="12" spans="4:9" ht="49.5" x14ac:dyDescent="0.3">
      <c r="D12" s="708">
        <v>130</v>
      </c>
      <c r="E12" s="704" t="s">
        <v>6178</v>
      </c>
      <c r="F12" s="706" t="s">
        <v>6179</v>
      </c>
      <c r="G12" s="706" t="s">
        <v>6180</v>
      </c>
      <c r="H12" s="706" t="s">
        <v>6181</v>
      </c>
      <c r="I12" s="706" t="s">
        <v>6182</v>
      </c>
    </row>
    <row r="13" spans="4:9" ht="33" x14ac:dyDescent="0.3">
      <c r="D13" s="708">
        <v>150</v>
      </c>
      <c r="E13" s="704" t="s">
        <v>6178</v>
      </c>
      <c r="F13" s="706" t="s">
        <v>6183</v>
      </c>
      <c r="G13" s="706" t="s">
        <v>6184</v>
      </c>
      <c r="H13" s="706" t="s">
        <v>6185</v>
      </c>
      <c r="I13" s="706" t="s">
        <v>6186</v>
      </c>
    </row>
    <row r="14" spans="4:9" ht="33" x14ac:dyDescent="0.3">
      <c r="D14" s="708">
        <v>158</v>
      </c>
      <c r="E14" s="704" t="s">
        <v>6178</v>
      </c>
      <c r="F14" s="706" t="s">
        <v>6187</v>
      </c>
      <c r="G14" s="706" t="s">
        <v>6188</v>
      </c>
      <c r="H14" s="706" t="s">
        <v>6189</v>
      </c>
      <c r="I14" s="706" t="s">
        <v>6190</v>
      </c>
    </row>
    <row r="15" spans="4:9" ht="66" x14ac:dyDescent="0.3">
      <c r="D15" s="708">
        <v>166</v>
      </c>
      <c r="E15" s="705">
        <v>46051</v>
      </c>
      <c r="F15" s="706" t="s">
        <v>6191</v>
      </c>
      <c r="G15" s="706" t="s">
        <v>6192</v>
      </c>
      <c r="H15" s="706" t="s">
        <v>6193</v>
      </c>
      <c r="I15" s="706" t="s">
        <v>6194</v>
      </c>
    </row>
    <row r="16" spans="4:9" ht="49.5" x14ac:dyDescent="0.3">
      <c r="D16" s="708">
        <v>168</v>
      </c>
      <c r="E16" s="704" t="s">
        <v>6178</v>
      </c>
      <c r="F16" s="706" t="s">
        <v>6195</v>
      </c>
      <c r="G16" s="706" t="s">
        <v>6196</v>
      </c>
      <c r="H16" s="706" t="s">
        <v>6197</v>
      </c>
      <c r="I16" s="706" t="s">
        <v>6198</v>
      </c>
    </row>
    <row r="17" spans="4:9" ht="33" x14ac:dyDescent="0.3">
      <c r="D17" s="708">
        <v>176</v>
      </c>
      <c r="E17" s="704" t="s">
        <v>6178</v>
      </c>
      <c r="F17" s="706" t="s">
        <v>6199</v>
      </c>
      <c r="G17" s="706" t="s">
        <v>6200</v>
      </c>
      <c r="H17" s="706" t="s">
        <v>6201</v>
      </c>
      <c r="I17" s="706" t="s">
        <v>6202</v>
      </c>
    </row>
    <row r="18" spans="4:9" ht="49.5" x14ac:dyDescent="0.3">
      <c r="D18" s="708">
        <v>177</v>
      </c>
      <c r="E18" s="704" t="s">
        <v>6178</v>
      </c>
      <c r="F18" s="706" t="s">
        <v>6203</v>
      </c>
      <c r="G18" s="706" t="s">
        <v>6204</v>
      </c>
      <c r="H18" s="706" t="s">
        <v>6205</v>
      </c>
      <c r="I18" s="706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2026-09-18T04:41:20Z</dcterms:modified>
</cp:coreProperties>
</file>