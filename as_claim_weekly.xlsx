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<sst xmlns="http://schemas.openxmlformats.org/spreadsheetml/2006/main" count="21942" uniqueCount="5896">
  <si>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</si>
  <si>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</si>
  <si>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</si>
  <si>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</si>
  <si>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</si>
  <si>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</si>
  <si>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</si>
  <si>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</si>
  <si>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</si>
  <si>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</si>
  <si>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</si>
  <si>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</si>
  <si>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</si>
  <si>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</si>
  <si>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</si>
  <si>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</si>
  <si>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</si>
  <si>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</si>
  <si>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</si>
  <si>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</si>
  <si>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</si>
  <si>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</si>
  <si>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</si>
  <si>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</si>
  <si>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</si>
  <si>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</si>
  <si>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</si>
  <si>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</si>
  <si>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</si>
  <si>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</si>
  <si>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</si>
  <si>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</si>
  <si>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</si>
  <si>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</si>
  <si>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</si>
  <si>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</si>
  <si>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</si>
  <si>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</si>
  <si>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</si>
  <si>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</si>
  <si>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</si>
  <si>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</si>
  <si>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</si>
  <si>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</si>
  <si>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</si>
  <si>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</si>
  <si>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</si>
  <si>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</si>
  <si>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</si>
  <si>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</si>
  <si>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</si>
  <si>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</si>
  <si>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</si>
  <si>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</si>
  <si>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</si>
  <si>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</si>
  <si>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</si>
  <si>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</si>
  <si>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</si>
  <si>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</si>
  <si>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</si>
  <si>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</si>
  <si>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</si>
  <si>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</si>
  <si>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</si>
  <si>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</si>
  <si>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</si>
  <si>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</si>
  <si>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</si>
  <si>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</si>
  <si>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</si>
  <si>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</si>
  <si>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</si>
  <si>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</si>
  <si>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</si>
  <si>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</si>
  <si>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</si>
  <si>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</si>
  <si>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</si>
  <si>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</si>
  <si>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</si>
  <si>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</si>
  <si>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</si>
  <si>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</si>
  <si>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</si>
  <si>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</si>
  <si>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</si>
  <si>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</si>
  <si>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</si>
  <si>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</si>
  <si>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</si>
  <si>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</si>
  <si>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</si>
  <si>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</si>
  <si>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</si>
  <si>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</si>
  <si>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</si>
  <si>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</si>
  <si>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</si>
  <si>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</si>
  <si>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</si>
  <si>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</si>
  <si>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</si>
  <si>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</si>
  <si>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</si>
  <si>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</si>
  <si>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</si>
  <si>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</si>
  <si>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</si>
  <si>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</si>
  <si>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</si>
  <si>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</si>
  <si>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</si>
  <si>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</si>
  <si>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</si>
  <si>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</si>
  <si>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</si>
  <si>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</si>
  <si>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</si>
  <si>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</si>
  <si>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</si>
  <si>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</si>
  <si>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</si>
  <si>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</si>
  <si>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</si>
  <si>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</si>
  <si>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</si>
  <si>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</si>
  <si>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</si>
  <si>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</si>
  <si>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</si>
  <si>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</si>
  <si>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</si>
  <si>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</si>
  <si>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</si>
  <si>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</si>
  <si>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</si>
  <si>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</si>
  <si>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</si>
  <si>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</si>
  <si>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</si>
  <si>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</si>
  <si>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</si>
  <si>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</si>
  <si>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</si>
  <si>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</si>
  <si>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</si>
  <si>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</si>
  <si>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</si>
  <si>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</si>
  <si>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</si>
  <si>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</si>
  <si>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</si>
  <si>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</si>
  <si>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</si>
  <si>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</si>
  <si>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</si>
  <si>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</si>
  <si>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</si>
  <si>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</si>
  <si>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</si>
  <si>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</si>
  <si>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</si>
  <si>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</si>
  <si>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</si>
  <si>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</si>
  <si>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</si>
  <si>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</si>
  <si>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</si>
  <si>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</si>
  <si>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</si>
  <si>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</si>
  <si>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</si>
  <si>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</si>
  <si>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</si>
  <si>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</si>
  <si>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</si>
  <si>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</si>
  <si>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</si>
  <si>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</si>
  <si>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</si>
  <si>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</si>
  <si>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</si>
  <si>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</si>
  <si>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</si>
  <si>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</si>
  <si>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</si>
  <si>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</si>
  <si>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</si>
  <si>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</si>
  <si>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</si>
  <si>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</si>
  <si>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</si>
  <si>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</si>
  <si>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</si>
  <si>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</si>
  <si>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</si>
  <si>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</si>
  <si>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</si>
  <si>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</si>
  <si>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</si>
  <si>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</si>
  <si>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</si>
  <si>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</si>
  <si>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</si>
  <si>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</si>
  <si>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</si>
  <si>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</si>
  <si>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</si>
  <si>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</si>
  <si>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</si>
  <si>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</si>
  <si>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</si>
  <si>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</si>
  <si>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</si>
  <si>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</si>
  <si>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</si>
  <si>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</si>
  <si>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</si>
  <si>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</si>
  <si>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</si>
  <si>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</si>
  <si>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</si>
  <si>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</si>
  <si>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</si>
  <si>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</si>
  <si>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</si>
  <si>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</si>
  <si>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</si>
  <si>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</si>
  <si>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</si>
  <si>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</si>
  <si>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</si>
  <si>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</si>
  <si>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</si>
  <si>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</si>
  <si>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</si>
  <si>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</si>
  <si>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</si>
  <si>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</si>
  <si>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</si>
  <si>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</si>
  <si>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</si>
  <si>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</si>
  <si>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</si>
  <si>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</si>
  <si>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</si>
  <si>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</si>
  <si>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</si>
  <si>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</si>
  <si>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</si>
  <si>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</si>
  <si>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</si>
  <si>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</si>
  <si>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</si>
  <si>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</si>
  <si>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</si>
  <si>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</si>
  <si>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</si>
  <si>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</si>
  <si>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</si>
  <si>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</si>
  <si>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</si>
  <si>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</si>
  <si>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</si>
  <si>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</si>
  <si>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</si>
  <si>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</si>
  <si>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</si>
  <si>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</si>
  <si>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</si>
  <si>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</si>
  <si>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</si>
  <si>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</si>
  <si>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</si>
  <si>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</si>
  <si>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</si>
  <si>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</si>
  <si>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</si>
  <si>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</si>
  <si>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</si>
  <si>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</si>
  <si>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</si>
  <si>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</si>
  <si>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</si>
  <si>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</si>
  <si>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</si>
  <si>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</si>
  <si>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</si>
  <si>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</si>
  <si>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</si>
  <si>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</si>
  <si>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</si>
  <si>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</si>
  <si>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</si>
  <si>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</si>
  <si>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</si>
  <si>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</si>
  <si>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</si>
  <si>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</si>
  <si>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</si>
  <si>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</si>
  <si>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</si>
  <si>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</si>
  <si>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</si>
  <si>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</si>
  <si>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</si>
  <si>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</si>
  <si>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</si>
  <si>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</si>
  <si>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</si>
  <si>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</si>
  <si>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</si>
  <si>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</si>
  <si>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</si>
  <si>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</si>
  <si>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</si>
  <si>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</si>
  <si>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</si>
  <si>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</si>
  <si>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</si>
  <si>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</si>
  <si>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</si>
  <si>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</si>
  <si>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</si>
  <si>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</si>
  <si>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</si>
  <si>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</si>
  <si>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</si>
  <si>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</si>
  <si>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</si>
  <si>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</si>
  <si>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</si>
  <si>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</si>
  <si>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</si>
  <si>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</si>
  <si>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</si>
  <si>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</si>
  <si>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</si>
  <si>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</si>
  <si>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</si>
  <si>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</si>
  <si>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</si>
  <si>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</si>
  <si>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</si>
  <si>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</si>
  <si>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</si>
  <si>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</si>
  <si>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</si>
  <si>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</si>
  <si>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</si>
  <si>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</si>
  <si>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</si>
  <si>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</si>
  <si>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</si>
  <si>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</si>
  <si>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</si>
  <si>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</si>
  <si>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</si>
  <si>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</si>
  <si>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</si>
  <si>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</si>
  <si>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</si>
  <si>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</si>
  <si>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</si>
  <si>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</si>
  <si>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</si>
  <si>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</si>
  <si>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</si>
  <si>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</si>
  <si>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</si>
  <si>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</si>
  <si>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</si>
  <si>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</si>
  <si>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</si>
  <si>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</si>
  <si>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</si>
  <si>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</si>
  <si>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</si>
  <si>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</si>
  <si>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</si>
  <si>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</si>
  <si>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</si>
  <si>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</si>
  <si>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</si>
  <si>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</si>
  <si>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</si>
  <si>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</si>
  <si>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</si>
  <si>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</si>
  <si>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</si>
  <si>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</si>
  <si>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</si>
  <si>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</si>
  <si>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</si>
  <si>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</si>
  <si>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</si>
  <si>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</si>
  <si>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</si>
  <si>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</si>
  <si>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</si>
  <si>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</si>
  <si>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</si>
  <si>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</si>
  <si>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</si>
  <si>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</si>
  <si>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</si>
  <si>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</si>
  <si>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</si>
  <si>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</si>
  <si>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</si>
  <si>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</si>
  <si>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</si>
  <si>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</si>
  <si>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</si>
  <si>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</si>
  <si>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</si>
  <si>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</si>
  <si>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</si>
  <si>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</si>
  <si>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</si>
  <si>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</si>
  <si>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</si>
  <si>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</si>
  <si>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</si>
  <si>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</si>
  <si>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</si>
  <si>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</si>
  <si>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</si>
  <si>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</si>
  <si>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</si>
  <si>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</si>
  <si>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</si>
  <si>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</si>
  <si>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</si>
  <si>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</si>
  <si>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</si>
  <si>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</si>
  <si>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</si>
  <si>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</si>
  <si>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</si>
  <si>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</si>
  <si>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</si>
  <si>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</si>
  <si>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</si>
  <si>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</si>
  <si>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</si>
  <si>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</si>
  <si>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</si>
  <si>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</si>
  <si>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</si>
  <si>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</si>
  <si>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</si>
  <si>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</si>
  <si>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</si>
  <si>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</si>
  <si>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</si>
  <si>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</si>
  <si>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</si>
  <si>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</si>
  <si>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</si>
  <si>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</si>
  <si>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</si>
  <si>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</si>
  <si>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</si>
  <si>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</si>
  <si>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</si>
  <si>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</si>
  <si>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</si>
  <si>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</si>
  <si>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</si>
  <si>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</si>
  <si>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</si>
  <si>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</si>
  <si>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</si>
  <si>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</si>
  <si>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</si>
  <si>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</si>
  <si>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</si>
  <si>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</si>
  <si>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</si>
  <si>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</si>
  <si>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</si>
  <si>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</si>
  <si>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</si>
  <si>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</si>
  <si>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</si>
  <si>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</si>
  <si>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</si>
  <si>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</si>
  <si>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</si>
  <si>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</si>
  <si>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</si>
  <si>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</si>
  <si>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</si>
  <si>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</si>
  <si>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</si>
  <si>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</si>
  <si>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</si>
  <si>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</si>
  <si>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</si>
  <si>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</si>
  <si>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</si>
  <si>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</si>
  <si>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</si>
  <si>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</si>
  <si>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</si>
  <si>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</si>
  <si>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</si>
  <si>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</si>
  <si>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</si>
  <si>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</si>
  <si>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</si>
  <si>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</si>
  <si>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</si>
  <si>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</si>
  <si>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</si>
  <si>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</si>
  <si>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</si>
  <si>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</si>
  <si>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</si>
  <si>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</si>
  <si>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</si>
  <si>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</si>
  <si>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</si>
  <si>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</si>
  <si>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</si>
  <si>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</si>
  <si>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</si>
  <si>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</si>
  <si>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</si>
  <si>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</si>
  <si>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</si>
  <si>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</si>
  <si>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</si>
  <si>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</si>
  <si>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</si>
  <si>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</si>
  <si>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</si>
  <si>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</si>
  <si>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</si>
  <si>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</si>
  <si>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</si>
  <si>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</si>
  <si>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</si>
  <si>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</si>
  <si>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</si>
  <si>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</si>
  <si>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</si>
  <si>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</si>
  <si>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</si>
  <si>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</si>
  <si>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</si>
  <si>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</si>
  <si>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</si>
  <si>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</si>
  <si>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</si>
  <si>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</si>
  <si>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</si>
  <si>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</si>
  <si>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</si>
  <si>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</si>
  <si>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</si>
  <si>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</si>
  <si>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</si>
  <si>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</si>
  <si>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</si>
  <si>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</si>
  <si>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</si>
  <si>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</si>
  <si>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</si>
  <si>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</si>
  <si>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</si>
  <si>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</si>
  <si>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</si>
  <si>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</si>
  <si>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</si>
  <si>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</si>
  <si>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</si>
  <si>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</si>
  <si>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</si>
  <si>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</si>
  <si>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</si>
  <si>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</si>
  <si>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</si>
  <si>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</si>
  <si>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</si>
  <si>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</si>
  <si>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</si>
  <si>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</si>
  <si>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</si>
  <si>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</si>
  <si>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</si>
  <si>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</si>
  <si>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</si>
  <si>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</si>
  <si>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</si>
  <si>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</si>
  <si>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</si>
  <si>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</si>
  <si>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</si>
  <si>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</si>
  <si>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</si>
  <si>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</si>
  <si>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</si>
  <si>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</si>
  <si>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</si>
  <si>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</si>
  <si>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</si>
  <si>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</si>
  <si>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</si>
  <si>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</si>
  <si>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</si>
  <si>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</si>
  <si>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</si>
  <si>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</si>
  <si>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</si>
  <si>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</si>
  <si>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</si>
  <si>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</si>
  <si>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</si>
  <si>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</si>
  <si>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</si>
  <si>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</si>
  <si>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</si>
  <si>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</si>
  <si>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</si>
  <si>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</si>
  <si>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</si>
  <si>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</si>
  <si>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</si>
  <si>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</si>
  <si>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</si>
  <si>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</si>
  <si>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</si>
  <si>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</si>
  <si>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</si>
  <si>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</si>
  <si>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</si>
  <si>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</si>
  <si>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</si>
  <si>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</si>
  <si>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</si>
  <si>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</si>
  <si>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</si>
  <si>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</si>
  <si>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</si>
  <si>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</si>
  <si>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</si>
  <si>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</si>
  <si>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</si>
  <si>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</si>
  <si>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</si>
  <si>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</si>
  <si>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</si>
  <si>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</si>
  <si>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</si>
  <si>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</si>
  <si>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</si>
  <si>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</si>
  <si>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</si>
  <si>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</si>
  <si>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</si>
  <si>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</si>
  <si>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</si>
  <si>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</si>
  <si>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</si>
  <si>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</si>
  <si>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</si>
  <si>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</si>
  <si>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</si>
  <si>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</si>
  <si>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</si>
  <si>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</si>
  <si>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</si>
  <si>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</si>
  <si>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</si>
  <si>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</si>
  <si>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</si>
  <si>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</si>
  <si>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</si>
  <si>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</si>
  <si>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</si>
  <si>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</si>
  <si>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</si>
  <si>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</si>
  <si>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</si>
  <si>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</si>
  <si>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</si>
  <si>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</si>
  <si>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</si>
  <si>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</si>
  <si>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</si>
  <si>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</si>
  <si>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</si>
  <si>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</si>
  <si>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</si>
  <si>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</si>
  <si>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</si>
  <si>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</si>
  <si>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</si>
  <si>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</si>
  <si>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</si>
  <si>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</si>
  <si>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</si>
  <si>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</si>
  <si>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</si>
  <si>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</si>
  <si>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</si>
  <si>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</si>
  <si>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</si>
  <si>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</si>
  <si>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</si>
  <si>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</si>
  <si>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</si>
  <si>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</si>
  <si>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</si>
  <si>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</si>
  <si>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</si>
  <si>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</si>
  <si>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</si>
  <si>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</si>
  <si>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</si>
  <si>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</si>
  <si>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</si>
  <si>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</si>
  <si>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</si>
  <si>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</si>
  <si>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</si>
  <si>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</si>
  <si>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</si>
  <si>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</si>
  <si>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</si>
  <si>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</si>
  <si>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</si>
  <si>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</si>
  <si>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</si>
  <si>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</si>
  <si>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</si>
  <si>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</si>
  <si>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</si>
  <si>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</si>
  <si>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</si>
  <si>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</si>
  <si>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</si>
  <si>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</si>
  <si>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</si>
  <si>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</si>
  <si>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</si>
  <si>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</si>
  <si>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</si>
  <si>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</si>
  <si>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</si>
  <si>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</si>
  <si>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</si>
  <si>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</si>
  <si>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</si>
  <si>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</si>
  <si>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</si>
  <si>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</si>
  <si>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</si>
  <si>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</si>
  <si>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</si>
  <si>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</si>
  <si>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</si>
  <si>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</si>
  <si>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</si>
  <si>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</si>
  <si>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</si>
  <si>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</si>
  <si>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</si>
  <si>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</si>
  <si>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</si>
  <si>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</si>
  <si>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</si>
  <si>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</si>
  <si>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</si>
  <si>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</si>
  <si>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</si>
  <si>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</si>
  <si>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</si>
  <si>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</si>
  <si>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</si>
  <si>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</si>
  <si>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</si>
  <si>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</si>
  <si>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</si>
  <si>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</si>
  <si>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</si>
  <si>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</si>
  <si>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</si>
  <si>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</si>
  <si>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</si>
  <si>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</si>
  <si>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</si>
  <si>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</si>
  <si>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</si>
  <si>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</si>
  <si>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</si>
  <si>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</si>
  <si>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</si>
  <si>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</si>
  <si>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</si>
  <si>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</si>
  <si>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</si>
  <si>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</si>
  <si>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</si>
  <si>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</si>
  <si>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</si>
  <si>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</si>
  <si>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</si>
  <si>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</si>
  <si>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</si>
  <si>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</si>
  <si>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</si>
  <si>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</si>
  <si>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</si>
  <si>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</si>
  <si>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</si>
  <si>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</si>
  <si>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</si>
  <si>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</si>
  <si>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</si>
  <si>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</si>
  <si>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</si>
  <si>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</si>
  <si>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</si>
  <si>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</si>
  <si>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</si>
  <si>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</si>
  <si>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</si>
  <si>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</si>
  <si>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</si>
  <si>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</si>
  <si>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</si>
  <si>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</si>
  <si>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</si>
  <si>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</si>
  <si>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</si>
  <si>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</si>
  <si>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</si>
  <si>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</si>
  <si>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</si>
  <si>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</si>
  <si>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</si>
  <si>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</si>
  <si>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</si>
  <si>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</si>
  <si>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</si>
  <si>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</si>
  <si>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</si>
  <si>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</si>
  <si>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</si>
  <si>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</si>
  <si>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</si>
  <si>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</si>
  <si>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</si>
  <si>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</si>
  <si>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</si>
  <si>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</si>
  <si>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</si>
  <si>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</si>
  <si>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</si>
  <si>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</si>
  <si>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</si>
  <si>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</si>
  <si>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</si>
  <si>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</si>
  <si>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</si>
  <si>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</si>
  <si>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</si>
  <si>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</si>
  <si>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</si>
  <si>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</si>
  <si>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</si>
  <si>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</si>
  <si>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</si>
  <si>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</si>
  <si>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</si>
  <si>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</si>
  <si>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</si>
  <si>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</si>
  <si>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</si>
  <si>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</si>
  <si>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</si>
  <si>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</si>
  <si>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</si>
  <si>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</si>
  <si>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</si>
  <si>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</si>
  <si>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</si>
  <si>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</si>
  <si>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</si>
  <si>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</si>
  <si>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</si>
  <si>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</si>
  <si>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</si>
  <si>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</si>
  <si>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</si>
  <si>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</si>
  <si>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</si>
  <si>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</si>
  <si>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</si>
  <si>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</si>
  <si>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</si>
  <si>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</si>
  <si>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</si>
  <si>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</si>
  <si>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</si>
  <si>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</si>
  <si>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</si>
  <si>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</si>
  <si>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</si>
  <si>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</si>
  <si>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</si>
  <si>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</si>
  <si>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</si>
  <si>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</si>
  <si>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</si>
  <si>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</si>
  <si>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</si>
  <si>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</si>
  <si>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</si>
  <si>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</si>
  <si>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</si>
  <si>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</si>
  <si>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</si>
  <si>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</si>
  <si>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</si>
  <si>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</si>
  <si>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</si>
  <si>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</si>
  <si>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</si>
  <si>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</si>
  <si>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</si>
  <si>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</si>
  <si>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</si>
  <si>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</si>
  <si>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</si>
  <si>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</si>
  <si>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</si>
  <si>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</si>
  <si>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</si>
  <si>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</si>
  <si>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</si>
  <si>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</si>
  <si>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</si>
  <si>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</si>
  <si>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</si>
  <si>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</si>
  <si>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</si>
  <si>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</si>
  <si>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</si>
  <si>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</si>
  <si>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</si>
  <si>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</si>
  <si>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</si>
  <si>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</si>
  <si>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</si>
  <si>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</si>
  <si>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</si>
  <si>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</si>
  <si>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</si>
  <si>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</si>
  <si>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</si>
  <si>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</si>
  <si>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</si>
  <si>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</si>
  <si>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</si>
  <si>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</si>
  <si>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</si>
  <si>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</si>
  <si>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</si>
  <si>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</si>
  <si>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</si>
  <si>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</si>
  <si>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</si>
  <si>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</si>
  <si>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</si>
  <si>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</si>
  <si>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</si>
  <si>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</si>
  <si>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</si>
  <si>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</si>
  <si>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</si>
  <si>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</si>
  <si>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</si>
  <si>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</si>
  <si>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</si>
  <si>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</si>
  <si>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</si>
  <si>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</si>
  <si>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</si>
  <si>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</si>
  <si>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</si>
  <si>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</si>
  <si>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</si>
  <si>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</si>
  <si>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</si>
  <si>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</si>
  <si>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</si>
  <si>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</si>
  <si>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</si>
  <si>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</si>
  <si>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</si>
  <si>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</si>
  <si>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</si>
  <si>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</si>
  <si>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</si>
  <si>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</si>
  <si>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</si>
  <si>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</si>
  <si>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</si>
  <si>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</si>
  <si>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</si>
  <si>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</si>
  <si>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</si>
  <si>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</si>
  <si>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</si>
  <si>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</si>
  <si>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</si>
  <si>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</si>
  <si>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</si>
  <si>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</si>
  <si>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</si>
  <si>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</si>
  <si>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</si>
  <si>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</si>
  <si>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</si>
  <si>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</si>
  <si>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</si>
  <si>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</si>
  <si>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</si>
  <si>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</si>
  <si>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</si>
  <si>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</si>
  <si>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</si>
  <si>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</si>
  <si>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</si>
  <si>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</si>
  <si>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</si>
  <si>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</si>
  <si>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</si>
  <si>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</si>
  <si>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</si>
  <si>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</si>
  <si>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</si>
  <si>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</si>
  <si>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</si>
  <si>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</si>
  <si>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</si>
  <si>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</si>
  <si>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</si>
  <si>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</si>
  <si>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</si>
  <si>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</si>
  <si>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</si>
  <si>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</si>
  <si>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</si>
  <si>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</si>
  <si>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</si>
  <si>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</si>
  <si>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</si>
  <si>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</si>
  <si>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</si>
  <si>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</si>
  <si>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</si>
  <si>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</si>
  <si>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</si>
  <si>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</si>
  <si>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</si>
  <si>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</si>
  <si>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</si>
  <si>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</si>
  <si>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</si>
  <si>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</si>
  <si>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</si>
  <si>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</si>
  <si>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</si>
  <si>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</si>
  <si>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</si>
  <si>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</si>
  <si>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</si>
  <si>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</si>
  <si>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</si>
  <si>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</si>
  <si>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</si>
  <si>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</si>
  <si>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</si>
  <si>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</si>
  <si>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</si>
  <si>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</si>
  <si>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</si>
  <si>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</si>
  <si>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</si>
  <si>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</si>
  <si>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</si>
  <si>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</si>
  <si>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</si>
  <si>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</si>
  <si>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</si>
  <si>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</si>
  <si>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</si>
  <si>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</si>
  <si>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</si>
  <si>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</si>
  <si>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</si>
  <si>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</si>
  <si>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</si>
  <si>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</si>
  <si>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</si>
  <si>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</si>
  <si>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</si>
  <si>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</si>
  <si>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</si>
  <si>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</si>
  <si>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</si>
  <si>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</si>
  <si>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</si>
  <si>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</si>
  <si>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</si>
  <si>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</si>
  <si>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</si>
  <si>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</si>
  <si>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</si>
  <si>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</si>
  <si>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</si>
  <si>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</si>
  <si>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</si>
  <si>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</si>
  <si>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</si>
  <si>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</si>
  <si>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</si>
  <si>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</si>
  <si>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</si>
  <si>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</si>
  <si>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</si>
  <si>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</si>
  <si>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</si>
  <si>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</si>
  <si>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</si>
  <si>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</si>
  <si>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</si>
  <si>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</si>
  <si>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</si>
  <si>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</si>
  <si>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</si>
  <si>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</si>
  <si>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</si>
  <si>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</si>
  <si>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</si>
  <si>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</si>
  <si>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</si>
  <si>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</si>
  <si>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</si>
  <si>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</si>
  <si>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</si>
  <si>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</si>
  <si>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</si>
  <si>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</si>
  <si>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</si>
  <si>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</si>
  <si>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</si>
  <si>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</si>
  <si>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</si>
  <si>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</si>
  <si>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</si>
  <si>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</si>
  <si>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</si>
  <si>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</si>
  <si>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</si>
  <si>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</si>
  <si>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</si>
  <si>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</si>
  <si>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</si>
  <si>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</si>
  <si>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</si>
  <si>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</si>
  <si>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</si>
  <si>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</si>
  <si>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</si>
  <si>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</si>
  <si>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</si>
  <si>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</si>
  <si>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</si>
  <si>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</si>
  <si>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</si>
  <si>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</si>
  <si>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</si>
  <si>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</si>
  <si>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</si>
  <si>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</si>
  <si>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</si>
  <si>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</si>
  <si>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</si>
  <si>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</si>
  <si>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</si>
  <si>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</si>
  <si>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</si>
  <si>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</si>
  <si>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</si>
  <si>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</si>
  <si>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</si>
  <si>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</si>
  <si>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</si>
  <si>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</si>
  <si>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</si>
  <si>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</si>
  <si>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</si>
  <si>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</si>
  <si>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</si>
  <si>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</si>
  <si>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</si>
  <si>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</si>
  <si>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</si>
  <si>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</si>
  <si>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</si>
  <si>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</si>
  <si>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</si>
  <si>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</si>
  <si>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</si>
  <si>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</si>
  <si>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</si>
  <si>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</si>
  <si>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</si>
  <si>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</si>
  <si>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</si>
  <si>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</si>
  <si>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</si>
  <si>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</si>
  <si>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</si>
  <si>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</si>
  <si>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</si>
  <si>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</si>
  <si>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</si>
  <si>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</si>
  <si>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</si>
  <si>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</si>
  <si>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</si>
  <si>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</si>
  <si>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</si>
  <si>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</si>
  <si>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</si>
  <si>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</si>
  <si>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</si>
  <si>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</si>
  <si>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</si>
  <si>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</si>
  <si>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</si>
  <si>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</si>
  <si>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</si>
  <si>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</si>
  <si>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</si>
  <si>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</si>
  <si>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</si>
  <si>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</si>
  <si>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</si>
  <si>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</si>
  <si>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</si>
  <si>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</si>
  <si>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</si>
  <si>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</si>
  <si>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</si>
  <si>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</si>
  <si>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</si>
  <si>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</si>
  <si>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</si>
  <si>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</si>
  <si>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</si>
  <si>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</si>
  <si>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</si>
  <si>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</si>
  <si>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</si>
  <si>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</si>
  <si>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</si>
  <si>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</si>
  <si>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</si>
  <si>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</si>
  <si>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</si>
  <si>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</si>
  <si>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</si>
  <si>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</si>
  <si>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</si>
  <si>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</si>
  <si>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</si>
  <si>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</si>
  <si>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</si>
  <si>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</si>
  <si>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</si>
  <si>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</si>
  <si>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</si>
  <si>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</si>
  <si>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</si>
  <si>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</si>
  <si>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</si>
  <si>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</si>
  <si>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</si>
  <si>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</si>
  <si>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</si>
  <si>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</si>
  <si>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</si>
  <si>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</si>
  <si>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</si>
  <si>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</si>
  <si>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</si>
  <si>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</si>
  <si>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</si>
  <si>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</si>
  <si>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</si>
  <si>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</si>
  <si>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</si>
  <si>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</si>
  <si>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</si>
  <si>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</si>
  <si>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</si>
  <si>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</si>
  <si>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</si>
  <si>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</si>
  <si>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</si>
  <si>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</si>
  <si>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</si>
  <si>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</si>
  <si>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</si>
  <si>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</si>
  <si>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</si>
  <si>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</si>
  <si>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</si>
  <si>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</si>
  <si>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</si>
  <si>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</si>
  <si>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</si>
  <si>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</si>
  <si>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</si>
  <si>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</si>
  <si>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</si>
  <si>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</si>
  <si>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</si>
  <si>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</si>
  <si>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</si>
  <si>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</si>
  <si>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</si>
  <si>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</si>
  <si>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</si>
  <si>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</si>
  <si>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</si>
  <si>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</si>
  <si>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</si>
  <si>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</si>
  <si>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</si>
  <si>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</si>
  <si>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</si>
  <si>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</si>
  <si>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</si>
  <si>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</si>
  <si>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</si>
  <si>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</si>
  <si>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</si>
  <si>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</si>
  <si>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</si>
  <si>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</si>
  <si>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</si>
  <si>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</si>
  <si>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</si>
  <si>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</si>
  <si>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</si>
  <si>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</si>
  <si>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</si>
  <si>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</si>
  <si>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</si>
  <si>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</si>
  <si>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</si>
  <si>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</si>
  <si>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</si>
  <si>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</si>
  <si>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</si>
  <si>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</si>
  <si>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</si>
  <si>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</si>
  <si>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</si>
  <si>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</si>
  <si>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</si>
  <si>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</si>
  <si>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</si>
  <si>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</si>
  <si>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</si>
  <si>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</si>
  <si>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</si>
  <si>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</si>
  <si>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</si>
  <si>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</si>
  <si>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</si>
  <si>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</si>
  <si>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</si>
  <si>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</si>
  <si>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</si>
  <si>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</si>
  <si>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</si>
  <si>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</si>
  <si>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</si>
  <si>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</si>
  <si>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</si>
  <si>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</si>
  <si>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</si>
  <si>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</si>
  <si>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</si>
  <si>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</si>
  <si>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</si>
  <si>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</si>
  <si>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</si>
  <si>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</si>
  <si>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</si>
  <si>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</si>
  <si>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</si>
  <si>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</si>
  <si>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</si>
  <si>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</si>
  <si>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</si>
  <si>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</si>
  <si>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</si>
  <si>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</si>
  <si>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</si>
  <si>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</si>
  <si>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</si>
  <si>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</si>
  <si>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</si>
  <si>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</si>
  <si>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</si>
  <si>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</si>
  <si>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</si>
  <si>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</si>
  <si>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</si>
  <si>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</si>
  <si>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</si>
  <si>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</si>
  <si>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</si>
  <si>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</si>
  <si>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</si>
  <si>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</si>
  <si>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</si>
  <si>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</si>
  <si>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</si>
  <si>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</si>
  <si>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</si>
  <si>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</si>
  <si>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</si>
  <si>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</si>
  <si>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</si>
  <si>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</si>
  <si>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</si>
  <si>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</si>
  <si>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</si>
  <si>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</si>
  <si>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</si>
  <si>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</si>
  <si>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</si>
  <si>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</si>
  <si>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</si>
  <si>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</si>
  <si>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</si>
  <si>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</si>
  <si>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</si>
  <si>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</si>
  <si>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</si>
  <si>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</si>
  <si>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</si>
  <si>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</si>
  <si>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</si>
  <si>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</si>
  <si>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</si>
  <si>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</si>
  <si>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</si>
  <si>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</si>
  <si>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</si>
  <si>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</si>
  <si>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</si>
  <si>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</si>
  <si>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</si>
  <si>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</si>
  <si>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</si>
  <si>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</si>
  <si>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</si>
  <si>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</si>
  <si>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</si>
  <si>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</si>
  <si>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</si>
  <si>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</si>
  <si>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</si>
  <si>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</si>
  <si>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</si>
  <si>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</si>
  <si>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</si>
  <si>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</si>
  <si>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</si>
  <si>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</si>
  <si>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</si>
  <si>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</si>
  <si>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</si>
  <si>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</si>
  <si>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</si>
  <si>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</si>
  <si>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</si>
  <si>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</si>
  <si>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</si>
  <si>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</si>
  <si>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</si>
  <si>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</si>
  <si>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</si>
  <si>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</si>
  <si>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</si>
  <si>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</si>
  <si>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</si>
  <si>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</si>
  <si>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</si>
  <si>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</si>
  <si>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</si>
  <si>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</si>
  <si>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</si>
  <si>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</si>
  <si>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</si>
  <si>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</si>
  <si>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</si>
  <si>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</si>
  <si>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</si>
  <si>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</si>
  <si>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</si>
  <si>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</si>
  <si>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</si>
  <si>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</si>
  <si>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</si>
  <si>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</si>
  <si>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</si>
  <si>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</si>
  <si>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</si>
  <si>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</si>
  <si>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</si>
  <si>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</si>
  <si>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</si>
  <si>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</si>
  <si>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</si>
  <si>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</si>
  <si>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</si>
  <si>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</si>
  <si>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</si>
  <si>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</si>
  <si>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</si>
  <si>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</si>
  <si>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</si>
  <si>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</si>
  <si>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</si>
  <si>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</si>
  <si>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</si>
  <si>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</si>
  <si>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</si>
  <si>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</si>
  <si>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</si>
  <si>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</si>
  <si>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</si>
  <si>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</si>
  <si>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</si>
  <si>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</si>
  <si>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</si>
  <si>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</si>
  <si>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</si>
  <si>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</si>
  <si>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</si>
  <si>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</si>
  <si>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</si>
  <si>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</si>
  <si>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</si>
  <si>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</si>
  <si>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</si>
  <si>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</si>
  <si>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</si>
  <si>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</si>
  <si>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</si>
  <si>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</si>
  <si>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</si>
  <si>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</si>
  <si>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</si>
  <si>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</si>
  <si>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</si>
  <si>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</si>
  <si>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</si>
  <si>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</si>
  <si>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</si>
  <si>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</si>
  <si>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</si>
  <si>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</si>
  <si>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</si>
  <si>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</si>
  <si>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</si>
  <si>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</si>
  <si>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</si>
  <si>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</si>
  <si>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</si>
  <si>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</si>
  <si>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</si>
  <si>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</si>
  <si>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</si>
  <si>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</si>
  <si>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</si>
  <si>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</si>
  <si>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</si>
  <si>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</si>
  <si>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</si>
  <si>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</si>
  <si>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</si>
  <si>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</si>
  <si>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</si>
  <si>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</si>
  <si>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</si>
  <si>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</si>
  <si>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</si>
  <si>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</si>
  <si>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</si>
  <si>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</si>
  <si>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</si>
  <si>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</si>
  <si>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</si>
  <si>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</si>
  <si>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</si>
  <si>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</si>
  <si>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</si>
  <si>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</si>
  <si>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</si>
  <si>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</si>
  <si>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</si>
  <si>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</si>
  <si>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</si>
  <si>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</si>
  <si>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</si>
  <si>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</si>
  <si>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</si>
  <si>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</si>
  <si>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</si>
  <si>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</si>
  <si>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</si>
  <si>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</si>
  <si>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</si>
  <si>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</si>
  <si>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</si>
  <si>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</si>
  <si>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</si>
  <si>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</si>
  <si>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</si>
  <si>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</si>
  <si>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</si>
  <si>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</si>
  <si>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</si>
  <si>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</si>
  <si>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</si>
  <si>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</si>
  <si>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</si>
  <si>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</si>
  <si>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</si>
  <si>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</si>
  <si>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</si>
  <si>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</si>
  <si>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</si>
  <si>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</si>
  <si>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</si>
  <si>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</si>
  <si>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</si>
  <si>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</si>
  <si>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</si>
  <si>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</si>
  <si>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</si>
  <si>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</si>
  <si>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</si>
  <si>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</si>
  <si>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</si>
  <si>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</si>
  <si>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</si>
  <si>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</si>
  <si>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</si>
  <si>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</si>
  <si>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</si>
  <si>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</si>
  <si>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</si>
  <si>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</si>
  <si>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</si>
  <si>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</si>
  <si>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</si>
  <si>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</si>
  <si>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</si>
  <si>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</si>
  <si>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</si>
  <si>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</si>
  <si>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</si>
  <si>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</si>
  <si>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</si>
  <si>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</si>
  <si>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</si>
  <si>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</si>
  <si>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</si>
  <si>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</si>
  <si>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</si>
  <si>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</si>
  <si>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</si>
  <si>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</si>
  <si>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</si>
  <si>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</si>
  <si>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</si>
  <si>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</si>
  <si>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</si>
  <si>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</si>
  <si>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</si>
  <si>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</si>
  <si>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</si>
  <si>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</si>
  <si>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</si>
  <si>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</si>
  <si>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</si>
  <si>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</si>
  <si>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</si>
  <si>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</si>
  <si>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</si>
  <si>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</si>
  <si>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</si>
  <si>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</si>
  <si>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</si>
  <si>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</si>
  <si>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</si>
  <si>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</si>
  <si>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</si>
  <si>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</si>
  <si>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</si>
  <si>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</si>
  <si>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</si>
  <si>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</si>
  <si>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</si>
  <si>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</si>
  <si>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</si>
  <si>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</si>
  <si>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</si>
  <si>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</si>
  <si>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</si>
  <si>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</si>
  <si>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</si>
  <si>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</si>
  <si>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</si>
  <si>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</si>
  <si>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</si>
  <si>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</si>
  <si>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</si>
  <si>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</si>
  <si>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</si>
  <si>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</si>
  <si>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</si>
  <si>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</si>
  <si>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</si>
  <si>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</si>
  <si>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</si>
  <si>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</si>
  <si>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</si>
  <si>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</si>
  <si>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</si>
  <si>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</si>
  <si>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</si>
  <si>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</si>
  <si>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</si>
  <si>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</si>
  <si>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</si>
  <si>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</si>
  <si>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</si>
  <si>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</si>
  <si>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</si>
  <si>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</si>
  <si>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</si>
  <si>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</si>
  <si>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</si>
  <si>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</si>
  <si>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</si>
  <si>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</si>
  <si>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</si>
  <si>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</si>
  <si>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</si>
  <si>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</si>
  <si>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</si>
  <si>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</si>
  <si>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</si>
  <si>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</si>
  <si>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</si>
  <si>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</si>
  <si>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</si>
  <si>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</si>
  <si>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</si>
  <si>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</si>
  <si>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</si>
  <si>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</si>
  <si>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</si>
  <si>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</si>
  <si>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</si>
  <si>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</si>
  <si>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</si>
  <si>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</si>
  <si>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</si>
  <si>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</si>
  <si>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</si>
  <si>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</si>
  <si>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</si>
  <si>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</si>
  <si>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</si>
  <si>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</si>
  <si>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</si>
  <si>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</si>
  <si>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</si>
  <si>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</si>
  <si>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</si>
  <si>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</si>
  <si>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</si>
  <si>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</si>
  <si>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</si>
  <si>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</si>
  <si>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</si>
  <si>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</si>
  <si>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</si>
  <si>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</si>
  <si>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</si>
  <si>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</si>
  <si>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</si>
  <si>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</si>
  <si>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</si>
  <si>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</si>
  <si>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</si>
  <si>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</si>
  <si>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</si>
  <si>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</si>
  <si>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</si>
  <si>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</si>
  <si>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</si>
  <si>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</si>
  <si>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</si>
  <si>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</si>
  <si>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</si>
  <si>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</si>
  <si>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</si>
  <si>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</si>
  <si>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</si>
  <si>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</si>
  <si>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</si>
  <si>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</si>
  <si>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</si>
  <si>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</si>
  <si>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</si>
  <si>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</si>
  <si>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</si>
  <si>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</si>
  <si>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</si>
  <si>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</si>
  <si>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</si>
  <si>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</si>
  <si>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</si>
  <si>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</si>
  <si>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</si>
  <si>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</si>
  <si>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</si>
  <si>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</si>
  <si>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</si>
  <si>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</si>
  <si>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</si>
  <si>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</si>
  <si>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</si>
  <si>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</si>
  <si>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</si>
  <si>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</si>
  <si>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</si>
  <si>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</si>
  <si>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</si>
  <si>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</si>
  <si>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</si>
  <si>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</si>
  <si>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</si>
  <si>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</si>
  <si>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</si>
  <si>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</si>
  <si>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</si>
  <si>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</si>
  <si>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</si>
  <si>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</si>
  <si>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</si>
  <si>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</si>
  <si>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</si>
  <si>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</si>
  <si>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</si>
  <si>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</si>
  <si>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</si>
  <si>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</si>
  <si>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</si>
  <si>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</si>
  <si>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</si>
  <si>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</si>
  <si>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</si>
  <si>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</si>
  <si>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</si>
  <si>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</si>
  <si>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</si>
  <si>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</si>
  <si>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</si>
  <si>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</si>
  <si>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</si>
  <si>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</si>
  <si>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</si>
  <si>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</si>
  <si>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</si>
  <si>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</si>
  <si>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</si>
  <si>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</si>
  <si>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</si>
  <si>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</si>
  <si>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</si>
  <si>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</si>
  <si>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</si>
  <si>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</si>
  <si>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</si>
  <si>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</si>
  <si>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</si>
  <si>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</si>
  <si>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</si>
  <si>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</si>
  <si>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</si>
  <si>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</si>
  <si>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</si>
  <si>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</si>
  <si>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</si>
  <si>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</si>
  <si>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</si>
  <si>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</si>
  <si>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</si>
  <si>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</si>
  <si>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</si>
  <si>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</si>
  <si>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</si>
  <si>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</si>
  <si>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</si>
  <si>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</si>
  <si>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</si>
  <si>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</si>
  <si>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</si>
  <si>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</si>
  <si>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</si>
  <si>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</si>
  <si>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</si>
  <si>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</si>
  <si>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</si>
  <si>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</si>
  <si>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</si>
  <si>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</si>
  <si>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</si>
  <si>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</si>
  <si>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</si>
  <si>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</si>
  <si>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</si>
  <si>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</si>
  <si>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</si>
  <si>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</si>
  <si>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</si>
  <si>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</si>
  <si>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</si>
  <si>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</si>
  <si>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</si>
  <si>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</si>
  <si>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</si>
  <si>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</si>
  <si>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</si>
  <si>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</si>
  <si>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</si>
  <si>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</si>
  <si>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</si>
  <si>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</si>
  <si>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</si>
  <si>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</si>
  <si>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</si>
  <si>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</si>
  <si>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</si>
  <si>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</si>
  <si>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</si>
  <si>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</si>
  <si>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</si>
  <si>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</si>
  <si>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</si>
  <si>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</si>
  <si>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</si>
  <si>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</si>
  <si>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</si>
  <si>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</si>
  <si>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</si>
  <si>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</si>
  <si>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</si>
  <si>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</si>
  <si>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</si>
  <si>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</si>
  <si>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</si>
  <si>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</si>
  <si>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</si>
  <si>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</si>
  <si>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</si>
  <si>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</si>
  <si>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</si>
  <si>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</si>
  <si>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</si>
  <si>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</si>
  <si>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</si>
  <si>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</si>
  <si>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</si>
  <si>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</si>
  <si>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</si>
  <si>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</si>
  <si>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</si>
  <si>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</si>
  <si>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</si>
  <si>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</si>
  <si>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</si>
  <si>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</si>
  <si>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</si>
  <si>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</si>
  <si>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</si>
  <si>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</si>
  <si>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</si>
  <si>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</si>
  <si>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</si>
  <si>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</si>
  <si>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</si>
  <si>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</si>
  <si>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</si>
  <si>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</si>
  <si>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</si>
  <si>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</si>
  <si>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</si>
  <si>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</si>
  <si>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</si>
  <si>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</si>
  <si>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</si>
  <si>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</si>
  <si>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</si>
  <si>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</si>
  <si>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</si>
  <si>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</si>
  <si>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</si>
  <si>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</si>
  <si>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</si>
  <si>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</si>
  <si>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</si>
  <si>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</si>
  <si>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</si>
  <si>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</si>
  <si>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</si>
  <si>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</si>
  <si>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</si>
  <si>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</si>
  <si>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</si>
  <si>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</si>
  <si>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</si>
  <si>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</si>
  <si>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</si>
  <si>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</si>
  <si>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</si>
  <si>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</si>
  <si>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</si>
  <si>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</si>
  <si>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</si>
  <si>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</si>
  <si>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</si>
  <si>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</si>
  <si>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</si>
  <si>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</si>
  <si>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</si>
  <si>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</si>
  <si>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</si>
  <si>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</si>
  <si>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</si>
  <si>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</si>
  <si>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</si>
  <si>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</si>
  <si>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</si>
  <si>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</si>
  <si>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</si>
  <si>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</si>
  <si>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</si>
  <si>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</si>
  <si>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</si>
  <si>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</si>
  <si>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</si>
  <si>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</si>
  <si>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</si>
  <si>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</si>
  <si>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</si>
  <si>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</si>
  <si>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</si>
  <si>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</si>
  <si>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</si>
  <si>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</si>
  <si>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</si>
  <si>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</si>
  <si>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</si>
  <si>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</si>
  <si>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</si>
  <si>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</si>
  <si>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</si>
  <si>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</si>
  <si>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</si>
  <si>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</si>
  <si>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</si>
  <si>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</si>
  <si>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</si>
  <si>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</si>
  <si>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</si>
  <si>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</si>
  <si>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</si>
  <si>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</si>
  <si>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</si>
  <si>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</si>
  <si>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</si>
  <si>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</si>
  <si>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</si>
  <si>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</si>
  <si>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</si>
  <si>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</si>
  <si>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</si>
  <si>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</si>
  <si>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</si>
  <si>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</si>
  <si>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</si>
  <si>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</si>
  <si>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</si>
  <si>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</si>
  <si>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</si>
  <si>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</si>
  <si>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</si>
  <si>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</si>
  <si>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</si>
  <si>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</si>
  <si>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</si>
  <si>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</si>
  <si>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</si>
  <si>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</si>
  <si>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</si>
  <si>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</si>
  <si>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</si>
  <si>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</si>
  <si>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</si>
  <si>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</si>
  <si>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</si>
  <si>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</si>
  <si>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</si>
  <si>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</si>
  <si>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</si>
  <si>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</si>
  <si>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</si>
  <si>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</si>
  <si>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</si>
  <si>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</si>
  <si>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</si>
  <si>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</si>
  <si>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</si>
  <si>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</si>
  <si>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</si>
  <si>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</si>
  <si>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</si>
  <si>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</si>
  <si>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</si>
  <si>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</si>
  <si>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</si>
  <si>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</si>
  <si>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</si>
  <si>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</si>
  <si>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</si>
  <si>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</si>
  <si>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</si>
  <si>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</si>
  <si>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</si>
  <si>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</si>
  <si>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</si>
  <si>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</si>
  <si>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</si>
  <si>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</si>
  <si>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</si>
  <si>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</si>
  <si>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</si>
  <si>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</si>
  <si>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</si>
  <si>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</si>
  <si>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</si>
  <si>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</si>
  <si>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</si>
  <si>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</si>
  <si>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</si>
  <si>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</si>
  <si>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</si>
  <si>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</si>
  <si>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</si>
  <si>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</si>
  <si>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</si>
  <si>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</si>
  <si>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</si>
  <si>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</si>
  <si>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</si>
  <si>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</si>
  <si>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</si>
  <si>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</si>
  <si>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</si>
  <si>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</si>
  <si>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</si>
  <si>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</si>
  <si>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</si>
  <si>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</si>
  <si>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</si>
  <si>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</si>
  <si>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</si>
  <si>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</si>
  <si>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</si>
  <si>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</si>
  <si>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</si>
  <si>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</si>
  <si>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</si>
  <si>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</si>
  <si>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</si>
  <si>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</si>
  <si>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</si>
  <si>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</si>
  <si>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</si>
  <si>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</si>
  <si>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</si>
  <si>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</si>
  <si>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</si>
  <si>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</si>
  <si>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</si>
  <si>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</si>
  <si>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</si>
  <si>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</si>
  <si>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</si>
  <si>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</si>
  <si>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</si>
  <si>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</si>
  <si>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</si>
  <si>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</si>
  <si>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</si>
  <si>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</si>
  <si>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</si>
  <si>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</si>
  <si>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</si>
  <si>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</si>
  <si>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</si>
  <si>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</si>
  <si>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</si>
  <si>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</si>
  <si>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</si>
  <si>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</si>
  <si>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</si>
  <si>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</si>
  <si>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</si>
  <si>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</si>
  <si>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</si>
  <si>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</si>
  <si>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</si>
  <si>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</si>
  <si>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</si>
  <si>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</si>
  <si>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</si>
  <si>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</si>
  <si>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</si>
  <si>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</si>
  <si>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</si>
  <si>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</si>
  <si>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</si>
  <si>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</si>
  <si>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</si>
  <si>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</si>
  <si>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</si>
  <si>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</si>
  <si>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</si>
  <si>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</si>
  <si>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</si>
  <si>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</si>
  <si>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</si>
  <si>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</si>
  <si>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</si>
  <si>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</si>
  <si>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</si>
  <si>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</si>
  <si>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</si>
  <si>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</si>
  <si>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</si>
  <si>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</si>
  <si>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</si>
  <si>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</si>
  <si>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</si>
  <si>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</si>
  <si>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</si>
  <si>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</si>
  <si>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</si>
  <si>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</si>
  <si>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</si>
  <si>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</si>
  <si>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</si>
  <si>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</si>
  <si>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</si>
  <si>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</si>
  <si>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</si>
  <si>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</si>
  <si>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</si>
  <si>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</si>
  <si>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</si>
  <si>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</si>
  <si>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</si>
  <si>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</si>
  <si>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</si>
  <si>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</si>
  <si>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</si>
  <si>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</si>
  <si>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</si>
  <si>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</si>
  <si>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</si>
  <si>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</si>
  <si>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</si>
  <si>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</si>
  <si>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</si>
  <si>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</si>
  <si>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</si>
  <si>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</si>
  <si>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</si>
  <si>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</si>
  <si>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</si>
  <si>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</si>
  <si>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</si>
  <si>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</si>
  <si>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</si>
  <si>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</si>
  <si>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</si>
  <si>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</si>
  <si>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</si>
  <si>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</si>
  <si>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</si>
  <si>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</si>
  <si>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</si>
  <si>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</si>
  <si>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</si>
  <si>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</si>
  <si>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</si>
  <si>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</si>
  <si>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</si>
  <si>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</si>
  <si>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</si>
  <si>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</si>
  <si>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</si>
  <si>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</si>
  <si>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</si>
  <si>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</si>
  <si>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</si>
  <si>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</si>
  <si>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</si>
  <si>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</si>
  <si>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</si>
  <si>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</si>
  <si>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</si>
  <si>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</si>
  <si>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</si>
  <si>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</si>
  <si>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</si>
  <si>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</si>
  <si>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</si>
  <si>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</si>
  <si>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</si>
  <si>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</si>
  <si>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</si>
  <si>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</si>
  <si>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</si>
  <si>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</si>
  <si>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</si>
  <si>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</si>
  <si>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</si>
  <si>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</si>
  <si>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</si>
  <si>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</si>
  <si>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</si>
  <si>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</si>
  <si>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</si>
  <si>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</si>
  <si>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</si>
  <si>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</si>
  <si>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</si>
  <si>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</si>
  <si>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</si>
  <si>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</si>
  <si>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</si>
  <si>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</si>
  <si>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</si>
  <si>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</si>
  <si>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</si>
  <si>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</si>
  <si>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</si>
  <si>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</si>
  <si>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</si>
  <si>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</si>
  <si>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</si>
  <si>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</si>
  <si>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</si>
  <si>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</si>
  <si>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</si>
  <si>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</si>
  <si>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</si>
  <si>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</si>
  <si>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</si>
  <si>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</si>
  <si>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</si>
  <si>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</si>
  <si>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</si>
  <si>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</si>
  <si>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</si>
  <si>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</si>
  <si>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</si>
  <si>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</si>
  <si>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</si>
  <si>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</si>
  <si>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</si>
  <si>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</si>
  <si>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</si>
  <si>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</si>
  <si>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</si>
  <si>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</si>
  <si>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</si>
  <si>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</si>
  <si>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</si>
  <si>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</si>
  <si>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</si>
  <si>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</si>
  <si>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</si>
  <si>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</si>
  <si>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</si>
  <si>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</si>
  <si>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</si>
  <si>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</si>
  <si>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</si>
  <si>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</si>
  <si>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</si>
  <si>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</si>
  <si>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</si>
  <si>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</si>
  <si>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</si>
  <si>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</si>
  <si>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</si>
  <si>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</si>
  <si>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</si>
  <si>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</si>
  <si>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</si>
  <si>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</si>
  <si>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</si>
  <si>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</si>
  <si>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</si>
  <si>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</si>
  <si>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</si>
  <si>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</si>
  <si>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</si>
  <si>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</si>
  <si>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</si>
  <si>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</si>
  <si>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</si>
  <si>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</si>
  <si>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</si>
  <si>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</si>
  <si>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</si>
  <si>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</si>
  <si>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</si>
  <si>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</si>
  <si>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</si>
  <si>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</si>
  <si>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</si>
  <si>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</si>
  <si>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</si>
  <si>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</si>
  <si>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</si>
  <si>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</si>
  <si>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</si>
  <si>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</si>
  <si>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</si>
  <si>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</si>
  <si>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</si>
  <si>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</si>
  <si>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</si>
  <si>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</si>
  <si>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</si>
  <si>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</si>
  <si>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</si>
  <si>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</si>
  <si>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</si>
  <si>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</si>
  <si>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</si>
  <si>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</si>
  <si>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</si>
  <si>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</si>
  <si>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</si>
  <si>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</si>
  <si>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</si>
  <si>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</si>
  <si>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</si>
  <si>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</si>
  <si>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</si>
  <si>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</si>
  <si>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</si>
  <si>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</si>
  <si>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</si>
  <si>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</si>
  <si>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</si>
  <si>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</si>
  <si>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</si>
  <si>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</si>
  <si>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</si>
  <si>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</si>
  <si>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</si>
  <si>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</si>
  <si>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</si>
  <si>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</si>
  <si>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</si>
  <si>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</si>
  <si>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</si>
  <si>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</si>
  <si>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</si>
  <si>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</si>
  <si>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</si>
  <si>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</si>
  <si>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</si>
  <si>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</si>
  <si>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</si>
  <si>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</si>
  <si>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</si>
  <si>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</si>
  <si>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</si>
  <si>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</si>
  <si>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</si>
  <si>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</si>
  <si>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</si>
  <si>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</si>
  <si>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</si>
  <si>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</si>
  <si>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</si>
  <si>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</si>
  <si>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</si>
  <si>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</si>
  <si>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</si>
  <si>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</si>
  <si>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</si>
  <si>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</si>
  <si>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</si>
  <si>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</si>
  <si>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</si>
  <si>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</si>
  <si>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</si>
  <si>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</si>
  <si>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</si>
  <si>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</si>
  <si>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</si>
  <si>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</si>
  <si>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</si>
  <si>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</si>
  <si>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</si>
  <si>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</si>
  <si>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</si>
  <si>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</si>
  <si>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</si>
  <si>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</si>
  <si>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</si>
  <si>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</si>
  <si>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</si>
  <si>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</si>
  <si>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</si>
  <si>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</si>
  <si>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</si>
  <si>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</si>
  <si>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</si>
  <si>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</si>
  <si>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</si>
  <si>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</si>
  <si>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</si>
  <si>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</si>
  <si>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</si>
  <si>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</si>
  <si>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</si>
  <si>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</si>
  <si>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</si>
  <si>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</si>
  <si>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</si>
  <si>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</si>
  <si>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</si>
  <si>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</si>
  <si>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</si>
  <si>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</si>
  <si>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</si>
  <si>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</si>
  <si>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</si>
  <si>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</si>
  <si>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</si>
  <si>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</si>
  <si>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</si>
  <si>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</si>
  <si>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</si>
  <si>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</si>
  <si>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</si>
  <si>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</si>
  <si>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</si>
  <si>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</si>
  <si>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</si>
  <si>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</si>
  <si>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</si>
  <si>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</si>
  <si>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</si>
  <si>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</si>
  <si>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</si>
  <si>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</si>
  <si>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</si>
  <si>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</si>
  <si>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</si>
  <si>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</si>
  <si>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</si>
  <si>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</si>
  <si>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</si>
  <si>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</si>
  <si>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</si>
  <si>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</si>
  <si>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</si>
  <si>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</si>
  <si>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</si>
  <si>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</si>
  <si>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</si>
  <si>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</si>
  <si>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</si>
  <si>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</si>
  <si>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</si>
  <si>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</si>
  <si>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</si>
  <si>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</si>
  <si>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</si>
  <si>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</si>
  <si>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</si>
  <si>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</si>
  <si>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</si>
  <si>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</si>
  <si>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</si>
  <si>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</si>
  <si>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</si>
  <si>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</si>
  <si>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</si>
  <si>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</si>
  <si>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</si>
  <si>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</si>
  <si>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</si>
  <si>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</si>
  <si>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</si>
  <si>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</si>
  <si>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</si>
  <si>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</si>
  <si>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</si>
  <si>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</si>
  <si>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</si>
  <si>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</si>
  <si>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</si>
  <si>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</si>
  <si>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</si>
  <si>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</si>
  <si>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</si>
  <si>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</si>
  <si>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</si>
  <si>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</si>
  <si>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</si>
  <si>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</si>
  <si>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</si>
  <si>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</si>
  <si>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</si>
  <si>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</si>
  <si>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</si>
  <si>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</si>
  <si>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</si>
  <si>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</si>
  <si>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</si>
  <si>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</si>
  <si>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</si>
  <si>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</si>
  <si>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</si>
  <si>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</si>
  <si>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</si>
  <si>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</si>
  <si>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</si>
  <si>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</si>
  <si>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</si>
  <si>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</si>
  <si>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</si>
  <si>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</si>
  <si>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</si>
  <si>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</si>
  <si>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</si>
  <si>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</si>
  <si>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</si>
  <si>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</si>
  <si>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</si>
  <si>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</si>
  <si>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</si>
  <si>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</si>
  <si>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</si>
  <si>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</si>
  <si>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</si>
  <si>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</si>
  <si>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</si>
  <si>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</si>
  <si>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</si>
  <si>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</si>
  <si>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</si>
  <si>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</si>
  <si>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</si>
  <si>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</si>
  <si>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</si>
  <si>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</si>
  <si>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</si>
  <si>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</si>
  <si>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</si>
  <si>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</si>
  <si>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</si>
  <si>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</si>
  <si>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</si>
  <si>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</si>
  <si>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</si>
  <si>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</si>
  <si>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</si>
  <si>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</si>
  <si>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</si>
  <si>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</si>
  <si>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</si>
  <si>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</si>
  <si>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</si>
  <si>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</si>
  <si>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</si>
  <si>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</si>
  <si>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</si>
  <si>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</si>
  <si>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</si>
  <si>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</si>
  <si>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</si>
  <si>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</si>
  <si>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</si>
  <si>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</si>
  <si>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</si>
  <si>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</si>
  <si>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</si>
  <si>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</si>
  <si>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</si>
  <si>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</si>
  <si>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</si>
  <si>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</si>
  <si>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</si>
  <si>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</si>
  <si>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</si>
  <si>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</si>
  <si>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</si>
  <si>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</si>
  <si>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</si>
  <si>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</si>
  <si>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</si>
  <si>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</si>
  <si>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</si>
  <si>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</si>
  <si>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</si>
  <si>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</si>
  <si>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</si>
  <si>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</si>
  <si>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</si>
  <si>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</si>
  <si>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</si>
  <si>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</si>
  <si>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</si>
  <si>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</si>
  <si>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</si>
  <si>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</si>
  <si>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</si>
  <si>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</si>
  <si>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</si>
  <si>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</si>
  <si>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</si>
  <si>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</si>
  <si>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</si>
  <si>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</si>
  <si>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</si>
  <si>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</si>
  <si>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</si>
  <si>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</si>
  <si>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</si>
  <si>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</si>
  <si>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</si>
  <si>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</si>
  <si>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</si>
  <si>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</si>
  <si>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</si>
  <si>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</si>
  <si>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</si>
  <si>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</si>
  <si>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</si>
  <si>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</si>
  <si>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</si>
  <si>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</si>
  <si>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</si>
  <si>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</si>
  <si>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</si>
  <si>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</si>
  <si>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</si>
  <si>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</si>
  <si>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</si>
  <si>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</si>
  <si>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</si>
  <si>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</si>
  <si>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</si>
  <si>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</si>
  <si>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</si>
  <si>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</si>
  <si>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</si>
  <si>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</si>
  <si>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</si>
  <si>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</si>
  <si>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</si>
  <si>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</si>
  <si>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</si>
  <si>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</si>
  <si>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</si>
  <si>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</si>
  <si>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</si>
  <si>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</si>
  <si>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</si>
  <si>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</si>
  <si>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</si>
  <si>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</si>
  <si>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</si>
  <si>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</si>
  <si>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</si>
  <si>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</si>
  <si>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</si>
  <si>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</si>
  <si>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</si>
  <si>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</si>
  <si>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</si>
  <si>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</si>
  <si>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</si>
  <si>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</si>
  <si>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</si>
  <si>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</si>
  <si>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</si>
  <si>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</si>
  <si>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</si>
  <si>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</si>
  <si>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</si>
  <si>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</si>
  <si>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</si>
  <si>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</si>
  <si>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</si>
  <si>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</si>
  <si>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</si>
  <si>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</si>
  <si>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</si>
  <si>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</si>
  <si>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</si>
  <si>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</si>
  <si>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</si>
  <si>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</si>
  <si>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</si>
  <si>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</si>
  <si>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</si>
  <si>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</si>
  <si>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</si>
  <si>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</si>
  <si>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</si>
  <si>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</si>
  <si>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</si>
  <si>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</si>
  <si>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</si>
  <si>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</si>
  <si>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</si>
  <si>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</si>
  <si>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</si>
  <si>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</si>
  <si>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</si>
  <si>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</si>
  <si>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</si>
  <si>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</si>
  <si>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</si>
  <si>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</si>
  <si>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</si>
  <si>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</si>
  <si>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</si>
  <si>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</si>
  <si>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</si>
  <si>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</si>
  <si>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</si>
  <si>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</si>
  <si>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</si>
  <si>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</si>
  <si>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</si>
  <si>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</si>
  <si>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</si>
  <si>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</si>
  <si>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</si>
  <si>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</si>
  <si>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</si>
  <si>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</si>
  <si>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</si>
  <si>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</si>
  <si>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</si>
  <si>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</si>
  <si>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</si>
  <si>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</si>
  <si>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</si>
  <si>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</si>
  <si>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</si>
  <si>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</si>
  <si>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</si>
  <si>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</si>
  <si>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</si>
  <si>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</si>
  <si>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</si>
  <si>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</si>
  <si>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</si>
  <si>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</si>
  <si>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</si>
  <si>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</si>
  <si>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</si>
  <si>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</si>
  <si>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</si>
  <si>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</si>
  <si>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</si>
  <si>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</si>
  <si>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</si>
  <si>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</si>
  <si>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</si>
  <si>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</si>
  <si>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</si>
  <si>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</si>
  <si>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</si>
  <si>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</si>
  <si>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</si>
  <si>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</si>
  <si>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</si>
  <si>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</si>
  <si>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</si>
  <si>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</si>
  <si>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</si>
  <si>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</si>
  <si>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</si>
  <si>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</si>
  <si>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</si>
  <si>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</si>
  <si>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</si>
  <si>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</si>
  <si>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</si>
  <si>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</si>
  <si>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</si>
  <si>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</si>
  <si>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</si>
  <si>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</si>
  <si>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</si>
  <si>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</si>
  <si>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</si>
  <si>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</si>
  <si>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</si>
  <si>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</si>
  <si>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</si>
  <si>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</si>
  <si>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</si>
  <si>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</si>
  <si>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</si>
  <si>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</si>
  <si>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</si>
  <si>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</si>
  <si>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</si>
  <si>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</si>
  <si>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</si>
  <si>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</si>
  <si>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</si>
  <si>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</si>
  <si>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</si>
  <si>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</si>
  <si>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</si>
  <si>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</si>
  <si>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</si>
  <si>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</si>
  <si>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</si>
  <si>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</si>
  <si>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</si>
  <si>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</si>
  <si>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</si>
  <si>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</si>
  <si>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</si>
  <si>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</si>
  <si>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</si>
  <si>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</si>
  <si>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</si>
  <si>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</si>
  <si>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</si>
  <si>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</si>
  <si>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</si>
  <si>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</si>
  <si>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</si>
  <si>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</si>
  <si>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</si>
  <si>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</si>
  <si>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</si>
  <si>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</si>
  <si>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</si>
  <si>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</si>
  <si>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</si>
  <si>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</si>
  <si>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</si>
  <si>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</si>
  <si>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</si>
  <si>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</si>
  <si>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</si>
  <si>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</si>
  <si>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</si>
  <si>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</si>
  <si>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</si>
  <si>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</si>
  <si>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</si>
  <si>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</si>
  <si>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</si>
  <si>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</si>
  <si>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</si>
  <si>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</si>
  <si>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</si>
  <si>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</si>
  <si>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</si>
  <si>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</si>
  <si>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</si>
  <si>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</si>
  <si>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</si>
  <si>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</si>
  <si>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</si>
  <si>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</si>
  <si>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</si>
  <si>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</si>
  <si>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</si>
  <si>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</si>
  <si>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</si>
  <si>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</si>
  <si>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</si>
  <si>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</si>
  <si>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</si>
  <si>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</si>
  <si>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</si>
  <si>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</si>
  <si>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</si>
  <si>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</si>
  <si>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</si>
  <si>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</si>
  <si>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</si>
  <si>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</si>
  <si>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</si>
  <si>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</si>
  <si>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</si>
  <si>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</si>
  <si>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</si>
  <si>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</si>
  <si>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</si>
  <si>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</si>
  <si>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</si>
  <si>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</si>
  <si>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</si>
  <si>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</si>
  <si>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</si>
  <si>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</si>
  <si>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</si>
  <si>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</si>
  <si>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</si>
  <si>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</si>
  <si>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</si>
  <si>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</si>
  <si>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</si>
  <si>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</si>
  <si>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</si>
  <si>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</si>
  <si>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</si>
  <si>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</si>
  <si>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</si>
  <si>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</si>
  <si>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</si>
  <si>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</si>
  <si>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</si>
  <si>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</si>
  <si>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</si>
  <si>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</si>
  <si>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</si>
  <si>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</si>
  <si>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</si>
  <si>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</si>
  <si>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</si>
  <si>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</si>
  <si>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</si>
  <si>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</si>
  <si>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</si>
  <si>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</si>
  <si>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</si>
  <si>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</si>
  <si>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</si>
  <si>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</si>
  <si>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</si>
  <si>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</si>
  <si>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</si>
  <si>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</si>
  <si>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</si>
  <si>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</si>
  <si>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</si>
  <si>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</si>
  <si>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</si>
  <si>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</si>
  <si>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</si>
  <si>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</si>
  <si>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</si>
  <si>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</si>
  <si>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</si>
  <si>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</si>
  <si>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</si>
  <si>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</si>
  <si>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</si>
  <si>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</si>
  <si>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</si>
  <si>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</si>
  <si>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</si>
  <si>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</si>
  <si>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</si>
  <si>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</si>
  <si>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</si>
  <si>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</si>
  <si>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</si>
  <si>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</si>
  <si>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</si>
  <si>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</si>
  <si>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</si>
  <si>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</si>
  <si>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</si>
  <si>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</si>
  <si>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</si>
  <si>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</si>
  <si>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</si>
  <si>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</si>
  <si>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</si>
  <si>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</si>
  <si>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</si>
  <si>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</si>
  <si>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</si>
  <si>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</si>
  <si>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</si>
  <si>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</si>
  <si>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</si>
  <si>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</si>
  <si>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</si>
  <si>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</si>
  <si>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</si>
  <si>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</si>
  <si>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</si>
  <si>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</si>
  <si>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</si>
  <si>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</si>
  <si>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</si>
  <si>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</si>
  <si>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</si>
  <si>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</si>
  <si>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</si>
  <si>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</si>
  <si>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</si>
  <si>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</si>
  <si>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</si>
  <si>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</si>
  <si>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</si>
  <si>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</si>
  <si>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</si>
  <si>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</si>
  <si>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</si>
  <si>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</si>
  <si>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</si>
  <si>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</si>
  <si>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</si>
  <si>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</si>
  <si>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</si>
  <si>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</si>
  <si>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</si>
  <si>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</si>
  <si>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</si>
  <si>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</si>
  <si>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</si>
  <si>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</si>
  <si>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</si>
  <si>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</si>
  <si>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</si>
  <si>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</si>
  <si>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</si>
  <si>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</si>
  <si>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</si>
  <si>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</si>
  <si>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</si>
  <si>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</si>
  <si>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</si>
  <si>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</si>
  <si>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</si>
  <si>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</si>
  <si>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</si>
  <si>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</si>
  <si>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</si>
  <si>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</si>
  <si>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</si>
  <si>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</si>
  <si>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</si>
  <si>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</si>
  <si>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</si>
  <si>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</si>
  <si>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</si>
  <si>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</si>
  <si>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</si>
  <si>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</si>
  <si>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</si>
  <si>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</si>
  <si>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</si>
  <si>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</si>
  <si>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</si>
  <si>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</si>
  <si>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</si>
  <si>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</si>
  <si>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</si>
  <si>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</si>
  <si>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</si>
  <si>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</si>
  <si>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</si>
  <si>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</si>
  <si>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</si>
  <si>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</si>
  <si>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</si>
  <si>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</si>
  <si>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</si>
  <si>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</si>
  <si>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</si>
  <si>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</si>
  <si>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</si>
  <si>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</si>
  <si>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</si>
  <si>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</si>
  <si>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</si>
  <si>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</si>
  <si>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</si>
  <si>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</si>
  <si>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</si>
  <si>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</si>
  <si>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</si>
  <si>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</si>
  <si>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</si>
  <si>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</si>
  <si>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</si>
  <si>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</si>
  <si>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</si>
  <si>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</si>
  <si>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</si>
  <si>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</si>
  <si>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</si>
  <si>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</si>
  <si>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</si>
  <si>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</si>
  <si>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</si>
  <si>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</si>
  <si>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</si>
  <si>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</si>
  <si>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</si>
  <si>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</si>
  <si>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</si>
  <si>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</si>
  <si>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</si>
  <si>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</si>
  <si>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</si>
  <si>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</si>
  <si>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</si>
  <si>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</si>
  <si>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</si>
  <si>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</si>
  <si>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</si>
  <si>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</si>
  <si>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</si>
  <si>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</si>
  <si>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</si>
  <si>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</si>
  <si>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</si>
  <si>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</si>
  <si>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</si>
  <si>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</si>
  <si>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</si>
  <si>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</si>
  <si>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</si>
  <si>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</si>
  <si>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</si>
  <si>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</si>
  <si>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</si>
  <si>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</si>
  <si>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</si>
  <si>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</si>
  <si>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</si>
  <si>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</si>
  <si>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</si>
  <si>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</si>
  <si>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</si>
  <si>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</si>
  <si>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</si>
  <si>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</si>
  <si>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</si>
  <si>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</si>
  <si>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</si>
  <si>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</si>
  <si>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</si>
  <si>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</si>
  <si>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</si>
  <si>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</si>
  <si>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</si>
  <si>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</si>
  <si>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</si>
  <si>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</si>
  <si>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</si>
  <si>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</si>
  <si>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</si>
  <si>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</si>
  <si>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</si>
  <si>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</si>
  <si>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</si>
  <si>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</si>
  <si>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</si>
  <si>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</si>
  <si>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</si>
  <si>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</si>
  <si>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</si>
  <si>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</si>
  <si>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</si>
  <si>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</si>
  <si>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</si>
  <si>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</si>
  <si>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</si>
  <si>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</si>
  <si>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</si>
  <si>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</si>
  <si>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</si>
  <si>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</si>
  <si>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</si>
  <si>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</si>
  <si>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</si>
  <si>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</si>
  <si>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</si>
  <si>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</si>
  <si>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</si>
  <si>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</si>
  <si>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</si>
  <si>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</si>
  <si>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</si>
  <si>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</si>
  <si>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</si>
  <si>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</si>
  <si>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</si>
  <si>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</si>
  <si>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</si>
  <si>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</si>
  <si>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</si>
  <si>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</si>
  <si>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</si>
  <si>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</si>
  <si>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</si>
  <si>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</si>
  <si>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</si>
  <si>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</si>
  <si>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</si>
  <si>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</si>
  <si>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</si>
  <si>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</si>
  <si>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</si>
  <si>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</si>
  <si>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</si>
  <si>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</si>
  <si>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</si>
  <si>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</si>
  <si>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</si>
  <si>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</si>
  <si>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</si>
  <si>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</si>
  <si>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</si>
  <si>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</si>
  <si>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</si>
  <si>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</si>
  <si>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</si>
  <si>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</si>
  <si>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</si>
  <si>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</si>
  <si>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</si>
  <si>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</si>
  <si>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</si>
  <si>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</si>
  <si>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</si>
  <si>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</si>
  <si>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</si>
  <si>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</si>
  <si>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</si>
  <si>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</si>
  <si>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</si>
  <si>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</si>
  <si>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</si>
  <si>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</si>
  <si>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</si>
  <si>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</si>
  <si>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</si>
  <si>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</si>
  <si>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</si>
  <si>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</si>
  <si>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</si>
  <si>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</si>
  <si>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</si>
  <si>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</si>
  <si>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</si>
  <si>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</si>
  <si>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</si>
  <si>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</si>
  <si>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</si>
  <si>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</si>
  <si>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</si>
  <si>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</si>
  <si>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</si>
  <si>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</si>
  <si>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</si>
  <si>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</si>
  <si>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</si>
  <si>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</si>
  <si>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</si>
  <si>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</si>
  <si>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</si>
  <si>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</si>
  <si>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</si>
  <si>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</si>
  <si>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</si>
  <si>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</si>
  <si>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</si>
  <si>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</si>
  <si>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</si>
  <si>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</si>
  <si>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</si>
  <si>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</si>
  <si>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</si>
  <si>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</si>
  <si>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</si>
  <si>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</si>
  <si>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</si>
  <si>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</si>
  <si>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</si>
  <si>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</si>
  <si>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</si>
  <si>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</si>
  <si>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</si>
  <si>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</si>
  <si>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</si>
  <si>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</si>
  <si>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</si>
  <si>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</si>
  <si>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</si>
  <si>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</si>
  <si>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</si>
  <si>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</si>
  <si>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</si>
  <si>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</si>
  <si>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</si>
  <si>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</si>
  <si>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</si>
  <si>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</si>
  <si>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</si>
  <si>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</si>
  <si>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</si>
  <si>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</si>
  <si>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</si>
  <si>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</si>
  <si>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</si>
  <si>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</si>
  <si>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</si>
  <si>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</si>
  <si>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</si>
  <si>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</si>
  <si>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</si>
  <si>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</si>
  <si>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</si>
  <si>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</si>
  <si>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</si>
  <si>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</si>
  <si>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</si>
  <si>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</si>
  <si>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</si>
  <si>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</si>
  <si>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</si>
  <si>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</si>
  <si>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</si>
  <si>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</si>
  <si>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</si>
  <si>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</si>
  <si>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</si>
  <si>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</si>
  <si>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</si>
  <si>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</si>
  <si>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</si>
  <si>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</si>
  <si>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</si>
  <si>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</si>
  <si>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</si>
  <si>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</si>
  <si>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</si>
  <si>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</si>
  <si>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</si>
  <si>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</si>
  <si>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</si>
  <si>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</si>
  <si>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</si>
  <si>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</si>
  <si>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</si>
  <si>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</si>
  <si>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</si>
  <si>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</si>
  <si>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</si>
  <si>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</si>
  <si>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</si>
  <si>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</si>
  <si>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</si>
  <si>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</si>
  <si>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</si>
  <si>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</si>
  <si>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</si>
  <si>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</si>
  <si>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</si>
  <si>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</si>
  <si>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</si>
  <si>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</si>
  <si>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</si>
  <si>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</si>
  <si>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</si>
  <si>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</si>
  <si>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</si>
  <si>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</si>
  <si>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</si>
  <si>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</si>
  <si>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</si>
  <si>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</si>
  <si>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</si>
  <si>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</si>
  <si>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</si>
  <si>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</si>
  <si>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</si>
  <si>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</si>
  <si>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</si>
  <si>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</si>
  <si>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</si>
  <si>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</si>
  <si>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</si>
  <si>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</si>
  <si>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</si>
  <si>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</si>
  <si>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</si>
  <si>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</si>
  <si>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</si>
  <si>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</si>
  <si>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</si>
  <si>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</si>
  <si>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</si>
  <si>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</si>
  <si>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</si>
  <si>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</si>
  <si>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</si>
  <si>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</si>
  <si>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</si>
  <si>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</si>
  <si>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</si>
  <si>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</si>
  <si>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</si>
  <si>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</si>
  <si>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</si>
  <si>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</si>
  <si>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</si>
  <si>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</si>
  <si>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</si>
  <si>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</si>
  <si>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</si>
  <si>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</si>
  <si>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</si>
  <si>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</si>
  <si>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</si>
  <si>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</si>
  <si>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</si>
  <si>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</si>
  <si>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</si>
  <si>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</si>
  <si>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</si>
  <si>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</si>
  <si>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</si>
  <si>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</si>
  <si>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</si>
  <si>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</si>
  <si>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</si>
  <si>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</si>
  <si>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</si>
  <si>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</si>
  <si>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</si>
  <si>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</si>
  <si>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</si>
  <si>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</si>
  <si>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</si>
  <si>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</si>
  <si>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</si>
  <si>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</si>
  <si>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</si>
  <si>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</si>
  <si>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</si>
  <si>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</si>
  <si>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</si>
  <si>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</si>
  <si>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</si>
  <si>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</si>
  <si>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</si>
  <si>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</si>
  <si>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</si>
  <si>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</si>
  <si>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</si>
  <si>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</si>
  <si>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</si>
  <si>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</si>
  <si>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</si>
  <si>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</si>
  <si>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</si>
  <si>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</si>
  <si>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</si>
  <si>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</si>
  <si>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</si>
  <si>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</si>
  <si>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</si>
  <si>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</si>
  <si>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</si>
  <si>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</si>
  <si>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</si>
  <si>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</si>
  <si>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</si>
  <si>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</si>
  <si>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</si>
  <si>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</si>
  <si>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</si>
  <si>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</si>
  <si>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</si>
  <si>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</si>
  <si>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</si>
  <si>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</si>
  <si>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</si>
  <si>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</si>
  <si>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</si>
  <si>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</si>
  <si>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</si>
  <si>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</si>
  <si>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</si>
  <si>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</si>
  <si>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</si>
  <si>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</si>
  <si>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</si>
  <si>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</si>
  <si>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</si>
  <si>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</si>
  <si>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</si>
  <si>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</si>
  <si>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</si>
  <si>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</si>
  <si>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</si>
  <si>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</si>
  <si>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</si>
  <si>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</si>
  <si>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</si>
  <si>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</si>
  <si>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</si>
  <si>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</si>
  <si>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</si>
  <si>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</si>
  <si>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</si>
  <si>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</si>
  <si>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</si>
  <si>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</si>
  <si>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</si>
  <si>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</si>
  <si>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</si>
  <si>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</si>
  <si>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</si>
  <si>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</si>
  <si>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</si>
  <si>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</si>
  <si>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</si>
  <si>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</si>
  <si>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</si>
  <si>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</si>
  <si>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</si>
  <si>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</si>
  <si>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</si>
  <si>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</si>
  <si>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</si>
  <si>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</si>
  <si>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</si>
  <si>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</si>
  <si>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</si>
  <si>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</si>
  <si>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</si>
  <si>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</si>
  <si>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</si>
  <si>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</si>
  <si>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</si>
  <si>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</si>
  <si>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</si>
  <si>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</si>
  <si>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</si>
  <si>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</si>
  <si>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</si>
  <si>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</si>
  <si>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</si>
  <si>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</si>
  <si>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</si>
  <si>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</si>
  <si>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</si>
  <si>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</si>
  <si>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</si>
  <si>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</si>
  <si>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</si>
  <si>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</si>
  <si>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</si>
  <si>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</si>
  <si>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</si>
  <si>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</si>
  <si>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</si>
  <si>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</si>
  <si>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</si>
  <si>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</si>
  <si>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</si>
  <si>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</si>
  <si>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</si>
  <si>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</si>
  <si>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</si>
  <si>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</si>
  <si>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</si>
  <si>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</si>
  <si>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</si>
  <si>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</si>
  <si>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</si>
  <si>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</si>
  <si>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</si>
  <si>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</si>
  <si>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</si>
  <si>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</si>
  <si>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</si>
  <si>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</si>
  <si>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</si>
  <si>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</si>
  <si>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</si>
  <si>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</si>
  <si>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</si>
  <si>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</si>
  <si>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</si>
  <si>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</si>
  <si>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</si>
  <si>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</si>
  <si>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</si>
  <si>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</si>
  <si>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</si>
  <si>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</si>
  <si>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</si>
  <si>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</si>
  <si>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</si>
  <si>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</si>
  <si>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</si>
  <si>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</si>
  <si>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</si>
  <si>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</si>
  <si>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</si>
  <si>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</si>
  <si>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</si>
  <si>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</si>
  <si>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</si>
  <si>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</si>
  <si>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</si>
  <si>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</si>
  <si>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</si>
  <si>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</si>
  <si>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</si>
  <si>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</si>
  <si>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</si>
  <si>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</si>
  <si>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</si>
  <si>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</si>
  <si>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</si>
  <si>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</si>
  <si>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</si>
  <si>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</si>
  <si>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</si>
  <si>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</si>
  <si>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</si>
  <si>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</si>
  <si>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</si>
  <si>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</si>
  <si>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</si>
  <si>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</si>
  <si>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</si>
  <si>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</si>
  <si>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</si>
  <si>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</si>
  <si>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</si>
  <si>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</si>
  <si>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</si>
  <si>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</si>
  <si>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</si>
  <si>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</si>
  <si>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</si>
  <si>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</si>
  <si>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</si>
  <si>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</si>
  <si>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</si>
  <si>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</si>
  <si>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</si>
  <si>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</si>
  <si>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</si>
  <si>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</si>
  <si>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</si>
  <si>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</si>
  <si>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</si>
  <si>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</si>
  <si>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</si>
  <si>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</si>
  <si>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</si>
  <si>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</si>
  <si>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</si>
  <si>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</si>
  <si>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</si>
  <si>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</si>
  <si>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</si>
  <si>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</si>
  <si>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</si>
  <si>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</si>
  <si>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</si>
  <si>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</si>
  <si>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</si>
  <si>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</si>
  <si>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</si>
  <si>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</si>
  <si>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</si>
  <si>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</si>
  <si>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</si>
  <si>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</si>
  <si>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</si>
  <si>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</si>
  <si>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</si>
  <si>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</si>
  <si>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</si>
  <si>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</si>
  <si>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</si>
  <si>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</si>
  <si>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</si>
  <si>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</si>
  <si>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</si>
  <si>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</si>
  <si>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</si>
  <si>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</si>
  <si>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</si>
  <si>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</si>
  <si>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</si>
  <si>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</si>
  <si>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</si>
  <si>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</si>
  <si>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</si>
  <si>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</si>
  <si>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</si>
  <si>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</si>
  <si>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</si>
  <si>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</si>
  <si>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</si>
  <si>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</si>
  <si>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</si>
  <si>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</si>
  <si>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</si>
  <si>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</si>
  <si>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</si>
  <si>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</si>
  <si>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</si>
  <si>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</si>
  <si>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</si>
  <si>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</si>
  <si>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</si>
  <si>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</si>
  <si>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</si>
  <si>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</si>
  <si>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</si>
  <si>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</si>
  <si>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</si>
  <si>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</si>
  <si>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</si>
  <si>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</si>
  <si>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</si>
  <si>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</si>
  <si>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</si>
  <si>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</si>
  <si>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</si>
  <si>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</si>
  <si>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</si>
  <si>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</si>
  <si>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</si>
  <si>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</si>
  <si>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</si>
  <si>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</si>
  <si>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</si>
  <si>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</si>
  <si>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</si>
  <si>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</si>
  <si>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</si>
  <si>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</si>
  <si>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</si>
  <si>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</si>
  <si>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</si>
  <si>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</si>
  <si>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</si>
  <si>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</si>
  <si>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</si>
  <si>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</si>
  <si>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</si>
  <si>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</si>
  <si>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</si>
  <si>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</si>
  <si>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</si>
  <si>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</si>
  <si>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</si>
  <si>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</si>
  <si>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</si>
  <si>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</si>
  <si>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</si>
  <si>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</si>
  <si>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</si>
  <si>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</si>
  <si>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</si>
  <si>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</si>
  <si>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</si>
  <si>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</si>
  <si>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</si>
  <si>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</si>
  <si>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</si>
  <si>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</si>
  <si>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</si>
  <si>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</si>
  <si>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</si>
  <si>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</si>
  <si>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</si>
  <si>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</si>
  <si>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</si>
  <si>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</si>
  <si>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</si>
  <si>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</si>
  <si>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</si>
  <si>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</si>
  <si>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</si>
  <si>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</si>
  <si>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</si>
  <si>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</si>
  <si>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</si>
  <si>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</si>
  <si>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</si>
  <si>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</si>
  <si>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</si>
  <si>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</si>
  <si>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</si>
  <si>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</si>
  <si>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</si>
  <si>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</si>
  <si>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</si>
  <si>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</si>
  <si>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</si>
  <si>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</si>
  <si>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</si>
  <si>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</si>
  <si>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</si>
  <si>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</si>
  <si>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</si>
  <si>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</si>
  <si>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</si>
  <si>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</si>
  <si>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</si>
  <si>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</si>
  <si>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</si>
  <si>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</si>
  <si>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</si>
  <si>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</si>
  <si>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</si>
  <si>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</si>
  <si>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</si>
  <si>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</si>
  <si>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</si>
  <si>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</si>
  <si>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</si>
  <si>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</si>
  <si>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</si>
  <si>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</si>
  <si>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</si>
  <si>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</si>
  <si>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</si>
  <si>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</si>
  <si>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</si>
  <si>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</si>
  <si>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</si>
  <si>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</si>
  <si>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</si>
  <si>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</si>
  <si>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</si>
  <si>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</si>
  <si>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</si>
  <si>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</si>
  <si>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</si>
  <si>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</si>
  <si>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</si>
  <si>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</si>
  <si>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</si>
  <si>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</si>
  <si>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</si>
  <si>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</si>
  <si>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</si>
  <si>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</si>
  <si>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</si>
  <si>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</si>
  <si>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</si>
  <si>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</si>
  <si>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</si>
  <si>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</si>
  <si>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</si>
  <si>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</si>
  <si>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</si>
  <si>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</si>
  <si>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</si>
  <si>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</si>
  <si>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</si>
  <si>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</si>
  <si>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</si>
  <si>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</si>
  <si>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</si>
  <si>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</si>
  <si>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</si>
  <si>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</si>
  <si>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</si>
  <si>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</si>
  <si>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</si>
  <si>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</si>
  <si>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</si>
  <si>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</si>
  <si>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</si>
  <si>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</si>
  <si>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</si>
  <si>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</si>
  <si>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</si>
  <si>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</si>
  <si>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</si>
  <si>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</si>
  <si>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</si>
  <si>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</si>
  <si>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</si>
  <si>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</si>
  <si>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</si>
  <si>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</si>
  <si>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</si>
  <si>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</si>
  <si>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</si>
  <si>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</si>
  <si>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</si>
  <si>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</si>
  <si>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</si>
  <si>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</si>
  <si>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</si>
  <si>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</si>
  <si>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</si>
  <si>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</si>
  <si>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</si>
  <si>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</si>
  <si>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</si>
  <si>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</si>
  <si>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</si>
  <si>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</si>
  <si>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</si>
  <si>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</si>
  <si>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</si>
  <si>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</si>
  <si>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</si>
  <si>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</si>
  <si>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</si>
  <si>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</si>
  <si>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</si>
  <si>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</si>
  <si>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</si>
  <si>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</si>
  <si>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</si>
  <si>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</si>
  <si>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</si>
  <si>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</si>
  <si>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</si>
  <si>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</si>
  <si>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</si>
  <si>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</si>
  <si>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</si>
  <si>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</si>
  <si>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</si>
  <si>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</si>
  <si>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</si>
  <si>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</si>
  <si>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</si>
  <si>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</si>
  <si>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</si>
  <si>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</si>
  <si>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</si>
  <si>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</si>
  <si>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</si>
  <si>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</si>
  <si>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</si>
  <si>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</si>
  <si>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</si>
  <si>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</si>
  <si>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</si>
  <si>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</si>
  <si>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</si>
  <si>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</si>
  <si>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</si>
  <si>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</si>
  <si>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</si>
  <si>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</si>
  <si>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</si>
  <si>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</si>
  <si>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</si>
  <si>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</si>
  <si>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</si>
  <si>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</si>
  <si>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</si>
  <si>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</si>
  <si>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</si>
  <si>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</si>
  <si>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</si>
  <si>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</si>
  <si>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</si>
  <si>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</si>
  <si>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</si>
  <si>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</si>
  <si>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</si>
  <si>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</si>
  <si>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</si>
  <si>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</si>
  <si>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</si>
  <si>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</si>
  <si>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</si>
  <si>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</si>
  <si>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</si>
  <si>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</si>
  <si>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</si>
  <si>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</si>
  <si>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</si>
  <si>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</si>
  <si>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</si>
  <si>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</si>
  <si>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</si>
  <si>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</si>
  <si>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</si>
  <si>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</si>
  <si>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</si>
  <si>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</si>
  <si>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</si>
  <si>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</si>
  <si>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</si>
  <si>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</si>
  <si>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</si>
  <si>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</si>
  <si>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</si>
  <si>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</si>
  <si>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</si>
  <si>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</si>
  <si>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</si>
  <si>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</si>
  <si>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</si>
  <si>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</si>
  <si>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</si>
  <si>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</si>
  <si>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</si>
  <si>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</si>
  <si>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</si>
  <si>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</si>
  <si>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</si>
  <si>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</si>
  <si>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</si>
  <si>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</si>
  <si>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</si>
  <si>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</si>
  <si>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</si>
  <si>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</si>
  <si>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</si>
  <si>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</si>
  <si>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</si>
  <si>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</si>
  <si>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</si>
  <si>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</si>
  <si>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</si>
  <si>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</si>
  <si>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</si>
  <si>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</si>
  <si>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</si>
  <si>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</si>
  <si>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</si>
  <si>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</si>
  <si>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</si>
  <si>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</si>
  <si>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</si>
  <si>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</si>
  <si>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</si>
  <si>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</si>
  <si>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</si>
  <si>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</si>
  <si>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</si>
  <si>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</si>
  <si>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</si>
  <si>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</si>
  <si>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</si>
  <si>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</si>
  <si>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</si>
  <si>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</si>
  <si>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</si>
  <si>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</si>
  <si>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</si>
  <si>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</si>
  <si>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</si>
  <si>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</si>
  <si>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</si>
  <si>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</si>
  <si>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</si>
  <si>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</si>
  <si>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</si>
  <si>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</si>
  <si>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</si>
  <si>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</si>
  <si>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</si>
  <si>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</si>
  <si>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</si>
  <si>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</si>
  <si>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</si>
  <si>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</si>
  <si>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</si>
  <si>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</si>
  <si>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</si>
  <si>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</si>
  <si>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</si>
  <si>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</si>
  <si>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</si>
  <si>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</si>
  <si>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</si>
  <si>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</si>
  <si>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</si>
  <si>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</si>
  <si>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</si>
  <si>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</si>
  <si>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</si>
  <si>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</si>
  <si>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</si>
  <si>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</si>
  <si>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</si>
  <si>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</si>
  <si>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</si>
  <si>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</si>
  <si>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</si>
  <si>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</si>
  <si>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</si>
  <si>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</si>
  <si>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</si>
  <si>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</si>
  <si>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</si>
  <si>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</si>
  <si>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</si>
  <si>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</si>
  <si>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</si>
  <si>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</si>
  <si>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</si>
  <si>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</si>
  <si>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</si>
  <si>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</si>
  <si>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</si>
  <si>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</si>
  <si>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</si>
  <si>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</si>
  <si>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</si>
  <si>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</si>
  <si>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</si>
  <si>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</si>
  <si>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</si>
  <si>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</si>
  <si>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</si>
  <si>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</si>
  <si>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</si>
  <si>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</si>
  <si>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</si>
  <si>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</si>
  <si>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</si>
  <si>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</si>
  <si>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</si>
  <si>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</si>
  <si>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</si>
  <si>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</si>
  <si>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</si>
  <si>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</si>
  <si>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</si>
  <si>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</si>
  <si>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</si>
  <si>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</si>
  <si>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</si>
  <si>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</si>
  <si>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</si>
  <si>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</si>
  <si>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</si>
  <si>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</si>
  <si>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</si>
  <si>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</si>
  <si>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</si>
  <si>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</si>
  <si>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</si>
  <si>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</si>
  <si>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</si>
  <si>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</si>
  <si>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</si>
  <si>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</si>
  <si>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</si>
  <si>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</si>
  <si>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</si>
  <si>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</si>
  <si>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</si>
  <si>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</si>
  <si>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</si>
  <si>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</si>
  <si>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</si>
  <si>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</si>
  <si>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</si>
  <si>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</si>
  <si>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</si>
  <si>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</si>
  <si>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</si>
  <si>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</si>
  <si>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</si>
  <si>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</si>
  <si>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</si>
  <si>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</si>
  <si>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</si>
  <si>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</si>
  <si>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</si>
  <si>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</si>
  <si>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</si>
  <si>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</si>
  <si>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</si>
  <si>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</si>
  <si>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</si>
  <si>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</si>
  <si>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</si>
  <si>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</si>
  <si>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</si>
  <si>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</si>
  <si>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</si>
  <si>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</si>
  <si>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</si>
  <si>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</si>
  <si>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</si>
  <si>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</si>
  <si>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</si>
  <si>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</si>
  <si>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</si>
  <si>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</si>
  <si>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</si>
  <si>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</si>
  <si>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</si>
  <si>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</si>
  <si>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</si>
  <si>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</si>
  <si>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</si>
  <si>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</si>
  <si>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</si>
  <si>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</si>
  <si>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</si>
  <si>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</si>
  <si>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</si>
  <si>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</si>
  <si>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</si>
  <si>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</si>
  <si>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</si>
  <si>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</si>
  <si>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</si>
  <si>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</si>
  <si>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</si>
  <si>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</si>
  <si>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</si>
  <si>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</si>
  <si>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</si>
  <si>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</si>
  <si>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</si>
  <si>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</si>
  <si>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</si>
  <si>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</si>
  <si>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</si>
  <si>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</si>
  <si>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</si>
  <si>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</si>
  <si>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</si>
  <si>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</si>
  <si>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</si>
  <si>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</si>
  <si>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</si>
  <si>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</si>
  <si>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</si>
  <si>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</si>
  <si>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</si>
  <si>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</si>
  <si>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</si>
  <si>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</si>
  <si>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</si>
  <si>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</si>
  <si>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</si>
  <si>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</si>
  <si>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</si>
  <si>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</si>
  <si>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</si>
  <si>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</si>
  <si>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</si>
  <si>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</si>
  <si>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</si>
  <si>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</si>
  <si>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</si>
  <si>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</si>
  <si>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</si>
  <si>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</si>
  <si>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</si>
  <si>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</si>
  <si>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</si>
  <si>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</si>
  <si>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</si>
  <si>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</si>
  <si>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</si>
  <si>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</si>
  <si>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</si>
  <si>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</si>
  <si>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</si>
  <si>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</si>
  <si>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</si>
  <si>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</si>
  <si>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</si>
  <si>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</si>
  <si>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</si>
  <si>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</si>
  <si>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</si>
  <si>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</si>
  <si>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</si>
  <si>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</si>
  <si>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</si>
  <si>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</si>
  <si>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</si>
  <si>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</si>
  <si>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</si>
  <si>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</si>
  <si>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</si>
  <si>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</si>
  <si>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</si>
  <si>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</si>
  <si>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</si>
  <si>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</si>
  <si>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</si>
  <si>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</si>
  <si>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</si>
  <si>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</si>
  <si>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</si>
  <si>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</si>
  <si>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</si>
  <si>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</si>
  <si>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</si>
  <si>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</si>
  <si>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</si>
  <si>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</si>
  <si>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</si>
  <si>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</si>
  <si>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</si>
  <si>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</si>
  <si>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</si>
  <si>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</si>
  <si>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</si>
  <si>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</si>
  <si>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</si>
  <si>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</si>
  <si>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</si>
  <si>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</si>
  <si>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</si>
  <si>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</si>
  <si>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</si>
  <si>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</si>
  <si>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</si>
  <si>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</si>
  <si>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</si>
  <si>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</si>
  <si>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</si>
  <si>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</si>
  <si>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</si>
  <si>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</si>
  <si>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</si>
  <si>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</si>
  <si>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</si>
  <si>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</si>
  <si>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</si>
  <si>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</si>
  <si>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</si>
  <si>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</si>
  <si>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</si>
  <si>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</si>
  <si>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</si>
  <si>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</si>
  <si>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</si>
  <si>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</si>
  <si>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</si>
  <si>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</si>
  <si>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</si>
  <si>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</si>
  <si>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</si>
  <si>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</si>
  <si>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</si>
  <si>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</si>
  <si>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</si>
  <si>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</si>
  <si>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</si>
  <si>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</si>
  <si>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</si>
  <si>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</si>
  <si>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</si>
  <si>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</si>
  <si>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</si>
  <si>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</si>
  <si>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</si>
  <si>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</si>
  <si>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</si>
  <si>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</si>
  <si>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</si>
  <si>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</si>
  <si>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</si>
  <si>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</si>
  <si>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</si>
  <si>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</si>
  <si>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</si>
  <si>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</si>
  <si>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</si>
  <si>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</si>
  <si>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</si>
  <si>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</si>
  <si>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</si>
  <si>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</si>
  <si>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</si>
  <si>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</si>
  <si>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</si>
  <si>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</si>
  <si>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</si>
  <si>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</si>
  <si>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</si>
  <si>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</si>
  <si>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</si>
  <si>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</si>
  <si>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</si>
  <si>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</si>
  <si>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</si>
  <si>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</si>
  <si>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</si>
  <si>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</si>
  <si>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</si>
  <si>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</si>
  <si>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</si>
  <si>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</si>
  <si>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</si>
  <si>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</si>
  <si>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</si>
  <si>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</si>
  <si>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</si>
  <si>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</si>
  <si>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</si>
  <si>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</si>
  <si>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</si>
  <si>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</si>
  <si>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</si>
  <si>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</si>
  <si>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</si>
  <si>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</si>
  <si>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</si>
  <si>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</si>
  <si>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</si>
  <si>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</si>
  <si>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</si>
  <si>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</si>
  <si>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</si>
  <si>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</si>
  <si>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</si>
  <si>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</si>
  <si>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</si>
  <si>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</si>
  <si>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</si>
  <si>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</si>
  <si>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</si>
  <si>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</si>
  <si>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</si>
  <si>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</si>
  <si>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</si>
  <si>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</si>
  <si>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</si>
  <si>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</si>
  <si>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</si>
  <si>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</si>
  <si>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</si>
  <si>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</si>
  <si>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</si>
  <si>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</si>
  <si>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</si>
  <si>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</si>
  <si>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</si>
  <si>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</si>
  <si>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</si>
  <si>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</si>
  <si>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</si>
  <si>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</si>
  <si>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</si>
  <si>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</si>
  <si>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</si>
  <si>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</si>
  <si>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</si>
  <si>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</si>
  <si>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</si>
  <si>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</si>
  <si>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</si>
  <si>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</si>
  <si>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</si>
  <si>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</si>
  <si>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</si>
  <si>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</si>
  <si>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</si>
  <si>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</si>
  <si>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</si>
  <si>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</si>
  <si>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</si>
  <si>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</si>
  <si>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</si>
  <si>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</si>
  <si>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</si>
  <si>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</si>
  <si>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</si>
  <si>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</si>
  <si>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</si>
  <si>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</si>
  <si>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</si>
  <si>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</si>
  <si>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</si>
  <si>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</si>
  <si>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</si>
  <si>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</si>
  <si>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</si>
  <si>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</si>
  <si>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</si>
  <si>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</si>
  <si>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</si>
  <si>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</si>
  <si>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</si>
  <si>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</si>
  <si>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</si>
  <si>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</si>
  <si>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</si>
  <si>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</si>
  <si>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</si>
  <si>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</si>
  <si>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</si>
  <si>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</si>
  <si>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</si>
  <si>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</si>
  <si>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</si>
  <si>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</si>
  <si>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</si>
  <si>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</si>
  <si>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</si>
  <si>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</si>
  <si>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</si>
  <si>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</si>
  <si>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</si>
  <si>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</si>
  <si>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</si>
  <si>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</si>
  <si>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</si>
  <si>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</si>
  <si>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</si>
  <si>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</si>
  <si>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</si>
  <si>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</si>
  <si>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</si>
  <si>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</si>
  <si>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</si>
  <si>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</si>
  <si>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</si>
  <si>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</si>
  <si>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</si>
  <si>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</si>
  <si>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</si>
  <si>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</si>
  <si>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</si>
  <si>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</si>
  <si>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</si>
  <si>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</si>
  <si>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</si>
  <si>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</si>
  <si>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</si>
  <si>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</si>
  <si>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</si>
  <si>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</si>
  <si>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</si>
  <si>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</si>
  <si>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</si>
  <si>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</si>
  <si>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</si>
  <si>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</si>
  <si>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</si>
  <si>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</si>
  <si>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</si>
  <si>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</si>
  <si>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</si>
  <si>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</si>
  <si>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</si>
  <si>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</si>
  <si>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</si>
  <si>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</si>
  <si>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</si>
  <si>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</si>
  <si>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</si>
  <si>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</si>
  <si>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</si>
  <si>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</si>
  <si>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</si>
  <si>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</si>
  <si>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</si>
  <si>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</si>
  <si>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</si>
  <si>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</si>
  <si>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</si>
  <si>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</si>
  <si>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</si>
  <si>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</si>
  <si>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</si>
  <si>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</si>
  <si>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</si>
  <si>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</si>
  <si>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</si>
  <si>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</si>
  <si>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</si>
  <si>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</si>
  <si>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</si>
  <si>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</si>
  <si>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</si>
  <si>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</si>
  <si>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</si>
  <si>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</si>
  <si>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</si>
  <si>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</si>
  <si>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</si>
  <si>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</si>
  <si>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</si>
  <si>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</si>
  <si>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</si>
  <si>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</si>
  <si>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</si>
  <si>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</si>
  <si>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</si>
  <si>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</si>
  <si>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</si>
  <si>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</si>
  <si>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</si>
  <si>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</si>
  <si>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</si>
  <si>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</si>
  <si>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</si>
  <si>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</si>
  <si>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</si>
  <si>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</si>
  <si>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</si>
  <si>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</si>
  <si>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</si>
  <si>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</si>
  <si>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</si>
  <si>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</si>
  <si>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</si>
  <si>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</si>
  <si>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</si>
  <si>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</si>
  <si>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</si>
  <si>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</si>
  <si>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</si>
  <si>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</si>
  <si>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</si>
  <si>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</si>
  <si>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</si>
  <si>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</si>
  <si>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</si>
  <si>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</si>
  <si>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</si>
  <si>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</si>
  <si>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</si>
  <si>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</si>
  <si>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</si>
  <si>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</si>
  <si>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</si>
  <si>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</si>
  <si>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</si>
  <si>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</si>
  <si>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</si>
  <si>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</si>
  <si>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</si>
  <si>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</si>
  <si>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</si>
  <si>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</si>
  <si>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</si>
  <si>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</si>
  <si>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</si>
  <si>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</si>
  <si>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</si>
  <si>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</si>
  <si>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</si>
  <si>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</si>
  <si>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</si>
  <si>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</si>
  <si>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</si>
  <si>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</si>
  <si>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</si>
  <si>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</si>
  <si>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</si>
  <si>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</si>
  <si>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</si>
  <si>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</si>
  <si>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</si>
  <si>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</si>
  <si>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</si>
  <si>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</si>
  <si>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</si>
  <si>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</si>
  <si>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</si>
  <si>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</si>
  <si>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</si>
  <si>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</si>
  <si>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</si>
  <si>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</si>
  <si>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</si>
  <si>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</si>
  <si>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</si>
  <si>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</si>
  <si>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</si>
  <si>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</si>
  <si>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</si>
  <si>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</si>
  <si>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</si>
  <si>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</si>
  <si>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</si>
  <si>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</si>
  <si>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</si>
  <si>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</si>
  <si>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</si>
  <si>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</si>
  <si>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</si>
  <si>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</si>
  <si>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</si>
  <si>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</si>
  <si>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</si>
  <si>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</si>
  <si>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</si>
  <si>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</si>
  <si>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</si>
  <si>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</si>
  <si>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</si>
  <si>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</si>
  <si>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</si>
  <si>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</si>
  <si>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</si>
  <si>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</si>
  <si>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</si>
  <si>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</si>
  <si>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</si>
  <si>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</si>
  <si>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</si>
  <si>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</si>
  <si>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</si>
  <si>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</si>
  <si>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</si>
  <si>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</si>
  <si>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</si>
  <si>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</si>
  <si>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</si>
  <si>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</si>
  <si>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</si>
  <si>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</si>
  <si>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</si>
  <si>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</si>
  <si>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</si>
  <si>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</si>
  <si>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</si>
  <si>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</si>
  <si>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</si>
  <si>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</si>
  <si>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</si>
  <si>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</si>
  <si>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</si>
  <si>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</si>
  <si>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</si>
  <si>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</si>
  <si>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</si>
  <si>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</si>
  <si>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</si>
  <si>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</si>
  <si>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</si>
  <si>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</si>
  <si>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</si>
  <si>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</si>
  <si>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</si>
  <si>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</si>
  <si>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</si>
  <si>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</si>
  <si>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</si>
  <si>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</si>
  <si>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</si>
  <si>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</si>
  <si>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</si>
  <si>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</si>
  <si>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</si>
  <si>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</si>
  <si>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</si>
  <si>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</si>
  <si>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</si>
  <si>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</si>
  <si>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</si>
  <si>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</si>
  <si>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</si>
  <si>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</si>
  <si>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</si>
  <si>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</si>
  <si>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</si>
  <si>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</si>
  <si>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</si>
  <si>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</si>
  <si>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</si>
  <si>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</si>
  <si>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</si>
  <si>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</si>
  <si>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</si>
  <si>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</si>
  <si>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</si>
  <si>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</si>
  <si>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</si>
  <si>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</si>
  <si>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</si>
  <si>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</si>
  <si>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</si>
  <si>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</si>
  <si>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</si>
  <si>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</si>
  <si>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</si>
  <si>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</si>
  <si>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</si>
  <si>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</si>
  <si>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</si>
  <si>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</si>
  <si>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</si>
  <si>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</si>
  <si>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</si>
  <si>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</si>
  <si>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</si>
  <si>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</si>
  <si>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</si>
  <si>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</si>
  <si>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</si>
  <si>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</si>
  <si>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</si>
  <si>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</si>
  <si>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</si>
  <si>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</si>
  <si>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</si>
  <si>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</si>
  <si>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</si>
  <si>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</si>
  <si>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</si>
  <si>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</si>
  <si>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</si>
  <si>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</si>
  <si>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</si>
  <si>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</si>
  <si>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</si>
  <si>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</si>
  <si>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</si>
  <si>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</si>
  <si>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</si>
  <si>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</si>
  <si>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</si>
  <si>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</si>
  <si>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</si>
  <si>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</si>
  <si>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</si>
  <si>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</si>
  <si>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</si>
  <si>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</si>
  <si>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</si>
  <si>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</si>
  <si>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</si>
  <si>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</si>
  <si>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</si>
  <si>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</si>
  <si>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</si>
  <si>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</si>
  <si>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</si>
  <si>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</si>
  <si>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</si>
  <si>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</si>
  <si>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</si>
  <si>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</si>
  <si>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</si>
  <si>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</si>
  <si>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</si>
  <si>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</si>
  <si>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</si>
  <si>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</si>
  <si>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</si>
  <si>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</si>
  <si>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</si>
  <si>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</si>
  <si>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</si>
  <si>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</si>
  <si>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</si>
  <si>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</si>
  <si>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</si>
  <si>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</si>
  <si>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</si>
  <si>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</si>
  <si>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</si>
  <si>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</si>
  <si>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</si>
  <si>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</si>
  <si>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</si>
  <si>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</si>
  <si>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</si>
  <si>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</si>
  <si>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</si>
  <si>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</si>
  <si>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</si>
  <si>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</si>
  <si>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</si>
  <si>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</si>
  <si>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</si>
  <si>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</si>
  <si>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</si>
  <si>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</si>
  <si>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</si>
  <si>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</si>
  <si>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</si>
  <si>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</si>
  <si>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</si>
  <si>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</si>
  <si>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</si>
  <si>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</si>
  <si>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</si>
  <si>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</si>
  <si>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</si>
  <si>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</si>
  <si>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</si>
  <si>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</si>
  <si>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</si>
  <si>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</si>
  <si>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</si>
  <si>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</si>
  <si>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</si>
  <si>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</si>
  <si>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</si>
  <si>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</si>
  <si>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</si>
  <si>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</si>
  <si>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</si>
  <si>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</si>
  <si>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</si>
  <si>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</si>
  <si>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</si>
  <si>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</si>
  <si>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</si>
  <si>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</si>
  <si>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</si>
  <si>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</si>
  <si>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</si>
  <si>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</si>
  <si>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</si>
  <si>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</si>
  <si>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</si>
  <si>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</si>
  <si>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</si>
  <si>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</si>
  <si>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</si>
  <si>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</si>
  <si>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</si>
  <si>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</si>
  <si>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</si>
  <si>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</si>
  <si>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</si>
  <si>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</si>
  <si>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</si>
  <si>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</si>
  <si>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</si>
  <si>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</si>
  <si>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</si>
  <si>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</si>
  <si>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</si>
  <si>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</si>
  <si>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</si>
  <si>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</si>
  <si>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</si>
  <si>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</si>
  <si>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</si>
  <si>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</si>
  <si>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</si>
  <si>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</si>
  <si>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</si>
  <si>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</si>
  <si>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</si>
  <si>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</si>
  <si>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</si>
  <si>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</si>
  <si>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</si>
  <si>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</si>
  <si>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</si>
  <si>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</si>
  <si>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</si>
  <si>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</si>
  <si>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</si>
  <si>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</si>
  <si>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</si>
  <si>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</si>
  <si>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</si>
  <si>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</si>
  <si>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</si>
  <si>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</si>
  <si>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</si>
  <si>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</si>
  <si>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</si>
  <si>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</si>
  <si>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</si>
  <si>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</si>
  <si>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</si>
  <si>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</si>
  <si>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</si>
  <si>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</si>
  <si>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</si>
  <si>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</si>
  <si>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</si>
  <si>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</si>
  <si>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</si>
  <si>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</si>
  <si>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</si>
  <si>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</si>
  <si>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</si>
  <si>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</si>
  <si>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</si>
  <si>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</si>
  <si>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</si>
  <si>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</si>
  <si>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</si>
  <si>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</si>
  <si>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</si>
  <si>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</si>
  <si>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</si>
  <si>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</si>
  <si>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</si>
  <si>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</si>
  <si>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</si>
  <si>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</si>
  <si>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</si>
  <si>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</si>
  <si>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</si>
  <si>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</si>
  <si>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</si>
  <si>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</si>
  <si>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</si>
  <si>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</si>
  <si>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</si>
  <si>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</si>
  <si>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</si>
  <si>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</si>
  <si>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</si>
  <si>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</si>
  <si>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</si>
  <si>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</si>
  <si>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</si>
  <si>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</si>
  <si>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</si>
  <si>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</si>
  <si>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</si>
  <si>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</si>
  <si>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</si>
  <si>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</si>
  <si>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</si>
  <si>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</si>
  <si>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</si>
  <si>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</si>
  <si>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</si>
  <si>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</si>
  <si>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</si>
  <si>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</si>
  <si>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</si>
  <si>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</si>
  <si>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</si>
  <si>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</si>
  <si>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</si>
  <si>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</si>
  <si>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</si>
  <si>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</si>
  <si>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</si>
  <si>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</si>
  <si>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</si>
  <si>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</si>
  <si>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</si>
  <si>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</si>
  <si>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</si>
  <si>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</si>
  <si>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</si>
  <si>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</si>
  <si>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</si>
  <si>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</si>
  <si>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</si>
  <si>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</si>
  <si>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</si>
  <si>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</si>
  <si>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</si>
  <si>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</si>
  <si>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</si>
  <si>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</si>
  <si>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</si>
  <si>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</si>
  <si>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</si>
  <si>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</si>
  <si>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</si>
  <si>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</si>
  <si>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</si>
  <si>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</si>
  <si>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</si>
  <si>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</si>
  <si>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</si>
  <si>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</si>
  <si>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</si>
  <si>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</si>
  <si>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</si>
  <si>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</si>
  <si>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</si>
  <si>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</si>
  <si>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</si>
  <si>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</si>
  <si>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</si>
  <si>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</si>
  <si>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</si>
  <si>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</si>
  <si>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</si>
  <si>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</si>
  <si>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</si>
  <si>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</si>
  <si>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</si>
  <si>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</si>
  <si>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</si>
  <si>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</si>
  <si>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</si>
  <si>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</si>
  <si>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</si>
  <si>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</si>
  <si>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</si>
  <si>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</si>
  <si>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</si>
  <si>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</si>
  <si>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</si>
  <si>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</si>
  <si>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</si>
  <si>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</si>
  <si>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</si>
  <si>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</si>
  <si>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</si>
  <si>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</si>
  <si>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</si>
  <si>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</si>
  <si>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</si>
  <si>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</si>
  <si>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</si>
  <si>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</si>
  <si>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</si>
  <si>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</si>
  <si>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</si>
  <si>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</si>
  <si>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</si>
  <si>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</si>
  <si>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</si>
  <si>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</si>
  <si>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</si>
  <si>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</si>
  <si>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</si>
  <si>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</si>
  <si>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</si>
  <si>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</si>
  <si>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</si>
  <si>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</si>
  <si>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</si>
  <si>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</si>
  <si>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</si>
  <si>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</si>
  <si>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</si>
  <si>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</si>
  <si>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</si>
  <si>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</si>
  <si>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</si>
  <si>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</si>
  <si>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</si>
  <si>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</si>
  <si>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</si>
  <si>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</si>
  <si>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</si>
  <si>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</si>
  <si>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</si>
  <si>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</si>
  <si>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</si>
  <si>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</si>
  <si>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</si>
  <si>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</si>
  <si>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</si>
  <si>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</si>
  <si>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</si>
  <si>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</si>
  <si>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</si>
  <si>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</si>
  <si>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</si>
  <si>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</si>
  <si>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</si>
  <si>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</si>
  <si>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</si>
  <si>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</si>
  <si>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</si>
  <si>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</si>
  <si>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</si>
  <si>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</si>
  <si>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</si>
  <si>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</si>
  <si>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</si>
  <si>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</si>
  <si>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</si>
  <si>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</si>
  <si>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</si>
  <si>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</si>
  <si>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</si>
  <si>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</si>
  <si>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</si>
  <si>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</si>
  <si>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</si>
  <si>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</si>
  <si>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</si>
  <si>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</si>
  <si>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</si>
  <si>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</si>
  <si>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</si>
  <si>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</si>
  <si>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</si>
  <si>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</si>
  <si>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</si>
  <si>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</si>
  <si>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</si>
  <si>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</si>
  <si>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</si>
  <si>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</si>
  <si>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</si>
  <si>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</si>
  <si>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</si>
  <si>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</si>
  <si>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</si>
  <si>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</si>
  <si>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</si>
  <si>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</si>
  <si>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</si>
  <si>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</si>
  <si>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</si>
  <si>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</si>
  <si>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</si>
  <si>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</si>
  <si>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</si>
  <si>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</si>
  <si>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</si>
  <si>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</si>
  <si>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</si>
  <si>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</si>
  <si>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</si>
  <si>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</si>
  <si>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</si>
  <si>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</si>
  <si>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</si>
  <si>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</si>
  <si>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</si>
  <si>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</si>
  <si>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</si>
  <si>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</si>
  <si>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</si>
  <si>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</si>
  <si>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</si>
  <si>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</si>
  <si>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</si>
  <si>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</si>
  <si>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</si>
  <si>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</si>
  <si>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</si>
  <si>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</si>
  <si>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</si>
  <si>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</si>
  <si>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</si>
  <si>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</si>
  <si>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</si>
  <si>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</si>
  <si>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</si>
  <si>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</si>
  <si>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</si>
  <si>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</si>
  <si>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</si>
  <si>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</si>
  <si>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</si>
  <si>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</si>
  <si>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</si>
  <si>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</si>
  <si>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</si>
  <si>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</si>
  <si>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</si>
  <si>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</si>
  <si>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</si>
  <si>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</si>
  <si>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</si>
  <si>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</si>
  <si>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</si>
  <si>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</si>
  <si>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</si>
  <si>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</si>
  <si>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</si>
  <si>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</si>
  <si>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</si>
  <si>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</si>
  <si>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</si>
  <si>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</si>
  <si>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</si>
  <si>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</si>
  <si>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</si>
  <si>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</si>
  <si>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</si>
  <si>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</si>
  <si>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</si>
  <si>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</si>
  <si>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</si>
  <si>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</si>
  <si>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</si>
  <si>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</si>
  <si>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</si>
  <si>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</si>
  <si>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</si>
  <si>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</si>
  <si>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</si>
  <si>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</si>
  <si>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</si>
  <si>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</si>
  <si>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</si>
  <si>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</si>
  <si>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</si>
  <si>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</si>
  <si>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</si>
  <si>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</si>
  <si>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</si>
  <si>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</si>
  <si>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</si>
  <si>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</si>
  <si>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</si>
  <si>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</si>
  <si>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</si>
  <si>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</si>
  <si>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</si>
  <si>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</si>
  <si>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</si>
  <si>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</si>
  <si>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</si>
  <si>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</si>
  <si>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</si>
  <si>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</si>
  <si>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</si>
  <si>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</si>
  <si>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</si>
  <si>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</si>
  <si>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</si>
  <si>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</si>
  <si>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</si>
  <si>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</si>
  <si>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</si>
  <si>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</si>
  <si>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</si>
  <si>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</si>
  <si>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</si>
  <si>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</si>
  <si>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</si>
  <si>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</si>
  <si>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</si>
  <si>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</si>
  <si>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</si>
  <si>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</si>
  <si>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</si>
  <si>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</si>
  <si>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</si>
  <si>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</si>
  <si>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</si>
  <si>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</si>
  <si>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</si>
  <si>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</si>
  <si>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</si>
  <si>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</si>
  <si>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</si>
  <si>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</si>
  <si>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</si>
  <si>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</si>
  <si>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</si>
  <si>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</si>
  <si>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</si>
  <si>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</si>
  <si>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</si>
  <si>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</si>
  <si>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</si>
  <si>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</si>
  <si>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</si>
  <si>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</si>
  <si>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</si>
  <si>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</si>
  <si>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</si>
  <si>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</si>
  <si>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</si>
  <si>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</si>
  <si>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</si>
  <si>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</si>
  <si>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</si>
  <si>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</si>
  <si>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</si>
  <si>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</si>
  <si>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</si>
  <si>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</si>
  <si>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</si>
  <si>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</si>
  <si>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</si>
  <si>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</si>
  <si>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</si>
  <si>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</si>
  <si>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</si>
  <si>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</si>
  <si>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</si>
  <si>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</si>
  <si>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</si>
  <si>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</si>
  <si>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</si>
  <si>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</si>
  <si>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</si>
  <si>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</si>
  <si>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</si>
  <si>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</si>
  <si>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</si>
  <si>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</si>
  <si>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</si>
  <si>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</si>
  <si>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</si>
  <si>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</si>
  <si>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</si>
  <si>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</si>
  <si>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</si>
  <si>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</si>
  <si>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</si>
  <si>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</si>
  <si>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</si>
  <si>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</si>
  <si>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</si>
  <si>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</si>
  <si>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</si>
  <si>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</si>
  <si>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</si>
  <si>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</si>
  <si>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</si>
  <si>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</si>
  <si>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</si>
  <si>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</si>
  <si>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</si>
  <si>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</si>
  <si>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</si>
  <si>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</si>
  <si>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</si>
  <si>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</si>
  <si>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</si>
  <si>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</si>
  <si>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</si>
  <si>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</si>
  <si>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</si>
  <si>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</si>
  <si>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</si>
  <si>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</si>
  <si>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</si>
  <si>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</si>
  <si>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</si>
  <si>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</si>
  <si>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</si>
  <si>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</si>
  <si>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</si>
  <si>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</si>
  <si>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</si>
  <si>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</si>
  <si>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</si>
  <si>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</si>
  <si>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</si>
  <si>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</si>
  <si>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</si>
  <si>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</si>
  <si>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</si>
  <si>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</si>
  <si>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</si>
  <si>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</si>
  <si>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</si>
  <si>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</si>
  <si>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</si>
  <si>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</si>
  <si>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</si>
  <si>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</si>
  <si>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</si>
  <si>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</si>
  <si>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</si>
  <si>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</si>
  <si>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</si>
  <si>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</si>
  <si>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</si>
  <si>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</si>
  <si>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</si>
  <si>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</si>
  <si>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</si>
  <si>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</si>
  <si>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</si>
  <si>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</si>
  <si>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</si>
  <si>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</si>
  <si>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</si>
  <si>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</si>
  <si>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</si>
  <si>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</si>
  <si>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</si>
  <si>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</si>
  <si>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</si>
  <si>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</si>
  <si>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</si>
  <si>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</si>
  <si>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</si>
  <si>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</si>
  <si>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</si>
  <si>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</si>
  <si>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</si>
  <si>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</si>
  <si>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</si>
  <si>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</si>
  <si>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</si>
  <si>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</si>
  <si>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</si>
  <si>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</si>
  <si>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</si>
  <si>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</si>
  <si>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</si>
  <si>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</si>
  <si>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</si>
  <si>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</si>
  <si>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</si>
  <si>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</si>
  <si>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</si>
  <si>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</si>
  <si>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</si>
  <si>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</si>
  <si>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</si>
  <si>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</si>
  <si>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</si>
  <si>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</si>
  <si>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</si>
  <si>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</si>
  <si>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</si>
  <si>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</si>
  <si>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</si>
  <si>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</si>
  <si>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</si>
  <si>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</si>
  <si>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</si>
  <si>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</si>
  <si>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</si>
  <si>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</si>
  <si>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</si>
  <si>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</si>
  <si>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</si>
  <si>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</si>
  <si>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</si>
  <si>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</si>
  <si>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</si>
  <si>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</si>
  <si>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</si>
  <si>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</si>
  <si>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</si>
  <si>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</si>
  <si>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</si>
  <si>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</si>
  <si>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</si>
  <si>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</si>
  <si>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</si>
  <si>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</si>
  <si>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</si>
  <si>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</si>
  <si>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</si>
  <si>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</si>
  <si>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</si>
  <si>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</si>
  <si>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</si>
  <si>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</si>
  <si>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</si>
  <si>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</si>
  <si>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</si>
  <si>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</si>
  <si>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</si>
  <si>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</si>
  <si>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</si>
  <si>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</si>
  <si>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</si>
  <si>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</si>
  <si>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</si>
  <si>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</si>
  <si>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</si>
  <si>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</si>
  <si>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</si>
  <si>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</si>
  <si>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</si>
  <si>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</si>
  <si>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</si>
  <si>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</si>
  <si>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</si>
  <si>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</si>
  <si>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</si>
  <si>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</si>
  <si>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</si>
  <si>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</si>
  <si>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</si>
  <si>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</si>
  <si>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</si>
  <si>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</si>
  <si>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</si>
  <si>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</si>
  <si>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</si>
  <si>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</si>
  <si>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</si>
  <si>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</si>
  <si>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</si>
  <si>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</si>
  <si>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</si>
  <si>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</si>
  <si>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</si>
  <si>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</si>
  <si>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</si>
  <si>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</si>
  <si>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</si>
  <si>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</si>
  <si>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</si>
  <si>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</si>
  <si>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</si>
  <si>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</si>
  <si>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</si>
  <si>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</si>
  <si>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</si>
  <si>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</si>
  <si>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</si>
  <si>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</si>
  <si>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</si>
  <si>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</si>
  <si>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</si>
  <si>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</si>
  <si>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</si>
  <si>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</si>
  <si>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</si>
  <si>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</si>
  <si>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</si>
  <si>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</si>
  <si>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</si>
  <si>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</si>
  <si>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</si>
  <si>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</si>
  <si>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</si>
  <si>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</si>
  <si>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</si>
  <si>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</si>
  <si>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</si>
  <si>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</si>
  <si>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</si>
  <si>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</si>
  <si>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</si>
  <si>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</si>
  <si>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</si>
  <si>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</si>
  <si>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</si>
  <si>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</si>
  <si>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</si>
  <si>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</si>
  <si>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</si>
  <si>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</si>
  <si>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</si>
  <si>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</si>
  <si>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</si>
  <si>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</si>
  <si>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</si>
  <si>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</si>
  <si>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</si>
  <si>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</si>
  <si>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</si>
  <si>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</si>
  <si>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</si>
  <si>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</si>
  <si>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</si>
  <si>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</si>
  <si>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</si>
  <si>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</si>
  <si>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</si>
  <si>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</si>
  <si>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</si>
  <si>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</si>
  <si>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</si>
  <si>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</si>
  <si>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</si>
  <si>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</si>
  <si>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</si>
  <si>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</si>
  <si>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</si>
  <si>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</si>
  <si>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</si>
  <si>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</si>
  <si>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</si>
  <si>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</si>
  <si>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</si>
  <si>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</si>
  <si>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</si>
  <si>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</si>
  <si>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</si>
  <si>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</si>
  <si>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</si>
  <si>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</si>
  <si>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</si>
  <si>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</si>
  <si>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</si>
  <si>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</si>
  <si>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</si>
  <si>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</si>
  <si>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</si>
  <si>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</si>
  <si>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</si>
  <si>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</si>
  <si>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</si>
  <si>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</si>
  <si>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</si>
  <si>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</si>
  <si>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</si>
  <si>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</si>
  <si>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</si>
  <si>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</si>
  <si>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</si>
  <si>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</si>
  <si>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</si>
  <si>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</si>
  <si>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</si>
  <si>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</si>
  <si>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</si>
  <si>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</si>
  <si>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</si>
  <si>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</si>
  <si>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</si>
  <si>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</si>
  <si>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</si>
  <si>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</si>
  <si>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</si>
  <si>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</si>
  <si>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</si>
  <si>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번호</t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</si>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</sst>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21" zoomScaleNormal="100" workbookViewId="0">
      <selection activeCell="I326" sqref="I32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0" t="s">
        <v>3261</v>
      </c>
      <c r="B1" s="750"/>
      <c r="C1" s="750"/>
      <c r="D1" s="750"/>
      <c r="E1" s="750"/>
      <c r="F1" s="750"/>
      <c r="G1" s="750"/>
      <c r="H1" s="750"/>
      <c r="I1" s="750"/>
      <c r="J1" s="750"/>
      <c r="K1" s="750"/>
      <c r="L1" s="750"/>
      <c r="M1" s="75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44"/>
      <c r="Q22" s="745"/>
      <c r="R22" s="745"/>
      <c r="S22" s="745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44"/>
      <c r="Q27" s="745"/>
      <c r="R27" s="745"/>
      <c r="S27" s="745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44"/>
      <c r="Q36" s="745"/>
      <c r="R36" s="745"/>
      <c r="S36" s="745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44"/>
      <c r="Q37" s="745"/>
      <c r="R37" s="745"/>
      <c r="S37" s="745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44"/>
      <c r="Q40" s="745"/>
      <c r="R40" s="745"/>
      <c r="S40" s="745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44"/>
      <c r="Q41" s="745"/>
      <c r="R41" s="745"/>
      <c r="S41" s="745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44" t="s">
        <v>4390</v>
      </c>
      <c r="Q43" s="745"/>
      <c r="R43" s="745"/>
      <c r="S43" s="745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44"/>
      <c r="Q61" s="745"/>
      <c r="R61" s="745"/>
      <c r="S61" s="745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44"/>
      <c r="Q64" s="745"/>
      <c r="R64" s="745"/>
      <c r="S64" s="745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44"/>
      <c r="Q67" s="745"/>
      <c r="R67" s="745"/>
      <c r="S67" s="745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44"/>
      <c r="Q74" s="745"/>
      <c r="R74" s="745"/>
      <c r="S74" s="745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44"/>
      <c r="Q83" s="745"/>
      <c r="R83" s="745"/>
      <c r="S83" s="745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44"/>
      <c r="Q85" s="745"/>
      <c r="R85" s="745"/>
      <c r="S85" s="745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44" t="s">
        <v>4390</v>
      </c>
      <c r="Q93" s="745"/>
      <c r="R93" s="745"/>
      <c r="S93" s="745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48"/>
      <c r="Q169" s="749"/>
      <c r="R169" s="749"/>
      <c r="S169" s="749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46" t="s">
        <v>4688</v>
      </c>
      <c r="Q182" s="747"/>
      <c r="R182" s="747"/>
      <c r="S182" s="747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5823</v>
      </c>
      <c r="I312" s="642"/>
      <c r="J312" s="642" t="s">
        <v>5824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5825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5821</v>
      </c>
      <c r="I314" s="688" t="s">
        <v>202</v>
      </c>
      <c r="J314" s="688" t="s">
        <v>5822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5766</v>
      </c>
      <c r="G315" s="472" t="s">
        <v>5718</v>
      </c>
      <c r="H315" s="466" t="s">
        <v>5719</v>
      </c>
      <c r="I315" s="466" t="s">
        <v>5767</v>
      </c>
      <c r="J315" s="466"/>
      <c r="K315" s="136" t="s">
        <v>4508</v>
      </c>
      <c r="L315" s="472" t="s">
        <v>5773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5803</v>
      </c>
      <c r="G316" s="472" t="s">
        <v>5805</v>
      </c>
      <c r="H316" s="466" t="s">
        <v>5804</v>
      </c>
      <c r="I316" s="467" t="s">
        <v>5779</v>
      </c>
      <c r="J316" s="466"/>
      <c r="K316" s="136" t="s">
        <v>4508</v>
      </c>
      <c r="L316" s="472" t="s">
        <v>5773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5768</v>
      </c>
      <c r="E317" s="467" t="s">
        <v>5769</v>
      </c>
      <c r="F317" s="467" t="s">
        <v>5770</v>
      </c>
      <c r="G317" s="472" t="s">
        <v>5771</v>
      </c>
      <c r="H317" s="466" t="s">
        <v>5772</v>
      </c>
      <c r="I317" s="466" t="s">
        <v>5743</v>
      </c>
      <c r="J317" s="466" t="s">
        <v>5788</v>
      </c>
      <c r="K317" s="136" t="s">
        <v>181</v>
      </c>
      <c r="L317" s="472" t="s">
        <v>5745</v>
      </c>
      <c r="M317" s="468">
        <v>3</v>
      </c>
      <c r="N317" s="467" t="s">
        <v>5774</v>
      </c>
      <c r="O317" s="586" t="s">
        <v>5789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5838</v>
      </c>
      <c r="I318" s="467" t="s">
        <v>5839</v>
      </c>
      <c r="J318" s="466" t="s">
        <v>5840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5792</v>
      </c>
      <c r="I323" s="467"/>
      <c r="J323" s="467" t="s">
        <v>5776</v>
      </c>
      <c r="K323" s="136" t="s">
        <v>5749</v>
      </c>
      <c r="L323" s="472" t="s">
        <v>5750</v>
      </c>
      <c r="M323" s="468">
        <v>2</v>
      </c>
      <c r="N323" s="688"/>
      <c r="O323" s="440" t="s">
        <v>5791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5841</v>
      </c>
      <c r="H327" s="466" t="s">
        <v>5842</v>
      </c>
      <c r="I327" s="467" t="s">
        <v>5843</v>
      </c>
      <c r="J327" s="466"/>
      <c r="K327" s="136" t="s">
        <v>5844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5793</v>
      </c>
      <c r="D328" s="3" t="s">
        <v>5794</v>
      </c>
      <c r="E328" s="467" t="s">
        <v>5795</v>
      </c>
      <c r="F328" s="467" t="s">
        <v>5796</v>
      </c>
      <c r="G328" s="472" t="s">
        <v>5797</v>
      </c>
      <c r="H328" s="466" t="s">
        <v>5826</v>
      </c>
      <c r="I328" s="467" t="s">
        <v>5798</v>
      </c>
      <c r="J328" s="466" t="s">
        <v>5799</v>
      </c>
      <c r="K328" s="136"/>
      <c r="L328" s="472">
        <v>2313</v>
      </c>
      <c r="M328" s="468">
        <v>2</v>
      </c>
      <c r="N328" s="688"/>
      <c r="O328" s="449" t="s">
        <v>5800</v>
      </c>
      <c r="P328" s="576"/>
    </row>
    <row r="329" spans="1:16" s="17" customFormat="1" ht="33" customHeight="1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1036" t="s">
        <v>5803</v>
      </c>
      <c r="G329" s="389" t="s">
        <v>5805</v>
      </c>
      <c r="H329" s="238" t="s">
        <v>5893</v>
      </c>
      <c r="I329" s="316"/>
      <c r="J329" s="316" t="s">
        <v>5894</v>
      </c>
      <c r="K329" s="239"/>
      <c r="L329" s="389"/>
      <c r="M329" s="408"/>
      <c r="N329" s="31" t="s">
        <v>5778</v>
      </c>
      <c r="O329" s="442" t="s">
        <v>5895</v>
      </c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688" t="s">
        <v>5755</v>
      </c>
      <c r="G330" s="16" t="s">
        <v>5756</v>
      </c>
      <c r="H330" s="689" t="s">
        <v>5890</v>
      </c>
      <c r="I330" s="688" t="s">
        <v>5828</v>
      </c>
      <c r="J330" s="689"/>
      <c r="K330" s="125" t="s">
        <v>5829</v>
      </c>
      <c r="L330" s="16" t="s">
        <v>5830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5780</v>
      </c>
      <c r="D332" s="4" t="s">
        <v>5768</v>
      </c>
      <c r="E332" s="31" t="s">
        <v>5781</v>
      </c>
      <c r="F332" s="31">
        <v>124001</v>
      </c>
      <c r="G332" s="16" t="s">
        <v>5782</v>
      </c>
      <c r="H332" s="193" t="s">
        <v>5833</v>
      </c>
      <c r="I332" s="31" t="s">
        <v>5831</v>
      </c>
      <c r="J332" s="31" t="s">
        <v>5832</v>
      </c>
      <c r="K332" s="125" t="s">
        <v>5783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5761</v>
      </c>
      <c r="D337" s="4" t="s">
        <v>5768</v>
      </c>
      <c r="E337" s="688" t="s">
        <v>5834</v>
      </c>
      <c r="F337" s="688" t="s">
        <v>5835</v>
      </c>
      <c r="G337" s="16" t="s">
        <v>5836</v>
      </c>
      <c r="H337" s="689" t="s">
        <v>5837</v>
      </c>
      <c r="I337" s="31" t="s">
        <v>5831</v>
      </c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/>
      <c r="D338" s="3"/>
      <c r="E338" s="467"/>
      <c r="F338" s="688"/>
      <c r="G338" s="16"/>
      <c r="H338" s="689"/>
      <c r="I338" s="688"/>
      <c r="J338" s="689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5761</v>
      </c>
      <c r="D339" s="4" t="s">
        <v>5768</v>
      </c>
      <c r="E339" s="31" t="s">
        <v>5834</v>
      </c>
      <c r="F339" s="31" t="s">
        <v>5835</v>
      </c>
      <c r="G339" s="16" t="s">
        <v>5836</v>
      </c>
      <c r="H339" s="193" t="s">
        <v>5837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5610</v>
      </c>
      <c r="F340" s="31"/>
      <c r="G340" s="16"/>
      <c r="H340" s="193" t="s">
        <v>5614</v>
      </c>
      <c r="I340" s="31" t="s">
        <v>5611</v>
      </c>
      <c r="J340" s="193"/>
      <c r="K340" s="125"/>
      <c r="L340" s="16" t="s">
        <v>5612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5786</v>
      </c>
      <c r="E341" s="467" t="s">
        <v>5801</v>
      </c>
      <c r="F341" s="466" t="s">
        <v>5785</v>
      </c>
      <c r="G341" s="472"/>
      <c r="H341" s="466" t="s">
        <v>5784</v>
      </c>
      <c r="I341" s="467" t="s">
        <v>5777</v>
      </c>
      <c r="J341" s="467"/>
      <c r="K341" s="136"/>
      <c r="L341" s="472" t="s">
        <v>5745</v>
      </c>
      <c r="M341" s="8"/>
      <c r="N341" s="31"/>
      <c r="O341" s="444" t="s">
        <v>5802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89" t="s">
        <v>5739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5787</v>
      </c>
      <c r="I344" s="316" t="s">
        <v>5779</v>
      </c>
      <c r="J344" s="316" t="s">
        <v>5730</v>
      </c>
      <c r="K344" s="239" t="s">
        <v>15</v>
      </c>
      <c r="L344" s="389" t="s">
        <v>4639</v>
      </c>
      <c r="M344" s="408"/>
      <c r="N344" s="31"/>
      <c r="O344" s="440" t="s">
        <v>5751</v>
      </c>
      <c r="P344" s="576"/>
    </row>
    <row r="345" spans="1:16" s="17" customFormat="1" ht="33" customHeight="1">
      <c r="A345" s="436"/>
      <c r="B345" s="403">
        <v>46171</v>
      </c>
      <c r="C345" s="4" t="s">
        <v>163</v>
      </c>
      <c r="D345" s="4" t="s">
        <v>2202</v>
      </c>
      <c r="E345" s="688" t="s">
        <v>381</v>
      </c>
      <c r="F345" s="688" t="s">
        <v>2916</v>
      </c>
      <c r="G345" s="16" t="s">
        <v>2917</v>
      </c>
      <c r="H345" s="689" t="s">
        <v>5731</v>
      </c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5757</v>
      </c>
      <c r="E363" s="291" t="s">
        <v>5758</v>
      </c>
      <c r="F363" s="626" t="s">
        <v>5759</v>
      </c>
      <c r="G363" s="16" t="s">
        <v>5760</v>
      </c>
      <c r="H363" s="630" t="s">
        <v>5762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5757</v>
      </c>
      <c r="E365" s="291" t="s">
        <v>5758</v>
      </c>
      <c r="F365" s="688" t="s">
        <v>5759</v>
      </c>
      <c r="G365" s="16" t="s">
        <v>5760</v>
      </c>
      <c r="H365" s="689" t="s">
        <v>5762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5635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5636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5757</v>
      </c>
      <c r="E382" s="291" t="s">
        <v>5758</v>
      </c>
      <c r="F382" s="688" t="s">
        <v>5765</v>
      </c>
      <c r="G382" s="16" t="s">
        <v>5764</v>
      </c>
      <c r="H382" s="630" t="s">
        <v>5763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5637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5638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5639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5640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5641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0" t="s">
        <v>161</v>
      </c>
      <c r="B1" s="860" t="s">
        <v>162</v>
      </c>
      <c r="C1" s="858" t="s">
        <v>1</v>
      </c>
      <c r="D1" s="858" t="s">
        <v>2</v>
      </c>
      <c r="E1" s="858" t="s">
        <v>3</v>
      </c>
      <c r="F1" s="27" t="s">
        <v>54</v>
      </c>
      <c r="G1" s="858" t="s">
        <v>5</v>
      </c>
      <c r="H1" s="858" t="s">
        <v>6</v>
      </c>
      <c r="I1" s="858" t="s">
        <v>7</v>
      </c>
      <c r="J1" s="858" t="s">
        <v>55</v>
      </c>
      <c r="K1" s="862" t="s">
        <v>483</v>
      </c>
      <c r="L1" s="864" t="s">
        <v>56</v>
      </c>
      <c r="M1" s="856" t="s">
        <v>57</v>
      </c>
      <c r="N1" s="858" t="s">
        <v>58</v>
      </c>
    </row>
    <row r="2" spans="1:14">
      <c r="A2" s="861"/>
      <c r="B2" s="861"/>
      <c r="C2" s="859"/>
      <c r="D2" s="859"/>
      <c r="E2" s="859"/>
      <c r="F2" s="28" t="s">
        <v>59</v>
      </c>
      <c r="G2" s="859"/>
      <c r="H2" s="859"/>
      <c r="I2" s="859"/>
      <c r="J2" s="859"/>
      <c r="K2" s="863"/>
      <c r="L2" s="865"/>
      <c r="M2" s="857"/>
      <c r="N2" s="859"/>
    </row>
    <row r="3" spans="1:14" ht="27">
      <c r="A3" s="55">
        <v>1</v>
      </c>
      <c r="B3" s="83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4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3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0"/>
      <c r="C9" s="86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0"/>
      <c r="C10" s="86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0"/>
      <c r="C12" s="86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0"/>
      <c r="C13" s="86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0"/>
      <c r="C14" s="86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0"/>
      <c r="C15" s="86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0"/>
      <c r="C16" s="86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4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3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4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3"/>
    </row>
    <row r="24" spans="1:17" ht="27">
      <c r="A24" s="55">
        <v>4</v>
      </c>
      <c r="B24" s="839" t="s">
        <v>21</v>
      </c>
      <c r="C24" s="84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27" t="s">
        <v>85</v>
      </c>
      <c r="K24" s="842" t="s">
        <v>41</v>
      </c>
      <c r="L24" s="6" t="s">
        <v>15</v>
      </c>
      <c r="M24" s="869">
        <v>180000</v>
      </c>
      <c r="N24" s="45" t="s">
        <v>194</v>
      </c>
    </row>
    <row r="25" spans="1:17" ht="27">
      <c r="A25" s="55">
        <v>4</v>
      </c>
      <c r="B25" s="840"/>
      <c r="C25" s="84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28"/>
      <c r="K25" s="843"/>
      <c r="L25" s="6" t="s">
        <v>15</v>
      </c>
      <c r="M25" s="870"/>
      <c r="N25" s="45" t="s">
        <v>194</v>
      </c>
    </row>
    <row r="26" spans="1:17">
      <c r="A26" s="55">
        <v>4</v>
      </c>
      <c r="B26" s="840"/>
      <c r="C26" s="84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2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41"/>
      <c r="C27" s="84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2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3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0"/>
      <c r="C32" s="84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0"/>
      <c r="C33" s="84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4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39" t="s">
        <v>20</v>
      </c>
      <c r="C35" s="84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41"/>
      <c r="C36" s="84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39" t="s">
        <v>20</v>
      </c>
      <c r="C37" s="84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41"/>
      <c r="C38" s="84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7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76"/>
      <c r="C40" s="84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76"/>
      <c r="C41" s="84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7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3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34"/>
      <c r="C45" s="83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34"/>
      <c r="C46" s="87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3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7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7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7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7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7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7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3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4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3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3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3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39" t="s">
        <v>64</v>
      </c>
      <c r="C67" s="84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42" t="s">
        <v>435</v>
      </c>
      <c r="L67" s="6" t="s">
        <v>436</v>
      </c>
      <c r="M67" s="869">
        <v>750000</v>
      </c>
      <c r="N67" s="45" t="s">
        <v>446</v>
      </c>
    </row>
    <row r="68" spans="1:15" ht="27">
      <c r="A68" s="55">
        <v>19</v>
      </c>
      <c r="B68" s="840"/>
      <c r="C68" s="84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43"/>
      <c r="L68" s="6" t="s">
        <v>411</v>
      </c>
      <c r="M68" s="870"/>
      <c r="N68" s="45" t="s">
        <v>445</v>
      </c>
    </row>
    <row r="69" spans="1:15">
      <c r="A69" s="55">
        <v>19</v>
      </c>
      <c r="B69" s="840"/>
      <c r="C69" s="84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4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3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4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3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4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3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4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3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0"/>
      <c r="C83" s="84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0"/>
      <c r="C84" s="84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0"/>
      <c r="C85" s="84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0"/>
      <c r="C86" s="84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4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3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4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3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0"/>
      <c r="C93" s="84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0"/>
      <c r="C94" s="84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0"/>
      <c r="C95" s="84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4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39" t="s">
        <v>21</v>
      </c>
      <c r="C99" s="84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0"/>
      <c r="C100" s="84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4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3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4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3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4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07" t="s">
        <v>658</v>
      </c>
      <c r="C110" s="80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32"/>
      <c r="C111" s="85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32"/>
      <c r="C112" s="85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54"/>
      <c r="C113" s="85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5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32"/>
      <c r="C115" s="80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08"/>
      <c r="C116" s="85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39" t="s">
        <v>20</v>
      </c>
      <c r="C117" s="84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27" t="s">
        <v>168</v>
      </c>
      <c r="K117" s="842" t="s">
        <v>645</v>
      </c>
      <c r="L117" s="57" t="s">
        <v>209</v>
      </c>
      <c r="M117" s="829">
        <f>250000*5</f>
        <v>1250000</v>
      </c>
      <c r="N117" s="839" t="s">
        <v>121</v>
      </c>
    </row>
    <row r="118" spans="1:14">
      <c r="A118" s="101">
        <v>28</v>
      </c>
      <c r="B118" s="840"/>
      <c r="C118" s="84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51"/>
      <c r="K118" s="850"/>
      <c r="L118" s="57" t="s">
        <v>209</v>
      </c>
      <c r="M118" s="830"/>
      <c r="N118" s="840"/>
    </row>
    <row r="119" spans="1:14">
      <c r="A119" s="101">
        <v>28</v>
      </c>
      <c r="B119" s="840"/>
      <c r="C119" s="84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28"/>
      <c r="K119" s="843"/>
      <c r="L119" s="57" t="s">
        <v>209</v>
      </c>
      <c r="M119" s="831"/>
      <c r="N119" s="841"/>
    </row>
    <row r="120" spans="1:14">
      <c r="A120" s="101">
        <v>28</v>
      </c>
      <c r="B120" s="841"/>
      <c r="C120" s="84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07" t="s">
        <v>307</v>
      </c>
      <c r="C122" s="80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32"/>
      <c r="C123" s="83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07" t="s">
        <v>664</v>
      </c>
      <c r="K123" s="833" t="s">
        <v>707</v>
      </c>
      <c r="L123" s="110" t="s">
        <v>324</v>
      </c>
      <c r="M123" s="836" t="s">
        <v>708</v>
      </c>
      <c r="N123" s="110"/>
    </row>
    <row r="124" spans="1:14">
      <c r="A124" s="55">
        <v>29</v>
      </c>
      <c r="B124" s="832"/>
      <c r="C124" s="83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32"/>
      <c r="K124" s="834"/>
      <c r="L124" s="110" t="s">
        <v>324</v>
      </c>
      <c r="M124" s="837"/>
      <c r="N124" s="110"/>
    </row>
    <row r="125" spans="1:14">
      <c r="A125" s="55">
        <v>29</v>
      </c>
      <c r="B125" s="832"/>
      <c r="C125" s="83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08"/>
      <c r="K125" s="835"/>
      <c r="L125" s="110" t="s">
        <v>324</v>
      </c>
      <c r="M125" s="838"/>
      <c r="N125" s="110"/>
    </row>
    <row r="126" spans="1:14">
      <c r="A126" s="55">
        <v>29</v>
      </c>
      <c r="B126" s="808"/>
      <c r="C126" s="80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0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3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3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32"/>
      <c r="C130" s="80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32"/>
      <c r="C131" s="80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32"/>
      <c r="C132" s="80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32"/>
      <c r="C133" s="80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0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39" t="s">
        <v>618</v>
      </c>
      <c r="C135" s="84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0"/>
      <c r="C136" s="84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0"/>
      <c r="C137" s="84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41"/>
      <c r="C138" s="84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3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0"/>
      <c r="C140" s="84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0"/>
      <c r="C141" s="84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9" t="s">
        <v>735</v>
      </c>
    </row>
    <row r="142" spans="1:14">
      <c r="A142" s="55">
        <v>30</v>
      </c>
      <c r="B142" s="84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3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4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39" t="s">
        <v>20</v>
      </c>
      <c r="C146" s="846" t="s">
        <v>869</v>
      </c>
      <c r="D146" s="842" t="s">
        <v>19</v>
      </c>
      <c r="E146" s="84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41"/>
      <c r="C147" s="848"/>
      <c r="D147" s="843"/>
      <c r="E147" s="84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39" t="s">
        <v>123</v>
      </c>
      <c r="C148" s="846" t="s">
        <v>782</v>
      </c>
      <c r="D148" s="842" t="s">
        <v>19</v>
      </c>
      <c r="E148" s="84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41"/>
      <c r="C149" s="848"/>
      <c r="D149" s="843"/>
      <c r="E149" s="84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3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3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9" t="s">
        <v>247</v>
      </c>
    </row>
    <row r="154" spans="1:14" ht="27">
      <c r="A154" s="55">
        <v>34</v>
      </c>
      <c r="B154" s="840"/>
      <c r="C154" s="84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0"/>
    </row>
    <row r="155" spans="1:14" ht="27">
      <c r="A155" s="55">
        <v>34</v>
      </c>
      <c r="B155" s="840"/>
      <c r="C155" s="84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1"/>
    </row>
    <row r="156" spans="1:14" ht="27">
      <c r="A156" s="55">
        <v>34</v>
      </c>
      <c r="B156" s="840"/>
      <c r="C156" s="84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9" t="s">
        <v>825</v>
      </c>
    </row>
    <row r="157" spans="1:14" ht="27">
      <c r="A157" s="55">
        <v>34</v>
      </c>
      <c r="B157" s="840"/>
      <c r="C157" s="84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0"/>
    </row>
    <row r="158" spans="1:14" ht="27">
      <c r="A158" s="55">
        <v>34</v>
      </c>
      <c r="B158" s="840"/>
      <c r="C158" s="84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0"/>
    </row>
    <row r="159" spans="1:14" ht="27">
      <c r="A159" s="55">
        <v>34</v>
      </c>
      <c r="B159" s="840"/>
      <c r="C159" s="84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0"/>
    </row>
    <row r="160" spans="1:14" ht="27">
      <c r="A160" s="55">
        <v>34</v>
      </c>
      <c r="B160" s="8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0"/>
    </row>
    <row r="161" spans="1:15" ht="27">
      <c r="A161" s="55">
        <v>34</v>
      </c>
      <c r="B161" s="8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1"/>
    </row>
    <row r="162" spans="1:15" ht="27">
      <c r="A162" s="55">
        <v>34</v>
      </c>
      <c r="B162" s="84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3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0" t="s">
        <v>849</v>
      </c>
      <c r="C167" s="77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61"/>
      <c r="C168" s="77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61"/>
      <c r="C169" s="77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62"/>
      <c r="C170" s="78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6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6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6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6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6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61"/>
      <c r="C178" s="77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62"/>
      <c r="C179" s="78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61"/>
      <c r="C181" s="84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27" t="s">
        <v>838</v>
      </c>
      <c r="K181" s="842" t="s">
        <v>985</v>
      </c>
      <c r="L181" s="6" t="s">
        <v>910</v>
      </c>
      <c r="M181" s="829">
        <f>180000+200000+200000</f>
        <v>580000</v>
      </c>
      <c r="N181" s="45" t="s">
        <v>806</v>
      </c>
    </row>
    <row r="182" spans="1:14">
      <c r="A182" s="55">
        <v>36</v>
      </c>
      <c r="B182" s="761"/>
      <c r="C182" s="84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28"/>
      <c r="K182" s="843"/>
      <c r="L182" s="6" t="s">
        <v>911</v>
      </c>
      <c r="M182" s="831"/>
      <c r="N182" s="45" t="s">
        <v>806</v>
      </c>
    </row>
    <row r="183" spans="1:14">
      <c r="A183" s="55">
        <v>36</v>
      </c>
      <c r="B183" s="761"/>
      <c r="C183" s="84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6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6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61"/>
      <c r="C187" s="77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62"/>
      <c r="C188" s="78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6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6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0" t="s">
        <v>939</v>
      </c>
      <c r="C192" s="77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61"/>
      <c r="C193" s="78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6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61"/>
      <c r="C196" s="84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61"/>
      <c r="C197" s="84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61"/>
      <c r="C198" s="84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62"/>
      <c r="C199" s="84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0" t="s">
        <v>20</v>
      </c>
      <c r="C200" s="77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61"/>
      <c r="C201" s="78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61"/>
      <c r="C202" s="77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62"/>
      <c r="C203" s="78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6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6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0" t="s">
        <v>20</v>
      </c>
      <c r="C207" s="77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61"/>
      <c r="C208" s="78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6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6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6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6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6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6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0" t="s">
        <v>20</v>
      </c>
      <c r="C218" s="77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61"/>
      <c r="C219" s="78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6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6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6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6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9" t="s">
        <v>247</v>
      </c>
    </row>
    <row r="226" spans="1:14">
      <c r="A226" s="55">
        <v>44</v>
      </c>
      <c r="B226" s="76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0"/>
    </row>
    <row r="227" spans="1:14">
      <c r="A227" s="55">
        <v>44</v>
      </c>
      <c r="B227" s="76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1"/>
    </row>
    <row r="228" spans="1:14">
      <c r="A228" s="55">
        <v>44</v>
      </c>
      <c r="B228" s="76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6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6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6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6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6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6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6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6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6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6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6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61"/>
      <c r="C249" s="77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9" t="s">
        <v>247</v>
      </c>
    </row>
    <row r="250" spans="1:14">
      <c r="A250" s="55">
        <v>48</v>
      </c>
      <c r="B250" s="762"/>
      <c r="C250" s="78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1"/>
    </row>
    <row r="251" spans="1:14">
      <c r="A251" s="55">
        <v>48</v>
      </c>
      <c r="B251" s="76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6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6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6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61"/>
      <c r="C256" s="77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9" t="s">
        <v>247</v>
      </c>
    </row>
    <row r="257" spans="1:14">
      <c r="A257" s="55">
        <v>49</v>
      </c>
      <c r="B257" s="762"/>
      <c r="C257" s="78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1"/>
    </row>
    <row r="258" spans="1:14" ht="40.5">
      <c r="A258" s="55">
        <v>49</v>
      </c>
      <c r="B258" s="76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6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7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7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56" t="s">
        <v>1103</v>
      </c>
    </row>
    <row r="262" spans="1:14" ht="25.5">
      <c r="A262" s="132">
        <v>49</v>
      </c>
      <c r="B262" s="88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57"/>
    </row>
    <row r="263" spans="1:14" ht="16.5" customHeight="1">
      <c r="A263" s="55">
        <v>50</v>
      </c>
      <c r="B263" s="760" t="s">
        <v>20</v>
      </c>
      <c r="C263" s="77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61"/>
      <c r="C264" s="77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61"/>
      <c r="C265" s="77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61"/>
      <c r="C266" s="77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62"/>
      <c r="C267" s="78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78" t="s">
        <v>658</v>
      </c>
      <c r="C268" s="75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79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0"/>
      <c r="C270" s="75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0" t="s">
        <v>20</v>
      </c>
      <c r="C271" s="77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61"/>
      <c r="C272" s="77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61"/>
      <c r="C273" s="78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6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61"/>
      <c r="C275" s="77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61"/>
      <c r="C276" s="78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6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85" t="s">
        <v>1196</v>
      </c>
      <c r="B278" s="886"/>
      <c r="C278" s="886"/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7"/>
    </row>
    <row r="279" spans="1:15" ht="16.5" customHeight="1">
      <c r="A279" s="55">
        <v>1</v>
      </c>
      <c r="B279" s="760" t="s">
        <v>20</v>
      </c>
      <c r="C279" s="77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62"/>
      <c r="C280" s="78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0" t="s">
        <v>64</v>
      </c>
      <c r="C281" s="77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61"/>
      <c r="C282" s="78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61"/>
      <c r="C283" s="77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27" t="s">
        <v>1174</v>
      </c>
      <c r="K283" s="88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61"/>
      <c r="C284" s="78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28"/>
      <c r="K284" s="88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6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6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8" t="s">
        <v>123</v>
      </c>
      <c r="C287" s="75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89"/>
      <c r="C288" s="75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78" t="s">
        <v>64</v>
      </c>
      <c r="C289" s="75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79"/>
      <c r="C290" s="88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79"/>
      <c r="C291" s="88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6" t="s">
        <v>638</v>
      </c>
      <c r="K291" s="817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879"/>
      <c r="C292" s="88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7"/>
      <c r="K292" s="818"/>
      <c r="L292" s="148" t="s">
        <v>309</v>
      </c>
      <c r="M292" s="767"/>
      <c r="N292" s="148" t="s">
        <v>723</v>
      </c>
    </row>
    <row r="293" spans="1:15">
      <c r="A293" s="55">
        <v>2</v>
      </c>
      <c r="B293" s="879"/>
      <c r="C293" s="88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79"/>
      <c r="C294" s="75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0" t="s">
        <v>20</v>
      </c>
      <c r="C296" s="77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61"/>
      <c r="C297" s="77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62"/>
      <c r="C298" s="78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6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6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0" t="s">
        <v>20</v>
      </c>
      <c r="C302" s="77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61"/>
      <c r="C303" s="77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61"/>
      <c r="C304" s="77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61"/>
      <c r="C305" s="77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62"/>
      <c r="C306" s="78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0" t="s">
        <v>20</v>
      </c>
      <c r="C308" s="77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62"/>
      <c r="C309" s="78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6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6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78" t="s">
        <v>307</v>
      </c>
      <c r="C313" s="75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0"/>
      <c r="C314" s="75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0" t="s">
        <v>20</v>
      </c>
      <c r="C316" s="77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61"/>
      <c r="C317" s="77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62"/>
      <c r="C318" s="78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6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6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0" t="s">
        <v>20</v>
      </c>
      <c r="C322" s="77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62"/>
      <c r="C323" s="78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6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6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6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6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0" t="s">
        <v>20</v>
      </c>
      <c r="C329" s="77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61"/>
      <c r="C330" s="77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62"/>
      <c r="C331" s="78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6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0" t="s">
        <v>20</v>
      </c>
      <c r="C334" s="77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61"/>
      <c r="C335" s="77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61"/>
      <c r="C336" s="77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62"/>
      <c r="C337" s="78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6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6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6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0" t="s">
        <v>20</v>
      </c>
      <c r="C342" s="77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61"/>
      <c r="C343" s="78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6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6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6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6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61"/>
      <c r="C349" s="84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62"/>
      <c r="C350" s="84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7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7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7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7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7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7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7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6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6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6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6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6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6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6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6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6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6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6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78" t="s">
        <v>307</v>
      </c>
      <c r="C375" s="128" t="s">
        <v>1531</v>
      </c>
      <c r="D375" s="756" t="s">
        <v>306</v>
      </c>
      <c r="E375" s="756" t="s">
        <v>322</v>
      </c>
      <c r="F375" s="756" t="s">
        <v>307</v>
      </c>
      <c r="G375" s="758">
        <v>4266</v>
      </c>
      <c r="H375" s="756" t="s">
        <v>640</v>
      </c>
      <c r="I375" s="758" t="s">
        <v>1533</v>
      </c>
      <c r="J375" s="756" t="s">
        <v>1534</v>
      </c>
      <c r="K375" s="890" t="s">
        <v>692</v>
      </c>
      <c r="L375" s="756" t="s">
        <v>324</v>
      </c>
      <c r="M375" s="766" t="s">
        <v>1535</v>
      </c>
      <c r="N375" s="756" t="s">
        <v>425</v>
      </c>
    </row>
    <row r="376" spans="1:19">
      <c r="A376" s="199" t="s">
        <v>1539</v>
      </c>
      <c r="B376" s="879"/>
      <c r="C376" s="129" t="s">
        <v>1532</v>
      </c>
      <c r="D376" s="757"/>
      <c r="E376" s="757"/>
      <c r="F376" s="757"/>
      <c r="G376" s="759"/>
      <c r="H376" s="757"/>
      <c r="I376" s="759"/>
      <c r="J376" s="757"/>
      <c r="K376" s="891"/>
      <c r="L376" s="757"/>
      <c r="M376" s="767"/>
      <c r="N376" s="757"/>
    </row>
    <row r="377" spans="1:19">
      <c r="A377" s="199" t="s">
        <v>1539</v>
      </c>
      <c r="B377" s="879"/>
      <c r="C377" s="128" t="s">
        <v>1536</v>
      </c>
      <c r="D377" s="756" t="s">
        <v>306</v>
      </c>
      <c r="E377" s="756" t="s">
        <v>322</v>
      </c>
      <c r="F377" s="756" t="s">
        <v>307</v>
      </c>
      <c r="G377" s="758">
        <v>3306</v>
      </c>
      <c r="H377" s="756" t="s">
        <v>1153</v>
      </c>
      <c r="I377" s="758" t="s">
        <v>1538</v>
      </c>
      <c r="J377" s="756" t="s">
        <v>1534</v>
      </c>
      <c r="K377" s="890" t="s">
        <v>692</v>
      </c>
      <c r="L377" s="756" t="s">
        <v>324</v>
      </c>
      <c r="M377" s="766" t="s">
        <v>1535</v>
      </c>
      <c r="N377" s="756" t="s">
        <v>425</v>
      </c>
    </row>
    <row r="378" spans="1:19">
      <c r="A378" s="199" t="s">
        <v>1539</v>
      </c>
      <c r="B378" s="880"/>
      <c r="C378" s="129" t="s">
        <v>1537</v>
      </c>
      <c r="D378" s="757"/>
      <c r="E378" s="757"/>
      <c r="F378" s="757"/>
      <c r="G378" s="759"/>
      <c r="H378" s="757"/>
      <c r="I378" s="759"/>
      <c r="J378" s="757"/>
      <c r="K378" s="891"/>
      <c r="L378" s="757"/>
      <c r="M378" s="767"/>
      <c r="N378" s="757"/>
    </row>
    <row r="379" spans="1:19" ht="27" customHeight="1">
      <c r="A379" s="123">
        <v>15</v>
      </c>
      <c r="B379" s="76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6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6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6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6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6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6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6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6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6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6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6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6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6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6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6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6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6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6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52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21">
        <v>3306</v>
      </c>
      <c r="H403" s="815" t="s">
        <v>1153</v>
      </c>
      <c r="I403" s="821" t="s">
        <v>1749</v>
      </c>
      <c r="J403" s="815" t="s">
        <v>664</v>
      </c>
      <c r="K403" s="892" t="s">
        <v>1288</v>
      </c>
      <c r="L403" s="815" t="s">
        <v>324</v>
      </c>
      <c r="M403" s="819" t="s">
        <v>1750</v>
      </c>
      <c r="N403" s="815" t="s">
        <v>665</v>
      </c>
    </row>
    <row r="404" spans="1:14">
      <c r="A404" s="123">
        <v>18</v>
      </c>
      <c r="B404" s="753"/>
      <c r="C404" s="226" t="s">
        <v>1751</v>
      </c>
      <c r="D404" s="816"/>
      <c r="E404" s="816"/>
      <c r="F404" s="816"/>
      <c r="G404" s="822"/>
      <c r="H404" s="816"/>
      <c r="I404" s="822"/>
      <c r="J404" s="816"/>
      <c r="K404" s="893"/>
      <c r="L404" s="816"/>
      <c r="M404" s="820"/>
      <c r="N404" s="816"/>
    </row>
    <row r="405" spans="1:14" ht="22.5">
      <c r="A405" s="123">
        <v>18</v>
      </c>
      <c r="B405" s="7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53"/>
      <c r="C406" s="226" t="s">
        <v>1755</v>
      </c>
      <c r="D406" s="815" t="s">
        <v>306</v>
      </c>
      <c r="E406" s="815" t="s">
        <v>322</v>
      </c>
      <c r="F406" s="815" t="s">
        <v>307</v>
      </c>
      <c r="G406" s="821" t="s">
        <v>1756</v>
      </c>
      <c r="H406" s="815" t="s">
        <v>347</v>
      </c>
      <c r="I406" s="821" t="s">
        <v>1154</v>
      </c>
      <c r="J406" s="815" t="s">
        <v>664</v>
      </c>
      <c r="K406" s="815" t="s">
        <v>1757</v>
      </c>
      <c r="L406" s="815" t="s">
        <v>324</v>
      </c>
      <c r="M406" s="819" t="s">
        <v>1758</v>
      </c>
      <c r="N406" s="815" t="s">
        <v>665</v>
      </c>
    </row>
    <row r="407" spans="1:14">
      <c r="A407" s="123">
        <v>18</v>
      </c>
      <c r="B407" s="753"/>
      <c r="C407" s="226" t="s">
        <v>1759</v>
      </c>
      <c r="D407" s="816"/>
      <c r="E407" s="816"/>
      <c r="F407" s="816"/>
      <c r="G407" s="822"/>
      <c r="H407" s="816"/>
      <c r="I407" s="822"/>
      <c r="J407" s="816"/>
      <c r="K407" s="816"/>
      <c r="L407" s="816"/>
      <c r="M407" s="820"/>
      <c r="N407" s="816"/>
    </row>
    <row r="408" spans="1:14" ht="16.5" customHeight="1">
      <c r="A408" s="123">
        <v>18</v>
      </c>
      <c r="B408" s="753"/>
      <c r="C408" s="228" t="s">
        <v>1760</v>
      </c>
      <c r="D408" s="815" t="s">
        <v>306</v>
      </c>
      <c r="E408" s="815" t="s">
        <v>322</v>
      </c>
      <c r="F408" s="815" t="s">
        <v>307</v>
      </c>
      <c r="G408" s="821" t="s">
        <v>1761</v>
      </c>
      <c r="H408" s="815" t="s">
        <v>329</v>
      </c>
      <c r="I408" s="821" t="s">
        <v>1762</v>
      </c>
      <c r="J408" s="815" t="s">
        <v>664</v>
      </c>
      <c r="K408" s="815" t="s">
        <v>1763</v>
      </c>
      <c r="L408" s="815" t="s">
        <v>324</v>
      </c>
      <c r="M408" s="819" t="s">
        <v>1764</v>
      </c>
      <c r="N408" s="815" t="s">
        <v>1765</v>
      </c>
    </row>
    <row r="409" spans="1:14">
      <c r="A409" s="123">
        <v>18</v>
      </c>
      <c r="B409" s="754"/>
      <c r="C409" s="226" t="s">
        <v>1766</v>
      </c>
      <c r="D409" s="816"/>
      <c r="E409" s="816"/>
      <c r="F409" s="816"/>
      <c r="G409" s="822"/>
      <c r="H409" s="816"/>
      <c r="I409" s="822"/>
      <c r="J409" s="816"/>
      <c r="K409" s="816"/>
      <c r="L409" s="816"/>
      <c r="M409" s="820"/>
      <c r="N409" s="816"/>
    </row>
    <row r="410" spans="1:14" ht="16.5" customHeight="1">
      <c r="A410" s="123">
        <v>18</v>
      </c>
      <c r="B410" s="752" t="s">
        <v>253</v>
      </c>
      <c r="C410" s="823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823" t="s">
        <v>1769</v>
      </c>
      <c r="I410" s="227" t="s">
        <v>1770</v>
      </c>
      <c r="J410" s="815"/>
      <c r="K410" s="825" t="s">
        <v>1771</v>
      </c>
      <c r="L410" s="815" t="s">
        <v>309</v>
      </c>
      <c r="M410" s="819" t="s">
        <v>1764</v>
      </c>
      <c r="N410" s="815" t="s">
        <v>1772</v>
      </c>
    </row>
    <row r="411" spans="1:14">
      <c r="A411" s="123">
        <v>18</v>
      </c>
      <c r="B411" s="753"/>
      <c r="C411" s="824"/>
      <c r="D411" s="816"/>
      <c r="E411" s="816"/>
      <c r="F411" s="816"/>
      <c r="G411" s="816"/>
      <c r="H411" s="824"/>
      <c r="I411" s="227" t="s">
        <v>1773</v>
      </c>
      <c r="J411" s="816"/>
      <c r="K411" s="826"/>
      <c r="L411" s="816"/>
      <c r="M411" s="820"/>
      <c r="N411" s="816"/>
    </row>
    <row r="412" spans="1:14" ht="22.5">
      <c r="A412" s="123">
        <v>18</v>
      </c>
      <c r="B412" s="7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53"/>
      <c r="C413" s="823" t="s">
        <v>1776</v>
      </c>
      <c r="D413" s="823" t="s">
        <v>700</v>
      </c>
      <c r="E413" s="815" t="s">
        <v>675</v>
      </c>
      <c r="F413" s="823" t="s">
        <v>1777</v>
      </c>
      <c r="G413" s="823" t="s">
        <v>1778</v>
      </c>
      <c r="H413" s="823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9" t="s">
        <v>1780</v>
      </c>
      <c r="N413" s="815" t="s">
        <v>1781</v>
      </c>
    </row>
    <row r="414" spans="1:14">
      <c r="A414" s="123">
        <v>18</v>
      </c>
      <c r="B414" s="754"/>
      <c r="C414" s="824"/>
      <c r="D414" s="824"/>
      <c r="E414" s="816"/>
      <c r="F414" s="824"/>
      <c r="G414" s="824"/>
      <c r="H414" s="824"/>
      <c r="I414" s="26"/>
      <c r="J414" s="816"/>
      <c r="K414" s="816"/>
      <c r="L414" s="816"/>
      <c r="M414" s="820"/>
      <c r="N414" s="816"/>
    </row>
    <row r="415" spans="1:14" ht="16.5" customHeight="1">
      <c r="A415" s="123">
        <v>19</v>
      </c>
      <c r="B415" s="752" t="s">
        <v>20</v>
      </c>
      <c r="C415" s="148" t="s">
        <v>1794</v>
      </c>
      <c r="D415" s="756" t="s">
        <v>306</v>
      </c>
      <c r="E415" s="756" t="s">
        <v>322</v>
      </c>
      <c r="F415" s="756" t="s">
        <v>307</v>
      </c>
      <c r="G415" s="758" t="s">
        <v>1796</v>
      </c>
      <c r="H415" s="756" t="s">
        <v>1797</v>
      </c>
      <c r="I415" s="758" t="s">
        <v>1792</v>
      </c>
      <c r="J415" s="756" t="s">
        <v>664</v>
      </c>
      <c r="K415" s="148" t="s">
        <v>1520</v>
      </c>
      <c r="L415" s="756" t="s">
        <v>324</v>
      </c>
      <c r="M415" s="766" t="s">
        <v>1799</v>
      </c>
      <c r="N415" s="756" t="s">
        <v>665</v>
      </c>
    </row>
    <row r="416" spans="1:14">
      <c r="A416" s="123">
        <v>19</v>
      </c>
      <c r="B416" s="753"/>
      <c r="C416" s="148" t="s">
        <v>1795</v>
      </c>
      <c r="D416" s="757"/>
      <c r="E416" s="757"/>
      <c r="F416" s="757"/>
      <c r="G416" s="759"/>
      <c r="H416" s="757"/>
      <c r="I416" s="759"/>
      <c r="J416" s="757"/>
      <c r="K416" s="148" t="s">
        <v>1798</v>
      </c>
      <c r="L416" s="757"/>
      <c r="M416" s="767"/>
      <c r="N416" s="757"/>
    </row>
    <row r="417" spans="1:14">
      <c r="A417" s="123">
        <v>19</v>
      </c>
      <c r="B417" s="753"/>
      <c r="C417" s="148" t="s">
        <v>1800</v>
      </c>
      <c r="D417" s="756" t="s">
        <v>306</v>
      </c>
      <c r="E417" s="756" t="s">
        <v>322</v>
      </c>
      <c r="F417" s="756" t="s">
        <v>307</v>
      </c>
      <c r="G417" s="758" t="s">
        <v>1801</v>
      </c>
      <c r="H417" s="756" t="s">
        <v>1802</v>
      </c>
      <c r="I417" s="758" t="s">
        <v>1803</v>
      </c>
      <c r="J417" s="756" t="s">
        <v>664</v>
      </c>
      <c r="K417" s="817" t="s">
        <v>1155</v>
      </c>
      <c r="L417" s="756" t="s">
        <v>324</v>
      </c>
      <c r="M417" s="766" t="s">
        <v>1804</v>
      </c>
      <c r="N417" s="756" t="s">
        <v>665</v>
      </c>
    </row>
    <row r="418" spans="1:14">
      <c r="A418" s="123">
        <v>19</v>
      </c>
      <c r="B418" s="754"/>
      <c r="C418" s="148" t="s">
        <v>1795</v>
      </c>
      <c r="D418" s="757"/>
      <c r="E418" s="757"/>
      <c r="F418" s="757"/>
      <c r="G418" s="759"/>
      <c r="H418" s="757"/>
      <c r="I418" s="759"/>
      <c r="J418" s="757"/>
      <c r="K418" s="818"/>
      <c r="L418" s="757"/>
      <c r="M418" s="767"/>
      <c r="N418" s="757"/>
    </row>
    <row r="419" spans="1:14" ht="16.5" customHeight="1">
      <c r="A419" s="123">
        <v>19</v>
      </c>
      <c r="B419" s="752" t="s">
        <v>21</v>
      </c>
      <c r="C419" s="807" t="s">
        <v>1805</v>
      </c>
      <c r="D419" s="807" t="s">
        <v>700</v>
      </c>
      <c r="E419" s="756" t="s">
        <v>675</v>
      </c>
      <c r="F419" s="807" t="s">
        <v>1806</v>
      </c>
      <c r="G419" s="807" t="s">
        <v>1807</v>
      </c>
      <c r="H419" s="807" t="s">
        <v>662</v>
      </c>
      <c r="I419" s="758" t="s">
        <v>1808</v>
      </c>
      <c r="J419" s="756"/>
      <c r="K419" s="809" t="s">
        <v>1809</v>
      </c>
      <c r="L419" s="756" t="s">
        <v>309</v>
      </c>
      <c r="M419" s="766" t="s">
        <v>1810</v>
      </c>
      <c r="N419" s="149" t="s">
        <v>1811</v>
      </c>
    </row>
    <row r="420" spans="1:14">
      <c r="A420" s="123">
        <v>19</v>
      </c>
      <c r="B420" s="753"/>
      <c r="C420" s="808"/>
      <c r="D420" s="808"/>
      <c r="E420" s="757"/>
      <c r="F420" s="808"/>
      <c r="G420" s="808"/>
      <c r="H420" s="808"/>
      <c r="I420" s="759"/>
      <c r="J420" s="757"/>
      <c r="K420" s="810"/>
      <c r="L420" s="757"/>
      <c r="M420" s="767"/>
      <c r="N420" s="149" t="s">
        <v>1812</v>
      </c>
    </row>
    <row r="421" spans="1:14">
      <c r="A421" s="123">
        <v>19</v>
      </c>
      <c r="B421" s="753"/>
      <c r="C421" s="811" t="s">
        <v>1813</v>
      </c>
      <c r="D421" s="807" t="s">
        <v>700</v>
      </c>
      <c r="E421" s="756" t="s">
        <v>320</v>
      </c>
      <c r="F421" s="756" t="s">
        <v>337</v>
      </c>
      <c r="G421" s="807" t="s">
        <v>353</v>
      </c>
      <c r="H421" s="807" t="s">
        <v>1814</v>
      </c>
      <c r="I421" s="758" t="s">
        <v>1815</v>
      </c>
      <c r="J421" s="756" t="s">
        <v>638</v>
      </c>
      <c r="K421" s="813" t="s">
        <v>692</v>
      </c>
      <c r="L421" s="756" t="s">
        <v>309</v>
      </c>
      <c r="M421" s="766" t="s">
        <v>1816</v>
      </c>
      <c r="N421" s="148" t="s">
        <v>1817</v>
      </c>
    </row>
    <row r="422" spans="1:14">
      <c r="A422" s="123">
        <v>19</v>
      </c>
      <c r="B422" s="753"/>
      <c r="C422" s="812"/>
      <c r="D422" s="808"/>
      <c r="E422" s="757"/>
      <c r="F422" s="757"/>
      <c r="G422" s="808"/>
      <c r="H422" s="808"/>
      <c r="I422" s="759"/>
      <c r="J422" s="757"/>
      <c r="K422" s="814"/>
      <c r="L422" s="757"/>
      <c r="M422" s="767"/>
      <c r="N422" s="148" t="s">
        <v>1818</v>
      </c>
    </row>
    <row r="423" spans="1:14">
      <c r="A423" s="123">
        <v>19</v>
      </c>
      <c r="B423" s="7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53"/>
      <c r="C424" s="807" t="s">
        <v>1820</v>
      </c>
      <c r="D424" s="807" t="s">
        <v>700</v>
      </c>
      <c r="E424" s="756" t="s">
        <v>320</v>
      </c>
      <c r="F424" s="756" t="s">
        <v>709</v>
      </c>
      <c r="G424" s="756" t="s">
        <v>1768</v>
      </c>
      <c r="H424" s="807" t="s">
        <v>1821</v>
      </c>
      <c r="I424" s="149" t="s">
        <v>1822</v>
      </c>
      <c r="J424" s="756" t="s">
        <v>638</v>
      </c>
      <c r="K424" s="756" t="s">
        <v>692</v>
      </c>
      <c r="L424" s="756" t="s">
        <v>309</v>
      </c>
      <c r="M424" s="766" t="s">
        <v>1535</v>
      </c>
      <c r="N424" s="758" t="s">
        <v>1824</v>
      </c>
    </row>
    <row r="425" spans="1:14">
      <c r="A425" s="123">
        <v>19</v>
      </c>
      <c r="B425" s="753"/>
      <c r="C425" s="808"/>
      <c r="D425" s="808"/>
      <c r="E425" s="757"/>
      <c r="F425" s="757"/>
      <c r="G425" s="757"/>
      <c r="H425" s="808"/>
      <c r="I425" s="149" t="s">
        <v>1823</v>
      </c>
      <c r="J425" s="757"/>
      <c r="K425" s="757"/>
      <c r="L425" s="757"/>
      <c r="M425" s="767"/>
      <c r="N425" s="759"/>
    </row>
    <row r="426" spans="1:14">
      <c r="A426" s="123">
        <v>19</v>
      </c>
      <c r="B426" s="7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52" t="s">
        <v>2078</v>
      </c>
      <c r="C452" s="243" t="s">
        <v>1906</v>
      </c>
      <c r="D452" s="787" t="s">
        <v>306</v>
      </c>
      <c r="E452" s="787" t="s">
        <v>322</v>
      </c>
      <c r="F452" s="787" t="s">
        <v>307</v>
      </c>
      <c r="G452" s="787">
        <v>3306</v>
      </c>
      <c r="H452" s="787" t="s">
        <v>1153</v>
      </c>
      <c r="I452" s="787" t="s">
        <v>1907</v>
      </c>
      <c r="J452" s="787" t="s">
        <v>1111</v>
      </c>
      <c r="K452" s="787" t="s">
        <v>692</v>
      </c>
      <c r="L452" s="787" t="s">
        <v>324</v>
      </c>
      <c r="M452" s="785" t="s">
        <v>1908</v>
      </c>
      <c r="N452" s="787" t="s">
        <v>665</v>
      </c>
    </row>
    <row r="453" spans="1:14">
      <c r="A453" s="123">
        <v>23</v>
      </c>
      <c r="B453" s="753"/>
      <c r="C453" s="243" t="s">
        <v>1909</v>
      </c>
      <c r="D453" s="788"/>
      <c r="E453" s="788"/>
      <c r="F453" s="788"/>
      <c r="G453" s="788"/>
      <c r="H453" s="788"/>
      <c r="I453" s="788"/>
      <c r="J453" s="788"/>
      <c r="K453" s="788"/>
      <c r="L453" s="788"/>
      <c r="M453" s="786"/>
      <c r="N453" s="788"/>
    </row>
    <row r="454" spans="1:14">
      <c r="A454" s="123">
        <v>23</v>
      </c>
      <c r="B454" s="753"/>
      <c r="C454" s="243" t="s">
        <v>1910</v>
      </c>
      <c r="D454" s="787" t="s">
        <v>306</v>
      </c>
      <c r="E454" s="787" t="s">
        <v>322</v>
      </c>
      <c r="F454" s="787" t="s">
        <v>307</v>
      </c>
      <c r="G454" s="789" t="s">
        <v>1418</v>
      </c>
      <c r="H454" s="787" t="s">
        <v>1911</v>
      </c>
      <c r="I454" s="789" t="s">
        <v>1154</v>
      </c>
      <c r="J454" s="787" t="s">
        <v>664</v>
      </c>
      <c r="K454" s="803" t="s">
        <v>1763</v>
      </c>
      <c r="L454" s="787" t="s">
        <v>324</v>
      </c>
      <c r="M454" s="785" t="s">
        <v>1535</v>
      </c>
      <c r="N454" s="787" t="s">
        <v>665</v>
      </c>
    </row>
    <row r="455" spans="1:14">
      <c r="A455" s="123">
        <v>23</v>
      </c>
      <c r="B455" s="753"/>
      <c r="C455" s="243" t="s">
        <v>1909</v>
      </c>
      <c r="D455" s="788"/>
      <c r="E455" s="788"/>
      <c r="F455" s="788"/>
      <c r="G455" s="790"/>
      <c r="H455" s="788"/>
      <c r="I455" s="790"/>
      <c r="J455" s="788"/>
      <c r="K455" s="804"/>
      <c r="L455" s="788"/>
      <c r="M455" s="786"/>
      <c r="N455" s="788"/>
    </row>
    <row r="456" spans="1:14">
      <c r="A456" s="123">
        <v>23</v>
      </c>
      <c r="B456" s="7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53"/>
      <c r="C457" s="243" t="s">
        <v>1917</v>
      </c>
      <c r="D457" s="787" t="s">
        <v>306</v>
      </c>
      <c r="E457" s="787" t="s">
        <v>322</v>
      </c>
      <c r="F457" s="787" t="s">
        <v>307</v>
      </c>
      <c r="G457" s="789">
        <v>4267</v>
      </c>
      <c r="H457" s="787" t="s">
        <v>640</v>
      </c>
      <c r="I457" s="789" t="s">
        <v>1154</v>
      </c>
      <c r="J457" s="787" t="s">
        <v>664</v>
      </c>
      <c r="K457" s="803" t="s">
        <v>1763</v>
      </c>
      <c r="L457" s="787" t="s">
        <v>324</v>
      </c>
      <c r="M457" s="785" t="s">
        <v>1535</v>
      </c>
      <c r="N457" s="787" t="s">
        <v>665</v>
      </c>
    </row>
    <row r="458" spans="1:14">
      <c r="A458" s="123">
        <v>23</v>
      </c>
      <c r="B458" s="753"/>
      <c r="C458" s="243" t="s">
        <v>1918</v>
      </c>
      <c r="D458" s="788"/>
      <c r="E458" s="788"/>
      <c r="F458" s="788"/>
      <c r="G458" s="790"/>
      <c r="H458" s="788"/>
      <c r="I458" s="790"/>
      <c r="J458" s="788"/>
      <c r="K458" s="804"/>
      <c r="L458" s="788"/>
      <c r="M458" s="786"/>
      <c r="N458" s="788"/>
    </row>
    <row r="459" spans="1:14">
      <c r="A459" s="123">
        <v>23</v>
      </c>
      <c r="B459" s="753"/>
      <c r="C459" s="243" t="s">
        <v>1917</v>
      </c>
      <c r="D459" s="787" t="s">
        <v>306</v>
      </c>
      <c r="E459" s="787" t="s">
        <v>322</v>
      </c>
      <c r="F459" s="787" t="s">
        <v>307</v>
      </c>
      <c r="G459" s="789" t="s">
        <v>1919</v>
      </c>
      <c r="H459" s="787" t="s">
        <v>662</v>
      </c>
      <c r="I459" s="789" t="s">
        <v>1920</v>
      </c>
      <c r="J459" s="787" t="s">
        <v>349</v>
      </c>
      <c r="K459" s="805" t="s">
        <v>1916</v>
      </c>
      <c r="L459" s="787" t="s">
        <v>324</v>
      </c>
      <c r="M459" s="785" t="s">
        <v>1535</v>
      </c>
      <c r="N459" s="787" t="s">
        <v>425</v>
      </c>
    </row>
    <row r="460" spans="1:14">
      <c r="A460" s="123">
        <v>23</v>
      </c>
      <c r="B460" s="754"/>
      <c r="C460" s="244" t="s">
        <v>1918</v>
      </c>
      <c r="D460" s="788"/>
      <c r="E460" s="788"/>
      <c r="F460" s="788"/>
      <c r="G460" s="790"/>
      <c r="H460" s="788"/>
      <c r="I460" s="790"/>
      <c r="J460" s="788"/>
      <c r="K460" s="806"/>
      <c r="L460" s="788"/>
      <c r="M460" s="786"/>
      <c r="N460" s="788"/>
    </row>
    <row r="461" spans="1:14">
      <c r="A461" s="123">
        <v>23</v>
      </c>
      <c r="B461" s="7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53"/>
      <c r="C462" s="787" t="s">
        <v>1921</v>
      </c>
      <c r="D462" s="787" t="s">
        <v>311</v>
      </c>
      <c r="E462" s="787" t="s">
        <v>675</v>
      </c>
      <c r="F462" s="787" t="s">
        <v>1926</v>
      </c>
      <c r="G462" s="787" t="s">
        <v>1927</v>
      </c>
      <c r="H462" s="894" t="s">
        <v>347</v>
      </c>
      <c r="I462" s="242" t="s">
        <v>1928</v>
      </c>
      <c r="J462" s="787"/>
      <c r="K462" s="789" t="s">
        <v>1924</v>
      </c>
      <c r="L462" s="787" t="s">
        <v>309</v>
      </c>
      <c r="M462" s="785" t="s">
        <v>1828</v>
      </c>
      <c r="N462" s="789" t="s">
        <v>1925</v>
      </c>
    </row>
    <row r="463" spans="1:14">
      <c r="A463" s="123">
        <v>23</v>
      </c>
      <c r="B463" s="753"/>
      <c r="C463" s="788"/>
      <c r="D463" s="788"/>
      <c r="E463" s="788"/>
      <c r="F463" s="788"/>
      <c r="G463" s="788"/>
      <c r="H463" s="895"/>
      <c r="I463" s="242" t="s">
        <v>1929</v>
      </c>
      <c r="J463" s="788"/>
      <c r="K463" s="790"/>
      <c r="L463" s="788"/>
      <c r="M463" s="786"/>
      <c r="N463" s="790"/>
    </row>
    <row r="464" spans="1:14" ht="24">
      <c r="A464" s="123">
        <v>23</v>
      </c>
      <c r="B464" s="7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7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7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7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7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0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5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79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53"/>
      <c r="C687" s="148" t="s">
        <v>2726</v>
      </c>
      <c r="D687" s="756" t="s">
        <v>306</v>
      </c>
      <c r="E687" s="756" t="s">
        <v>322</v>
      </c>
      <c r="F687" s="756" t="s">
        <v>307</v>
      </c>
      <c r="G687" s="758" t="s">
        <v>2719</v>
      </c>
      <c r="H687" s="756" t="s">
        <v>1047</v>
      </c>
      <c r="I687" s="758" t="s">
        <v>704</v>
      </c>
      <c r="J687" s="756" t="s">
        <v>664</v>
      </c>
      <c r="K687" s="795" t="s">
        <v>1763</v>
      </c>
      <c r="L687" s="756"/>
      <c r="M687" s="766" t="s">
        <v>458</v>
      </c>
      <c r="N687" s="756" t="s">
        <v>665</v>
      </c>
    </row>
    <row r="688" spans="1:14">
      <c r="A688" s="123">
        <v>8</v>
      </c>
      <c r="B688" s="753"/>
      <c r="C688" s="148" t="s">
        <v>2727</v>
      </c>
      <c r="D688" s="757"/>
      <c r="E688" s="757"/>
      <c r="F688" s="757"/>
      <c r="G688" s="759"/>
      <c r="H688" s="757"/>
      <c r="I688" s="759"/>
      <c r="J688" s="757"/>
      <c r="K688" s="796"/>
      <c r="L688" s="757"/>
      <c r="M688" s="767"/>
      <c r="N688" s="757"/>
    </row>
    <row r="689" spans="1:14">
      <c r="A689" s="123">
        <v>8</v>
      </c>
      <c r="B689" s="7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53"/>
      <c r="C690" s="148" t="s">
        <v>2730</v>
      </c>
      <c r="D690" s="756" t="s">
        <v>306</v>
      </c>
      <c r="E690" s="756" t="s">
        <v>322</v>
      </c>
      <c r="F690" s="756" t="s">
        <v>307</v>
      </c>
      <c r="G690" s="758" t="s">
        <v>2731</v>
      </c>
      <c r="H690" s="756" t="s">
        <v>640</v>
      </c>
      <c r="I690" s="758" t="s">
        <v>668</v>
      </c>
      <c r="J690" s="756" t="s">
        <v>349</v>
      </c>
      <c r="K690" s="797" t="s">
        <v>2732</v>
      </c>
      <c r="L690" s="756"/>
      <c r="M690" s="766" t="s">
        <v>2769</v>
      </c>
      <c r="N690" s="756" t="s">
        <v>425</v>
      </c>
    </row>
    <row r="691" spans="1:14">
      <c r="A691" s="123">
        <v>8</v>
      </c>
      <c r="B691" s="754"/>
      <c r="C691" s="148" t="s">
        <v>2723</v>
      </c>
      <c r="D691" s="757"/>
      <c r="E691" s="757"/>
      <c r="F691" s="757"/>
      <c r="G691" s="759"/>
      <c r="H691" s="757"/>
      <c r="I691" s="759"/>
      <c r="J691" s="757"/>
      <c r="K691" s="798"/>
      <c r="L691" s="757"/>
      <c r="M691" s="767"/>
      <c r="N691" s="757"/>
    </row>
    <row r="692" spans="1:14">
      <c r="A692" s="123">
        <v>8</v>
      </c>
      <c r="B692" s="7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53"/>
      <c r="C693" s="756" t="s">
        <v>2768</v>
      </c>
      <c r="D693" s="756" t="s">
        <v>311</v>
      </c>
      <c r="E693" s="756" t="s">
        <v>675</v>
      </c>
      <c r="F693" s="149" t="s">
        <v>1806</v>
      </c>
      <c r="G693" s="758" t="s">
        <v>689</v>
      </c>
      <c r="H693" s="758" t="s">
        <v>662</v>
      </c>
      <c r="I693" s="758" t="s">
        <v>2739</v>
      </c>
      <c r="J693" s="758"/>
      <c r="K693" s="758" t="s">
        <v>698</v>
      </c>
      <c r="L693" s="756" t="s">
        <v>309</v>
      </c>
      <c r="M693" s="766" t="s">
        <v>672</v>
      </c>
      <c r="N693" s="756" t="s">
        <v>2740</v>
      </c>
    </row>
    <row r="694" spans="1:14">
      <c r="A694" s="123">
        <v>8</v>
      </c>
      <c r="B694" s="754"/>
      <c r="C694" s="757"/>
      <c r="D694" s="757"/>
      <c r="E694" s="757"/>
      <c r="F694" s="149" t="s">
        <v>2738</v>
      </c>
      <c r="G694" s="759"/>
      <c r="H694" s="759"/>
      <c r="I694" s="759"/>
      <c r="J694" s="759"/>
      <c r="K694" s="759"/>
      <c r="L694" s="757"/>
      <c r="M694" s="767"/>
      <c r="N694" s="773"/>
    </row>
    <row r="695" spans="1:14">
      <c r="A695" s="123">
        <v>9</v>
      </c>
      <c r="B695" s="7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53"/>
      <c r="C697" s="243" t="s">
        <v>2745</v>
      </c>
      <c r="D697" s="787" t="s">
        <v>306</v>
      </c>
      <c r="E697" s="787" t="s">
        <v>322</v>
      </c>
      <c r="F697" s="787" t="s">
        <v>307</v>
      </c>
      <c r="G697" s="789" t="s">
        <v>2746</v>
      </c>
      <c r="H697" s="787" t="s">
        <v>405</v>
      </c>
      <c r="I697" s="789" t="s">
        <v>2747</v>
      </c>
      <c r="J697" s="787" t="s">
        <v>664</v>
      </c>
      <c r="K697" s="793" t="s">
        <v>1757</v>
      </c>
      <c r="L697" s="787"/>
      <c r="M697" s="785">
        <v>750000</v>
      </c>
      <c r="N697" s="787" t="s">
        <v>665</v>
      </c>
    </row>
    <row r="698" spans="1:14">
      <c r="A698" s="123">
        <v>9</v>
      </c>
      <c r="B698" s="753"/>
      <c r="C698" s="243" t="s">
        <v>2748</v>
      </c>
      <c r="D698" s="788"/>
      <c r="E698" s="788"/>
      <c r="F698" s="788"/>
      <c r="G698" s="790"/>
      <c r="H698" s="788"/>
      <c r="I698" s="790"/>
      <c r="J698" s="788"/>
      <c r="K698" s="794"/>
      <c r="L698" s="788"/>
      <c r="M698" s="786"/>
      <c r="N698" s="788"/>
    </row>
    <row r="699" spans="1:14">
      <c r="A699" s="123">
        <v>9</v>
      </c>
      <c r="B699" s="753"/>
      <c r="C699" s="243" t="s">
        <v>2745</v>
      </c>
      <c r="D699" s="787" t="s">
        <v>306</v>
      </c>
      <c r="E699" s="787" t="s">
        <v>322</v>
      </c>
      <c r="F699" s="787" t="s">
        <v>307</v>
      </c>
      <c r="G699" s="789" t="s">
        <v>2749</v>
      </c>
      <c r="H699" s="787" t="s">
        <v>662</v>
      </c>
      <c r="I699" s="789" t="s">
        <v>668</v>
      </c>
      <c r="J699" s="787" t="s">
        <v>349</v>
      </c>
      <c r="K699" s="791" t="s">
        <v>2732</v>
      </c>
      <c r="L699" s="787"/>
      <c r="M699" s="785">
        <v>1000000</v>
      </c>
      <c r="N699" s="787" t="s">
        <v>425</v>
      </c>
    </row>
    <row r="700" spans="1:14">
      <c r="A700" s="123">
        <v>9</v>
      </c>
      <c r="B700" s="753"/>
      <c r="C700" s="243" t="s">
        <v>2750</v>
      </c>
      <c r="D700" s="788"/>
      <c r="E700" s="788"/>
      <c r="F700" s="788"/>
      <c r="G700" s="790"/>
      <c r="H700" s="788"/>
      <c r="I700" s="790"/>
      <c r="J700" s="788"/>
      <c r="K700" s="792"/>
      <c r="L700" s="788"/>
      <c r="M700" s="786"/>
      <c r="N700" s="788"/>
    </row>
    <row r="701" spans="1:14">
      <c r="A701" s="123">
        <v>9</v>
      </c>
      <c r="B701" s="7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5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83" t="s">
        <v>2821</v>
      </c>
    </row>
    <row r="734" spans="1:14" ht="27">
      <c r="A734" s="123">
        <v>15</v>
      </c>
      <c r="B734" s="7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84"/>
    </row>
    <row r="735" spans="1:14">
      <c r="A735" s="123">
        <v>15</v>
      </c>
      <c r="B735" s="7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5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5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5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7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5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5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5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5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52" t="s">
        <v>3097</v>
      </c>
      <c r="C835" s="148" t="s">
        <v>3079</v>
      </c>
      <c r="D835" s="756" t="s">
        <v>306</v>
      </c>
      <c r="E835" s="756" t="s">
        <v>322</v>
      </c>
      <c r="F835" s="756" t="s">
        <v>307</v>
      </c>
      <c r="G835" s="758" t="s">
        <v>3051</v>
      </c>
      <c r="H835" s="756" t="s">
        <v>1993</v>
      </c>
      <c r="I835" s="758" t="s">
        <v>3052</v>
      </c>
      <c r="J835" s="756" t="s">
        <v>664</v>
      </c>
      <c r="K835" s="148" t="s">
        <v>3081</v>
      </c>
      <c r="L835" s="756"/>
      <c r="M835" s="775" t="s">
        <v>3082</v>
      </c>
      <c r="N835" s="148" t="s">
        <v>3083</v>
      </c>
    </row>
    <row r="836" spans="1:14">
      <c r="A836" s="123">
        <v>29</v>
      </c>
      <c r="B836" s="753"/>
      <c r="C836" s="148" t="s">
        <v>3080</v>
      </c>
      <c r="D836" s="773"/>
      <c r="E836" s="773"/>
      <c r="F836" s="773"/>
      <c r="G836" s="774"/>
      <c r="H836" s="773"/>
      <c r="I836" s="774"/>
      <c r="J836" s="773"/>
      <c r="K836" s="148" t="s">
        <v>707</v>
      </c>
      <c r="L836" s="773"/>
      <c r="M836" s="776"/>
      <c r="N836" s="148"/>
    </row>
    <row r="837" spans="1:14">
      <c r="A837" s="123">
        <v>29</v>
      </c>
      <c r="B837" s="753"/>
      <c r="C837" s="148"/>
      <c r="D837" s="757"/>
      <c r="E837" s="757"/>
      <c r="F837" s="757"/>
      <c r="G837" s="759"/>
      <c r="H837" s="757"/>
      <c r="I837" s="759"/>
      <c r="J837" s="757"/>
      <c r="K837" s="148"/>
      <c r="L837" s="757"/>
      <c r="M837" s="777"/>
      <c r="N837" s="148" t="s">
        <v>3084</v>
      </c>
    </row>
    <row r="838" spans="1:14">
      <c r="A838" s="123">
        <v>29</v>
      </c>
      <c r="B838" s="7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52" t="s">
        <v>21</v>
      </c>
      <c r="C840" s="111" t="s">
        <v>3087</v>
      </c>
      <c r="D840" s="756" t="s">
        <v>311</v>
      </c>
      <c r="E840" s="756" t="s">
        <v>320</v>
      </c>
      <c r="F840" s="758" t="s">
        <v>2601</v>
      </c>
      <c r="G840" s="758" t="s">
        <v>3059</v>
      </c>
      <c r="H840" s="758" t="s">
        <v>3060</v>
      </c>
      <c r="I840" s="758" t="s">
        <v>3061</v>
      </c>
      <c r="J840" s="758" t="s">
        <v>702</v>
      </c>
      <c r="K840" s="758" t="s">
        <v>3062</v>
      </c>
      <c r="L840" s="756" t="s">
        <v>309</v>
      </c>
      <c r="M840" s="775" t="s">
        <v>1816</v>
      </c>
      <c r="N840" s="756" t="s">
        <v>3088</v>
      </c>
    </row>
    <row r="841" spans="1:14">
      <c r="A841" s="123">
        <v>29</v>
      </c>
      <c r="B841" s="753"/>
      <c r="C841" s="111" t="s">
        <v>3065</v>
      </c>
      <c r="D841" s="757"/>
      <c r="E841" s="757"/>
      <c r="F841" s="759"/>
      <c r="G841" s="759"/>
      <c r="H841" s="759"/>
      <c r="I841" s="759"/>
      <c r="J841" s="759"/>
      <c r="K841" s="759"/>
      <c r="L841" s="757"/>
      <c r="M841" s="777"/>
      <c r="N841" s="757"/>
    </row>
    <row r="842" spans="1:14">
      <c r="A842" s="123">
        <v>29</v>
      </c>
      <c r="B842" s="7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53"/>
      <c r="C844" s="111" t="s">
        <v>3079</v>
      </c>
      <c r="D844" s="756" t="s">
        <v>311</v>
      </c>
      <c r="E844" s="756" t="s">
        <v>320</v>
      </c>
      <c r="F844" s="758" t="s">
        <v>3068</v>
      </c>
      <c r="G844" s="758" t="s">
        <v>1919</v>
      </c>
      <c r="H844" s="758" t="s">
        <v>3069</v>
      </c>
      <c r="I844" s="149" t="s">
        <v>3090</v>
      </c>
      <c r="J844" s="758"/>
      <c r="K844" s="758" t="s">
        <v>3070</v>
      </c>
      <c r="L844" s="756" t="s">
        <v>309</v>
      </c>
      <c r="M844" s="781" t="s">
        <v>3092</v>
      </c>
      <c r="N844" s="756" t="s">
        <v>1206</v>
      </c>
    </row>
    <row r="845" spans="1:14">
      <c r="A845" s="123">
        <v>29</v>
      </c>
      <c r="B845" s="753"/>
      <c r="C845" s="111" t="s">
        <v>3089</v>
      </c>
      <c r="D845" s="757"/>
      <c r="E845" s="757"/>
      <c r="F845" s="759"/>
      <c r="G845" s="759"/>
      <c r="H845" s="759"/>
      <c r="I845" s="149" t="s">
        <v>3091</v>
      </c>
      <c r="J845" s="759"/>
      <c r="K845" s="759"/>
      <c r="L845" s="757"/>
      <c r="M845" s="782"/>
      <c r="N845" s="757"/>
    </row>
    <row r="846" spans="1:14">
      <c r="A846" s="123">
        <v>29</v>
      </c>
      <c r="B846" s="753"/>
      <c r="C846" s="111" t="s">
        <v>3079</v>
      </c>
      <c r="D846" s="756" t="s">
        <v>311</v>
      </c>
      <c r="E846" s="756" t="s">
        <v>320</v>
      </c>
      <c r="F846" s="758" t="s">
        <v>2601</v>
      </c>
      <c r="G846" s="758" t="s">
        <v>3059</v>
      </c>
      <c r="H846" s="758" t="s">
        <v>3060</v>
      </c>
      <c r="I846" s="758" t="s">
        <v>3071</v>
      </c>
      <c r="J846" s="758" t="s">
        <v>702</v>
      </c>
      <c r="K846" s="758" t="s">
        <v>1054</v>
      </c>
      <c r="L846" s="756" t="s">
        <v>309</v>
      </c>
      <c r="M846" s="775" t="s">
        <v>3094</v>
      </c>
      <c r="N846" s="756" t="s">
        <v>3095</v>
      </c>
    </row>
    <row r="847" spans="1:14">
      <c r="A847" s="123">
        <v>29</v>
      </c>
      <c r="B847" s="753"/>
      <c r="C847" s="111"/>
      <c r="D847" s="773"/>
      <c r="E847" s="773"/>
      <c r="F847" s="774"/>
      <c r="G847" s="774"/>
      <c r="H847" s="774"/>
      <c r="I847" s="774"/>
      <c r="J847" s="774"/>
      <c r="K847" s="774"/>
      <c r="L847" s="773"/>
      <c r="M847" s="776"/>
      <c r="N847" s="773"/>
    </row>
    <row r="848" spans="1:14">
      <c r="A848" s="123">
        <v>29</v>
      </c>
      <c r="B848" s="753"/>
      <c r="C848" s="111" t="s">
        <v>3093</v>
      </c>
      <c r="D848" s="757"/>
      <c r="E848" s="757"/>
      <c r="F848" s="759"/>
      <c r="G848" s="759"/>
      <c r="H848" s="759"/>
      <c r="I848" s="759"/>
      <c r="J848" s="759"/>
      <c r="K848" s="759"/>
      <c r="L848" s="757"/>
      <c r="M848" s="777"/>
      <c r="N848" s="757"/>
    </row>
    <row r="849" spans="1:14">
      <c r="A849" s="123">
        <v>29</v>
      </c>
      <c r="B849" s="753"/>
      <c r="C849" s="111" t="s">
        <v>3096</v>
      </c>
      <c r="D849" s="756" t="s">
        <v>311</v>
      </c>
      <c r="E849" s="756" t="s">
        <v>320</v>
      </c>
      <c r="F849" s="758" t="s">
        <v>337</v>
      </c>
      <c r="G849" s="758" t="s">
        <v>3072</v>
      </c>
      <c r="H849" s="758" t="s">
        <v>354</v>
      </c>
      <c r="I849" s="758" t="s">
        <v>310</v>
      </c>
      <c r="J849" s="758" t="s">
        <v>638</v>
      </c>
      <c r="K849" s="758" t="s">
        <v>3073</v>
      </c>
      <c r="L849" s="756" t="s">
        <v>309</v>
      </c>
      <c r="M849" s="775" t="s">
        <v>1816</v>
      </c>
      <c r="N849" s="756" t="s">
        <v>3095</v>
      </c>
    </row>
    <row r="850" spans="1:14">
      <c r="A850" s="123">
        <v>29</v>
      </c>
      <c r="B850" s="754"/>
      <c r="C850" s="111" t="s">
        <v>3089</v>
      </c>
      <c r="D850" s="757"/>
      <c r="E850" s="757"/>
      <c r="F850" s="759"/>
      <c r="G850" s="759"/>
      <c r="H850" s="759"/>
      <c r="I850" s="759"/>
      <c r="J850" s="759"/>
      <c r="K850" s="759"/>
      <c r="L850" s="757"/>
      <c r="M850" s="777"/>
      <c r="N850" s="757"/>
    </row>
    <row r="851" spans="1:14">
      <c r="A851" s="123">
        <v>30</v>
      </c>
      <c r="B851" s="76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6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69"/>
      <c r="C853" s="148" t="s">
        <v>3106</v>
      </c>
      <c r="D853" s="756" t="s">
        <v>306</v>
      </c>
      <c r="E853" s="756" t="s">
        <v>322</v>
      </c>
      <c r="F853" s="756" t="s">
        <v>307</v>
      </c>
      <c r="G853" s="758" t="s">
        <v>3051</v>
      </c>
      <c r="H853" s="756" t="s">
        <v>1993</v>
      </c>
      <c r="I853" s="758" t="s">
        <v>3108</v>
      </c>
      <c r="J853" s="756" t="s">
        <v>664</v>
      </c>
      <c r="K853" s="148" t="s">
        <v>3109</v>
      </c>
      <c r="L853" s="756"/>
      <c r="M853" s="766" t="s">
        <v>3110</v>
      </c>
      <c r="N853" s="756" t="s">
        <v>665</v>
      </c>
    </row>
    <row r="854" spans="1:14">
      <c r="A854" s="123">
        <v>30</v>
      </c>
      <c r="B854" s="769"/>
      <c r="C854" s="148" t="s">
        <v>3107</v>
      </c>
      <c r="D854" s="757"/>
      <c r="E854" s="757"/>
      <c r="F854" s="757"/>
      <c r="G854" s="759"/>
      <c r="H854" s="757"/>
      <c r="I854" s="759"/>
      <c r="J854" s="757"/>
      <c r="K854" s="148" t="s">
        <v>655</v>
      </c>
      <c r="L854" s="757"/>
      <c r="M854" s="767"/>
      <c r="N854" s="757"/>
    </row>
    <row r="855" spans="1:14">
      <c r="A855" s="123">
        <v>30</v>
      </c>
      <c r="B855" s="77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52" t="s">
        <v>3116</v>
      </c>
      <c r="C856" s="771" t="s">
        <v>3117</v>
      </c>
      <c r="D856" s="756" t="s">
        <v>311</v>
      </c>
      <c r="E856" s="756" t="s">
        <v>320</v>
      </c>
      <c r="F856" s="758" t="s">
        <v>2601</v>
      </c>
      <c r="G856" s="758" t="s">
        <v>2749</v>
      </c>
      <c r="H856" s="758" t="s">
        <v>347</v>
      </c>
      <c r="I856" s="758" t="s">
        <v>3118</v>
      </c>
      <c r="J856" s="758" t="s">
        <v>638</v>
      </c>
      <c r="K856" s="758" t="s">
        <v>698</v>
      </c>
      <c r="L856" s="756" t="s">
        <v>309</v>
      </c>
      <c r="M856" s="766" t="s">
        <v>1810</v>
      </c>
      <c r="N856" s="148" t="s">
        <v>3119</v>
      </c>
    </row>
    <row r="857" spans="1:14">
      <c r="A857" s="123">
        <v>30</v>
      </c>
      <c r="B857" s="753"/>
      <c r="C857" s="772"/>
      <c r="D857" s="757"/>
      <c r="E857" s="757"/>
      <c r="F857" s="759"/>
      <c r="G857" s="759"/>
      <c r="H857" s="759"/>
      <c r="I857" s="759"/>
      <c r="J857" s="759"/>
      <c r="K857" s="759"/>
      <c r="L857" s="757"/>
      <c r="M857" s="767"/>
      <c r="N857" s="148" t="s">
        <v>3120</v>
      </c>
    </row>
    <row r="858" spans="1:14" ht="16.5" customHeight="1">
      <c r="A858" s="123">
        <v>30</v>
      </c>
      <c r="B858" s="753"/>
      <c r="C858" s="771" t="s">
        <v>3117</v>
      </c>
      <c r="D858" s="756" t="s">
        <v>311</v>
      </c>
      <c r="E858" s="756" t="s">
        <v>320</v>
      </c>
      <c r="F858" s="758" t="s">
        <v>709</v>
      </c>
      <c r="G858" s="149" t="s">
        <v>3121</v>
      </c>
      <c r="H858" s="758" t="s">
        <v>640</v>
      </c>
      <c r="I858" s="758" t="s">
        <v>3122</v>
      </c>
      <c r="J858" s="758"/>
      <c r="K858" s="758" t="s">
        <v>692</v>
      </c>
      <c r="L858" s="756" t="s">
        <v>309</v>
      </c>
      <c r="M858" s="766" t="s">
        <v>1535</v>
      </c>
      <c r="N858" s="756" t="s">
        <v>1772</v>
      </c>
    </row>
    <row r="859" spans="1:14">
      <c r="A859" s="123">
        <v>30</v>
      </c>
      <c r="B859" s="753"/>
      <c r="C859" s="772"/>
      <c r="D859" s="757"/>
      <c r="E859" s="757"/>
      <c r="F859" s="759"/>
      <c r="G859" s="149">
        <v>2651</v>
      </c>
      <c r="H859" s="759"/>
      <c r="I859" s="759"/>
      <c r="J859" s="759"/>
      <c r="K859" s="759"/>
      <c r="L859" s="757"/>
      <c r="M859" s="767"/>
      <c r="N859" s="757"/>
    </row>
    <row r="860" spans="1:14">
      <c r="A860" s="123">
        <v>30</v>
      </c>
      <c r="B860" s="753"/>
      <c r="C860" s="771" t="s">
        <v>3123</v>
      </c>
      <c r="D860" s="756" t="s">
        <v>311</v>
      </c>
      <c r="E860" s="756" t="s">
        <v>320</v>
      </c>
      <c r="F860" s="758" t="s">
        <v>720</v>
      </c>
      <c r="G860" s="758" t="s">
        <v>1756</v>
      </c>
      <c r="H860" s="758" t="s">
        <v>347</v>
      </c>
      <c r="I860" s="149" t="s">
        <v>3124</v>
      </c>
      <c r="J860" s="758"/>
      <c r="K860" s="758" t="s">
        <v>3126</v>
      </c>
      <c r="L860" s="756" t="s">
        <v>309</v>
      </c>
      <c r="M860" s="766" t="s">
        <v>1933</v>
      </c>
      <c r="N860" s="756" t="s">
        <v>1206</v>
      </c>
    </row>
    <row r="861" spans="1:14">
      <c r="A861" s="123">
        <v>30</v>
      </c>
      <c r="B861" s="753"/>
      <c r="C861" s="772"/>
      <c r="D861" s="757"/>
      <c r="E861" s="757"/>
      <c r="F861" s="759"/>
      <c r="G861" s="759"/>
      <c r="H861" s="759"/>
      <c r="I861" s="149" t="s">
        <v>3125</v>
      </c>
      <c r="J861" s="759"/>
      <c r="K861" s="759"/>
      <c r="L861" s="757"/>
      <c r="M861" s="767"/>
      <c r="N861" s="757"/>
    </row>
    <row r="862" spans="1:14">
      <c r="A862" s="123">
        <v>30</v>
      </c>
      <c r="B862" s="753"/>
      <c r="C862" s="111" t="s">
        <v>3127</v>
      </c>
      <c r="D862" s="756" t="s">
        <v>311</v>
      </c>
      <c r="E862" s="756" t="s">
        <v>320</v>
      </c>
      <c r="F862" s="758" t="s">
        <v>690</v>
      </c>
      <c r="G862" s="758" t="s">
        <v>3066</v>
      </c>
      <c r="H862" s="758" t="s">
        <v>354</v>
      </c>
      <c r="I862" s="758" t="s">
        <v>3129</v>
      </c>
      <c r="J862" s="758" t="s">
        <v>638</v>
      </c>
      <c r="K862" s="758" t="s">
        <v>655</v>
      </c>
      <c r="L862" s="756" t="s">
        <v>309</v>
      </c>
      <c r="M862" s="766" t="s">
        <v>1535</v>
      </c>
      <c r="N862" s="756" t="s">
        <v>1206</v>
      </c>
    </row>
    <row r="863" spans="1:14">
      <c r="A863" s="123">
        <v>30</v>
      </c>
      <c r="B863" s="753"/>
      <c r="C863" s="111" t="s">
        <v>3128</v>
      </c>
      <c r="D863" s="757"/>
      <c r="E863" s="757"/>
      <c r="F863" s="759"/>
      <c r="G863" s="759"/>
      <c r="H863" s="759"/>
      <c r="I863" s="759"/>
      <c r="J863" s="759"/>
      <c r="K863" s="759"/>
      <c r="L863" s="757"/>
      <c r="M863" s="767"/>
      <c r="N863" s="757"/>
    </row>
    <row r="864" spans="1:14">
      <c r="A864" s="123">
        <v>30</v>
      </c>
      <c r="B864" s="753"/>
      <c r="C864" s="111" t="s">
        <v>3130</v>
      </c>
      <c r="D864" s="756" t="s">
        <v>311</v>
      </c>
      <c r="E864" s="756" t="s">
        <v>320</v>
      </c>
      <c r="F864" s="758" t="s">
        <v>337</v>
      </c>
      <c r="G864" s="758" t="s">
        <v>3072</v>
      </c>
      <c r="H864" s="758" t="s">
        <v>354</v>
      </c>
      <c r="I864" s="758" t="s">
        <v>3131</v>
      </c>
      <c r="J864" s="758" t="s">
        <v>638</v>
      </c>
      <c r="K864" s="758" t="s">
        <v>713</v>
      </c>
      <c r="L864" s="756" t="s">
        <v>309</v>
      </c>
      <c r="M864" s="766" t="s">
        <v>1810</v>
      </c>
      <c r="N864" s="756" t="s">
        <v>1206</v>
      </c>
    </row>
    <row r="865" spans="1:14">
      <c r="A865" s="123">
        <v>30</v>
      </c>
      <c r="B865" s="753"/>
      <c r="C865" s="111" t="s">
        <v>3107</v>
      </c>
      <c r="D865" s="757"/>
      <c r="E865" s="757"/>
      <c r="F865" s="759"/>
      <c r="G865" s="759"/>
      <c r="H865" s="759"/>
      <c r="I865" s="759"/>
      <c r="J865" s="759"/>
      <c r="K865" s="759"/>
      <c r="L865" s="757"/>
      <c r="M865" s="767"/>
      <c r="N865" s="757"/>
    </row>
    <row r="866" spans="1:14" ht="25.5">
      <c r="A866" s="123">
        <v>30</v>
      </c>
      <c r="B866" s="7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53"/>
      <c r="C867" s="771" t="s">
        <v>3111</v>
      </c>
      <c r="D867" s="756" t="s">
        <v>311</v>
      </c>
      <c r="E867" s="756" t="s">
        <v>675</v>
      </c>
      <c r="F867" s="758" t="s">
        <v>660</v>
      </c>
      <c r="G867" s="758" t="s">
        <v>661</v>
      </c>
      <c r="H867" s="758" t="s">
        <v>662</v>
      </c>
      <c r="I867" s="149" t="s">
        <v>3134</v>
      </c>
      <c r="J867" s="758" t="s">
        <v>638</v>
      </c>
      <c r="K867" s="758" t="s">
        <v>731</v>
      </c>
      <c r="L867" s="756" t="s">
        <v>309</v>
      </c>
      <c r="M867" s="766" t="s">
        <v>1828</v>
      </c>
      <c r="N867" s="756" t="s">
        <v>3136</v>
      </c>
    </row>
    <row r="868" spans="1:14">
      <c r="A868" s="123">
        <v>30</v>
      </c>
      <c r="B868" s="754"/>
      <c r="C868" s="772"/>
      <c r="D868" s="757"/>
      <c r="E868" s="757"/>
      <c r="F868" s="759"/>
      <c r="G868" s="759"/>
      <c r="H868" s="759"/>
      <c r="I868" s="149" t="s">
        <v>3135</v>
      </c>
      <c r="J868" s="759"/>
      <c r="K868" s="759"/>
      <c r="L868" s="757"/>
      <c r="M868" s="767"/>
      <c r="N868" s="757"/>
    </row>
    <row r="869" spans="1:14">
      <c r="A869" s="123">
        <v>31</v>
      </c>
      <c r="B869" s="7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53"/>
      <c r="C870" s="148" t="s">
        <v>3140</v>
      </c>
      <c r="D870" s="756" t="s">
        <v>306</v>
      </c>
      <c r="E870" s="756" t="s">
        <v>322</v>
      </c>
      <c r="F870" s="756" t="s">
        <v>307</v>
      </c>
      <c r="G870" s="758">
        <v>1566</v>
      </c>
      <c r="H870" s="756" t="s">
        <v>1911</v>
      </c>
      <c r="I870" s="758" t="s">
        <v>3142</v>
      </c>
      <c r="J870" s="756" t="s">
        <v>664</v>
      </c>
      <c r="K870" s="756" t="s">
        <v>3143</v>
      </c>
      <c r="L870" s="756"/>
      <c r="M870" s="766" t="s">
        <v>3144</v>
      </c>
      <c r="N870" s="756" t="s">
        <v>665</v>
      </c>
    </row>
    <row r="871" spans="1:14">
      <c r="A871" s="123">
        <v>31</v>
      </c>
      <c r="B871" s="753"/>
      <c r="C871" s="148" t="s">
        <v>3141</v>
      </c>
      <c r="D871" s="757"/>
      <c r="E871" s="757"/>
      <c r="F871" s="757"/>
      <c r="G871" s="759"/>
      <c r="H871" s="757"/>
      <c r="I871" s="759"/>
      <c r="J871" s="757"/>
      <c r="K871" s="757"/>
      <c r="L871" s="757"/>
      <c r="M871" s="767"/>
      <c r="N871" s="757"/>
    </row>
    <row r="872" spans="1:14">
      <c r="A872" s="123">
        <v>31</v>
      </c>
      <c r="B872" s="7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53"/>
      <c r="C873" s="392" t="s">
        <v>3140</v>
      </c>
      <c r="D873" s="756" t="s">
        <v>306</v>
      </c>
      <c r="E873" s="756" t="s">
        <v>322</v>
      </c>
      <c r="F873" s="756" t="s">
        <v>307</v>
      </c>
      <c r="G873" s="758" t="s">
        <v>3147</v>
      </c>
      <c r="H873" s="756" t="s">
        <v>3148</v>
      </c>
      <c r="I873" s="758" t="s">
        <v>332</v>
      </c>
      <c r="J873" s="756" t="s">
        <v>1534</v>
      </c>
      <c r="K873" s="756" t="s">
        <v>1157</v>
      </c>
      <c r="L873" s="756"/>
      <c r="M873" s="766" t="s">
        <v>3149</v>
      </c>
      <c r="N873" s="756" t="s">
        <v>425</v>
      </c>
    </row>
    <row r="874" spans="1:14">
      <c r="A874" s="123">
        <v>31</v>
      </c>
      <c r="B874" s="754"/>
      <c r="C874" s="392" t="s">
        <v>3146</v>
      </c>
      <c r="D874" s="757"/>
      <c r="E874" s="757"/>
      <c r="F874" s="757"/>
      <c r="G874" s="759"/>
      <c r="H874" s="757"/>
      <c r="I874" s="759"/>
      <c r="J874" s="757"/>
      <c r="K874" s="757"/>
      <c r="L874" s="757"/>
      <c r="M874" s="767"/>
      <c r="N874" s="757"/>
    </row>
    <row r="875" spans="1:14">
      <c r="A875" s="123">
        <v>31</v>
      </c>
      <c r="B875" s="7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53"/>
      <c r="C876" s="756" t="s">
        <v>3128</v>
      </c>
      <c r="D876" s="756" t="s">
        <v>311</v>
      </c>
      <c r="E876" s="756" t="s">
        <v>675</v>
      </c>
      <c r="F876" s="758" t="s">
        <v>660</v>
      </c>
      <c r="G876" s="758" t="s">
        <v>661</v>
      </c>
      <c r="H876" s="758" t="s">
        <v>662</v>
      </c>
      <c r="I876" s="149" t="s">
        <v>3134</v>
      </c>
      <c r="J876" s="758"/>
      <c r="K876" s="758" t="s">
        <v>698</v>
      </c>
      <c r="L876" s="756" t="s">
        <v>309</v>
      </c>
      <c r="M876" s="766" t="s">
        <v>3139</v>
      </c>
      <c r="N876" s="756" t="s">
        <v>3152</v>
      </c>
    </row>
    <row r="877" spans="1:14">
      <c r="A877" s="123">
        <v>31</v>
      </c>
      <c r="B877" s="753"/>
      <c r="C877" s="757"/>
      <c r="D877" s="757"/>
      <c r="E877" s="757"/>
      <c r="F877" s="759"/>
      <c r="G877" s="759"/>
      <c r="H877" s="759"/>
      <c r="I877" s="149" t="s">
        <v>3135</v>
      </c>
      <c r="J877" s="759"/>
      <c r="K877" s="759"/>
      <c r="L877" s="757"/>
      <c r="M877" s="767"/>
      <c r="N877" s="757"/>
    </row>
    <row r="878" spans="1:14" ht="16.5" customHeight="1">
      <c r="A878" s="123">
        <v>31</v>
      </c>
      <c r="B878" s="753"/>
      <c r="C878" s="148" t="s">
        <v>3153</v>
      </c>
      <c r="D878" s="756" t="s">
        <v>311</v>
      </c>
      <c r="E878" s="756" t="s">
        <v>320</v>
      </c>
      <c r="F878" s="758" t="s">
        <v>3068</v>
      </c>
      <c r="G878" s="758" t="s">
        <v>1919</v>
      </c>
      <c r="H878" s="758" t="s">
        <v>3069</v>
      </c>
      <c r="I878" s="758" t="s">
        <v>3154</v>
      </c>
      <c r="J878" s="758"/>
      <c r="K878" s="758" t="s">
        <v>3155</v>
      </c>
      <c r="L878" s="756" t="s">
        <v>309</v>
      </c>
      <c r="M878" s="766" t="s">
        <v>3156</v>
      </c>
      <c r="N878" s="756" t="s">
        <v>3151</v>
      </c>
    </row>
    <row r="879" spans="1:14">
      <c r="A879" s="123">
        <v>31</v>
      </c>
      <c r="B879" s="753"/>
      <c r="C879" s="148" t="s">
        <v>3111</v>
      </c>
      <c r="D879" s="757"/>
      <c r="E879" s="757"/>
      <c r="F879" s="759"/>
      <c r="G879" s="759"/>
      <c r="H879" s="759"/>
      <c r="I879" s="759"/>
      <c r="J879" s="759"/>
      <c r="K879" s="759"/>
      <c r="L879" s="757"/>
      <c r="M879" s="767"/>
      <c r="N879" s="757"/>
    </row>
    <row r="880" spans="1:14">
      <c r="A880" s="123">
        <v>31</v>
      </c>
      <c r="B880" s="7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53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53"/>
      <c r="C883" s="111" t="s">
        <v>3166</v>
      </c>
      <c r="D883" s="756" t="s">
        <v>311</v>
      </c>
      <c r="E883" s="756" t="s">
        <v>320</v>
      </c>
      <c r="F883" s="758" t="s">
        <v>337</v>
      </c>
      <c r="G883" s="758" t="s">
        <v>3168</v>
      </c>
      <c r="H883" s="758" t="s">
        <v>3169</v>
      </c>
      <c r="I883" s="758" t="s">
        <v>3170</v>
      </c>
      <c r="J883" s="758" t="s">
        <v>3171</v>
      </c>
      <c r="K883" s="758" t="s">
        <v>3172</v>
      </c>
      <c r="L883" s="756" t="s">
        <v>309</v>
      </c>
      <c r="M883" s="766" t="s">
        <v>3173</v>
      </c>
      <c r="N883" s="756" t="s">
        <v>3136</v>
      </c>
    </row>
    <row r="884" spans="1:14">
      <c r="A884" s="123">
        <v>31</v>
      </c>
      <c r="B884" s="754"/>
      <c r="C884" s="111" t="s">
        <v>3167</v>
      </c>
      <c r="D884" s="757"/>
      <c r="E884" s="757"/>
      <c r="F884" s="759"/>
      <c r="G884" s="759"/>
      <c r="H884" s="759"/>
      <c r="I884" s="759"/>
      <c r="J884" s="759"/>
      <c r="K884" s="759"/>
      <c r="L884" s="757"/>
      <c r="M884" s="767"/>
      <c r="N884" s="757"/>
    </row>
    <row r="885" spans="1:14" ht="27">
      <c r="A885" s="123">
        <v>32</v>
      </c>
      <c r="B885" s="76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6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6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6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6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64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64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6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6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6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6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63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64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65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61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6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6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6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6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6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6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6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6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6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6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6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6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6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6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6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6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6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6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6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6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6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6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6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5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55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5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5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5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5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5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55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5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5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5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5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5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5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5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5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5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5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5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5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5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5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5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5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5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5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5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5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5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5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5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5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5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5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5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5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5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5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5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5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5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5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5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5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55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5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5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5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5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5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55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5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5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5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5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5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5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5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5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5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55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5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5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5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5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5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5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5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5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55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55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5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5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5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5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5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5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5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5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55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55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5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5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5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5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5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5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5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5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5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55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55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55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55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5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5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5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5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5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5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5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5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5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5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5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5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5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5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5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5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5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5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55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55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55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5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5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5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5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5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5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5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5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5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5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5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5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5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5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5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5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55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55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55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55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55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55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55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55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55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5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5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5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5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5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5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5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5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5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5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5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5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5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5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5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55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55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55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55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55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5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5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5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5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5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5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5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5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5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5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5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5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55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55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55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55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55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55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55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5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5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5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5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5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5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5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5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5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5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5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5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55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55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55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55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55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55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5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5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5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5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5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5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5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5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5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5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5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5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5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5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5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5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55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55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55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5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5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5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5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5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5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5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5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5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5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5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5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5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5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5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5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5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5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5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5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5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5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5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5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5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5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5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51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5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5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5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5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51"/>
      <c r="C1208" s="898" t="s">
        <v>5007</v>
      </c>
      <c r="D1208" s="896" t="s">
        <v>311</v>
      </c>
      <c r="E1208" s="896" t="s">
        <v>675</v>
      </c>
      <c r="F1208" s="898" t="s">
        <v>337</v>
      </c>
      <c r="G1208" s="898" t="s">
        <v>353</v>
      </c>
      <c r="H1208" s="898" t="s">
        <v>5008</v>
      </c>
      <c r="I1208" s="490" t="s">
        <v>5009</v>
      </c>
      <c r="J1208" s="898" t="s">
        <v>638</v>
      </c>
      <c r="K1208" s="898" t="s">
        <v>713</v>
      </c>
      <c r="L1208" s="896" t="s">
        <v>309</v>
      </c>
      <c r="M1208" s="897">
        <v>250000</v>
      </c>
      <c r="N1208" s="896" t="s">
        <v>4990</v>
      </c>
    </row>
    <row r="1209" spans="1:14">
      <c r="A1209" s="123">
        <v>2</v>
      </c>
      <c r="B1209" s="751"/>
      <c r="C1209" s="898"/>
      <c r="D1209" s="896"/>
      <c r="E1209" s="896"/>
      <c r="F1209" s="898"/>
      <c r="G1209" s="898"/>
      <c r="H1209" s="898"/>
      <c r="I1209" s="490" t="s">
        <v>5010</v>
      </c>
      <c r="J1209" s="898"/>
      <c r="K1209" s="898"/>
      <c r="L1209" s="896"/>
      <c r="M1209" s="897"/>
      <c r="N1209" s="896"/>
    </row>
    <row r="1210" spans="1:14">
      <c r="A1210" s="123">
        <v>2</v>
      </c>
      <c r="B1210" s="75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5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5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5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5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5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5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5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51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5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5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51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51"/>
      <c r="C1222" s="898" t="s">
        <v>5033</v>
      </c>
      <c r="D1222" s="896" t="s">
        <v>311</v>
      </c>
      <c r="E1222" s="896" t="s">
        <v>675</v>
      </c>
      <c r="F1222" s="149" t="s">
        <v>5034</v>
      </c>
      <c r="G1222" s="149" t="s">
        <v>5036</v>
      </c>
      <c r="H1222" s="898" t="s">
        <v>347</v>
      </c>
      <c r="I1222" s="149" t="s">
        <v>5038</v>
      </c>
      <c r="J1222" s="898"/>
      <c r="K1222" s="898" t="s">
        <v>705</v>
      </c>
      <c r="L1222" s="896" t="s">
        <v>309</v>
      </c>
      <c r="M1222" s="897">
        <v>500000</v>
      </c>
      <c r="N1222" s="896" t="s">
        <v>5032</v>
      </c>
    </row>
    <row r="1223" spans="1:14">
      <c r="A1223" s="123">
        <v>3</v>
      </c>
      <c r="B1223" s="751"/>
      <c r="C1223" s="898"/>
      <c r="D1223" s="896"/>
      <c r="E1223" s="896"/>
      <c r="F1223" s="149" t="s">
        <v>5035</v>
      </c>
      <c r="G1223" s="149" t="s">
        <v>5037</v>
      </c>
      <c r="H1223" s="898"/>
      <c r="I1223" s="149" t="s">
        <v>5039</v>
      </c>
      <c r="J1223" s="898"/>
      <c r="K1223" s="898"/>
      <c r="L1223" s="896"/>
      <c r="M1223" s="897"/>
      <c r="N1223" s="896"/>
    </row>
    <row r="1224" spans="1:14">
      <c r="A1224" s="123">
        <v>3</v>
      </c>
      <c r="B1224" s="75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5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5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5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5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5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5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5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5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5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5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5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5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5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5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5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5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5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5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5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5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5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5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5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5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5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51"/>
      <c r="C1250" s="898" t="s">
        <v>5098</v>
      </c>
      <c r="D1250" s="896" t="s">
        <v>311</v>
      </c>
      <c r="E1250" s="896" t="s">
        <v>675</v>
      </c>
      <c r="F1250" s="896" t="s">
        <v>4986</v>
      </c>
      <c r="G1250" s="896">
        <v>1017</v>
      </c>
      <c r="H1250" s="896" t="s">
        <v>347</v>
      </c>
      <c r="I1250" s="149" t="s">
        <v>5099</v>
      </c>
      <c r="J1250" s="898"/>
      <c r="K1250" s="898" t="s">
        <v>692</v>
      </c>
      <c r="L1250" s="896" t="s">
        <v>309</v>
      </c>
      <c r="M1250" s="897">
        <v>500000</v>
      </c>
      <c r="N1250" s="896" t="s">
        <v>5032</v>
      </c>
    </row>
    <row r="1251" spans="1:14">
      <c r="A1251" s="123">
        <v>5</v>
      </c>
      <c r="B1251" s="751"/>
      <c r="C1251" s="898"/>
      <c r="D1251" s="896"/>
      <c r="E1251" s="896"/>
      <c r="F1251" s="896"/>
      <c r="G1251" s="896"/>
      <c r="H1251" s="896"/>
      <c r="I1251" s="149" t="s">
        <v>5100</v>
      </c>
      <c r="J1251" s="898"/>
      <c r="K1251" s="898"/>
      <c r="L1251" s="896"/>
      <c r="M1251" s="897"/>
      <c r="N1251" s="896"/>
    </row>
    <row r="1252" spans="1:14">
      <c r="A1252" s="123">
        <v>5</v>
      </c>
      <c r="B1252" s="75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5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51"/>
      <c r="C1254" s="898" t="s">
        <v>5103</v>
      </c>
      <c r="D1254" s="896" t="s">
        <v>311</v>
      </c>
      <c r="E1254" s="896" t="s">
        <v>675</v>
      </c>
      <c r="F1254" s="898" t="s">
        <v>5070</v>
      </c>
      <c r="G1254" s="898">
        <v>3006</v>
      </c>
      <c r="H1254" s="898" t="s">
        <v>347</v>
      </c>
      <c r="I1254" s="490" t="s">
        <v>5104</v>
      </c>
      <c r="J1254" s="898"/>
      <c r="K1254" s="898" t="s">
        <v>705</v>
      </c>
      <c r="L1254" s="896" t="s">
        <v>309</v>
      </c>
      <c r="M1254" s="897">
        <v>500000</v>
      </c>
      <c r="N1254" s="896" t="s">
        <v>5032</v>
      </c>
    </row>
    <row r="1255" spans="1:14">
      <c r="A1255" s="123">
        <v>5</v>
      </c>
      <c r="B1255" s="751"/>
      <c r="C1255" s="898"/>
      <c r="D1255" s="896"/>
      <c r="E1255" s="896"/>
      <c r="F1255" s="898"/>
      <c r="G1255" s="898"/>
      <c r="H1255" s="898"/>
      <c r="I1255" s="490" t="s">
        <v>5105</v>
      </c>
      <c r="J1255" s="898"/>
      <c r="K1255" s="898"/>
      <c r="L1255" s="896"/>
      <c r="M1255" s="897"/>
      <c r="N1255" s="896"/>
    </row>
    <row r="1256" spans="1:14">
      <c r="A1256" s="123">
        <v>5</v>
      </c>
      <c r="B1256" s="751"/>
      <c r="C1256" s="898" t="s">
        <v>5103</v>
      </c>
      <c r="D1256" s="896" t="s">
        <v>311</v>
      </c>
      <c r="E1256" s="896" t="s">
        <v>675</v>
      </c>
      <c r="F1256" s="898" t="s">
        <v>5070</v>
      </c>
      <c r="G1256" s="898">
        <v>3006</v>
      </c>
      <c r="H1256" s="898" t="s">
        <v>347</v>
      </c>
      <c r="I1256" s="490" t="s">
        <v>5104</v>
      </c>
      <c r="J1256" s="898"/>
      <c r="K1256" s="898" t="s">
        <v>4936</v>
      </c>
      <c r="L1256" s="896" t="s">
        <v>309</v>
      </c>
      <c r="M1256" s="897">
        <v>600000</v>
      </c>
      <c r="N1256" s="896" t="s">
        <v>5032</v>
      </c>
    </row>
    <row r="1257" spans="1:14">
      <c r="A1257" s="123">
        <v>5</v>
      </c>
      <c r="B1257" s="751"/>
      <c r="C1257" s="898"/>
      <c r="D1257" s="896"/>
      <c r="E1257" s="896"/>
      <c r="F1257" s="898"/>
      <c r="G1257" s="898"/>
      <c r="H1257" s="898"/>
      <c r="I1257" s="490" t="s">
        <v>5105</v>
      </c>
      <c r="J1257" s="898"/>
      <c r="K1257" s="898"/>
      <c r="L1257" s="896"/>
      <c r="M1257" s="897"/>
      <c r="N1257" s="896"/>
    </row>
    <row r="1258" spans="1:14">
      <c r="A1258" s="123">
        <v>5</v>
      </c>
      <c r="B1258" s="75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5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5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5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5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5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5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5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5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5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51"/>
      <c r="C1268" s="898" t="s">
        <v>5122</v>
      </c>
      <c r="D1268" s="896" t="s">
        <v>311</v>
      </c>
      <c r="E1268" s="896" t="s">
        <v>675</v>
      </c>
      <c r="F1268" s="149" t="s">
        <v>5123</v>
      </c>
      <c r="G1268" s="489" t="s">
        <v>5125</v>
      </c>
      <c r="H1268" s="393" t="s">
        <v>347</v>
      </c>
      <c r="I1268" s="898" t="s">
        <v>5128</v>
      </c>
      <c r="J1268" s="898" t="s">
        <v>638</v>
      </c>
      <c r="K1268" s="898" t="s">
        <v>692</v>
      </c>
      <c r="L1268" s="896" t="s">
        <v>309</v>
      </c>
      <c r="M1268" s="897">
        <v>500000</v>
      </c>
      <c r="N1268" s="896" t="s">
        <v>1772</v>
      </c>
    </row>
    <row r="1269" spans="1:14">
      <c r="A1269" s="123">
        <v>6</v>
      </c>
      <c r="B1269" s="751"/>
      <c r="C1269" s="898"/>
      <c r="D1269" s="896"/>
      <c r="E1269" s="896"/>
      <c r="F1269" s="149" t="s">
        <v>5124</v>
      </c>
      <c r="G1269" s="489" t="s">
        <v>5126</v>
      </c>
      <c r="H1269" s="393" t="s">
        <v>5127</v>
      </c>
      <c r="I1269" s="898"/>
      <c r="J1269" s="898"/>
      <c r="K1269" s="898"/>
      <c r="L1269" s="896"/>
      <c r="M1269" s="897"/>
      <c r="N1269" s="896"/>
    </row>
    <row r="1270" spans="1:14" ht="24">
      <c r="A1270" s="123">
        <v>6</v>
      </c>
      <c r="B1270" s="751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51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5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5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5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5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5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5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5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5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5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51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5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51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51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5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5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5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5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51"/>
      <c r="C1289" s="899" t="s">
        <v>5158</v>
      </c>
      <c r="D1289" s="900" t="s">
        <v>311</v>
      </c>
      <c r="E1289" s="900" t="s">
        <v>675</v>
      </c>
      <c r="F1289" s="520" t="s">
        <v>5123</v>
      </c>
      <c r="G1289" s="521" t="s">
        <v>5125</v>
      </c>
      <c r="H1289" s="521" t="s">
        <v>347</v>
      </c>
      <c r="I1289" s="899" t="s">
        <v>5128</v>
      </c>
      <c r="J1289" s="899"/>
      <c r="K1289" s="899" t="s">
        <v>692</v>
      </c>
      <c r="L1289" s="900" t="s">
        <v>309</v>
      </c>
      <c r="M1289" s="901">
        <v>500000</v>
      </c>
      <c r="N1289" s="896" t="s">
        <v>5032</v>
      </c>
    </row>
    <row r="1290" spans="1:14" ht="19.5">
      <c r="A1290" s="123">
        <v>8</v>
      </c>
      <c r="B1290" s="751"/>
      <c r="C1290" s="898"/>
      <c r="D1290" s="896"/>
      <c r="E1290" s="896"/>
      <c r="F1290" s="149" t="s">
        <v>5124</v>
      </c>
      <c r="G1290" s="489" t="s">
        <v>5126</v>
      </c>
      <c r="H1290" s="491" t="s">
        <v>5127</v>
      </c>
      <c r="I1290" s="898"/>
      <c r="J1290" s="898"/>
      <c r="K1290" s="898"/>
      <c r="L1290" s="896"/>
      <c r="M1290" s="897"/>
      <c r="N1290" s="896"/>
    </row>
    <row r="1291" spans="1:14">
      <c r="A1291" s="123">
        <v>8</v>
      </c>
      <c r="B1291" s="751"/>
      <c r="C1291" s="899" t="s">
        <v>5159</v>
      </c>
      <c r="D1291" s="900" t="s">
        <v>311</v>
      </c>
      <c r="E1291" s="900" t="s">
        <v>320</v>
      </c>
      <c r="F1291" s="902" t="s">
        <v>709</v>
      </c>
      <c r="G1291" s="899" t="s">
        <v>3098</v>
      </c>
      <c r="H1291" s="899" t="s">
        <v>3099</v>
      </c>
      <c r="I1291" s="520" t="s">
        <v>5317</v>
      </c>
      <c r="J1291" s="899" t="s">
        <v>638</v>
      </c>
      <c r="K1291" s="899" t="s">
        <v>713</v>
      </c>
      <c r="L1291" s="900" t="s">
        <v>309</v>
      </c>
      <c r="M1291" s="901">
        <v>250000</v>
      </c>
      <c r="N1291" s="896" t="s">
        <v>5032</v>
      </c>
    </row>
    <row r="1292" spans="1:14">
      <c r="A1292" s="123">
        <v>8</v>
      </c>
      <c r="B1292" s="751"/>
      <c r="C1292" s="898"/>
      <c r="D1292" s="896"/>
      <c r="E1292" s="896"/>
      <c r="F1292" s="903"/>
      <c r="G1292" s="898"/>
      <c r="H1292" s="898"/>
      <c r="I1292" s="149" t="s">
        <v>5160</v>
      </c>
      <c r="J1292" s="898"/>
      <c r="K1292" s="898"/>
      <c r="L1292" s="896"/>
      <c r="M1292" s="897"/>
      <c r="N1292" s="896"/>
    </row>
    <row r="1293" spans="1:14">
      <c r="A1293" s="123">
        <v>8</v>
      </c>
      <c r="B1293" s="751"/>
      <c r="C1293" s="899" t="s">
        <v>5161</v>
      </c>
      <c r="D1293" s="900" t="s">
        <v>311</v>
      </c>
      <c r="E1293" s="900" t="s">
        <v>320</v>
      </c>
      <c r="F1293" s="899" t="s">
        <v>337</v>
      </c>
      <c r="G1293" s="899" t="s">
        <v>3168</v>
      </c>
      <c r="H1293" s="899" t="s">
        <v>3057</v>
      </c>
      <c r="I1293" s="520" t="s">
        <v>5318</v>
      </c>
      <c r="J1293" s="899" t="s">
        <v>638</v>
      </c>
      <c r="K1293" s="899" t="s">
        <v>692</v>
      </c>
      <c r="L1293" s="900" t="s">
        <v>309</v>
      </c>
      <c r="M1293" s="901">
        <v>500000</v>
      </c>
      <c r="N1293" s="896" t="s">
        <v>1206</v>
      </c>
    </row>
    <row r="1294" spans="1:14">
      <c r="A1294" s="123">
        <v>8</v>
      </c>
      <c r="B1294" s="751"/>
      <c r="C1294" s="898"/>
      <c r="D1294" s="896"/>
      <c r="E1294" s="896"/>
      <c r="F1294" s="898"/>
      <c r="G1294" s="898"/>
      <c r="H1294" s="898"/>
      <c r="I1294" s="149" t="s">
        <v>5162</v>
      </c>
      <c r="J1294" s="898"/>
      <c r="K1294" s="898"/>
      <c r="L1294" s="896"/>
      <c r="M1294" s="897"/>
      <c r="N1294" s="896"/>
    </row>
    <row r="1295" spans="1:14">
      <c r="A1295" s="123">
        <v>9</v>
      </c>
      <c r="B1295" s="75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5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51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51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51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51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51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51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5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51"/>
      <c r="C1304" s="899" t="s">
        <v>5175</v>
      </c>
      <c r="D1304" s="900" t="s">
        <v>311</v>
      </c>
      <c r="E1304" s="900" t="s">
        <v>320</v>
      </c>
      <c r="F1304" s="899" t="s">
        <v>337</v>
      </c>
      <c r="G1304" s="899" t="s">
        <v>3168</v>
      </c>
      <c r="H1304" s="899" t="s">
        <v>3057</v>
      </c>
      <c r="I1304" s="524" t="s">
        <v>5176</v>
      </c>
      <c r="J1304" s="899" t="s">
        <v>638</v>
      </c>
      <c r="K1304" s="899" t="s">
        <v>713</v>
      </c>
      <c r="L1304" s="900" t="s">
        <v>309</v>
      </c>
      <c r="M1304" s="901">
        <v>250000</v>
      </c>
      <c r="N1304" s="896" t="s">
        <v>5032</v>
      </c>
    </row>
    <row r="1305" spans="1:14">
      <c r="A1305" s="123">
        <v>9</v>
      </c>
      <c r="B1305" s="751"/>
      <c r="C1305" s="898"/>
      <c r="D1305" s="896"/>
      <c r="E1305" s="896"/>
      <c r="F1305" s="898"/>
      <c r="G1305" s="898"/>
      <c r="H1305" s="898"/>
      <c r="I1305" s="490" t="s">
        <v>5177</v>
      </c>
      <c r="J1305" s="898"/>
      <c r="K1305" s="898"/>
      <c r="L1305" s="896"/>
      <c r="M1305" s="897"/>
      <c r="N1305" s="896"/>
    </row>
    <row r="1306" spans="1:14">
      <c r="A1306" s="123">
        <v>9</v>
      </c>
      <c r="B1306" s="751"/>
      <c r="C1306" s="899" t="s">
        <v>5175</v>
      </c>
      <c r="D1306" s="900" t="s">
        <v>311</v>
      </c>
      <c r="E1306" s="900" t="s">
        <v>320</v>
      </c>
      <c r="F1306" s="899" t="s">
        <v>5178</v>
      </c>
      <c r="G1306" s="520" t="s">
        <v>689</v>
      </c>
      <c r="H1306" s="899" t="s">
        <v>5180</v>
      </c>
      <c r="I1306" s="520" t="s">
        <v>5320</v>
      </c>
      <c r="J1306" s="899"/>
      <c r="K1306" s="899" t="s">
        <v>713</v>
      </c>
      <c r="L1306" s="900" t="s">
        <v>309</v>
      </c>
      <c r="M1306" s="901">
        <v>250000</v>
      </c>
      <c r="N1306" s="896" t="s">
        <v>5032</v>
      </c>
    </row>
    <row r="1307" spans="1:14">
      <c r="A1307" s="123">
        <v>9</v>
      </c>
      <c r="B1307" s="751"/>
      <c r="C1307" s="898"/>
      <c r="D1307" s="896"/>
      <c r="E1307" s="896"/>
      <c r="F1307" s="898"/>
      <c r="G1307" s="149" t="s">
        <v>5179</v>
      </c>
      <c r="H1307" s="898"/>
      <c r="I1307" s="149" t="s">
        <v>5181</v>
      </c>
      <c r="J1307" s="898"/>
      <c r="K1307" s="898"/>
      <c r="L1307" s="896"/>
      <c r="M1307" s="897"/>
      <c r="N1307" s="896"/>
    </row>
    <row r="1308" spans="1:14">
      <c r="A1308" s="123">
        <v>9</v>
      </c>
      <c r="B1308" s="75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51"/>
      <c r="C1309" s="899" t="s">
        <v>5183</v>
      </c>
      <c r="D1309" s="900" t="s">
        <v>311</v>
      </c>
      <c r="E1309" s="900" t="s">
        <v>320</v>
      </c>
      <c r="F1309" s="899" t="s">
        <v>337</v>
      </c>
      <c r="G1309" s="520" t="s">
        <v>3401</v>
      </c>
      <c r="H1309" s="899" t="s">
        <v>5029</v>
      </c>
      <c r="I1309" s="899" t="s">
        <v>5321</v>
      </c>
      <c r="J1309" s="899"/>
      <c r="K1309" s="899" t="s">
        <v>692</v>
      </c>
      <c r="L1309" s="900" t="s">
        <v>309</v>
      </c>
      <c r="M1309" s="901">
        <v>500000</v>
      </c>
      <c r="N1309" s="896" t="s">
        <v>5032</v>
      </c>
    </row>
    <row r="1310" spans="1:14">
      <c r="A1310" s="123">
        <v>9</v>
      </c>
      <c r="B1310" s="751"/>
      <c r="C1310" s="898"/>
      <c r="D1310" s="896"/>
      <c r="E1310" s="896"/>
      <c r="F1310" s="898"/>
      <c r="G1310" s="149" t="s">
        <v>5184</v>
      </c>
      <c r="H1310" s="898"/>
      <c r="I1310" s="898"/>
      <c r="J1310" s="898"/>
      <c r="K1310" s="898"/>
      <c r="L1310" s="896"/>
      <c r="M1310" s="897"/>
      <c r="N1310" s="896"/>
    </row>
    <row r="1311" spans="1:14" ht="24">
      <c r="A1311" s="123">
        <v>9</v>
      </c>
      <c r="B1311" s="75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51"/>
      <c r="C1312" s="899" t="s">
        <v>5187</v>
      </c>
      <c r="D1312" s="900" t="s">
        <v>311</v>
      </c>
      <c r="E1312" s="900" t="s">
        <v>675</v>
      </c>
      <c r="F1312" s="899" t="s">
        <v>5188</v>
      </c>
      <c r="G1312" s="521" t="s">
        <v>1919</v>
      </c>
      <c r="H1312" s="899" t="s">
        <v>347</v>
      </c>
      <c r="I1312" s="899" t="s">
        <v>5324</v>
      </c>
      <c r="J1312" s="899"/>
      <c r="K1312" s="899" t="s">
        <v>692</v>
      </c>
      <c r="L1312" s="900" t="s">
        <v>309</v>
      </c>
      <c r="M1312" s="904">
        <v>500000</v>
      </c>
      <c r="N1312" s="896" t="s">
        <v>1925</v>
      </c>
    </row>
    <row r="1313" spans="1:14">
      <c r="A1313" s="123">
        <v>9</v>
      </c>
      <c r="B1313" s="751"/>
      <c r="C1313" s="898"/>
      <c r="D1313" s="896"/>
      <c r="E1313" s="896"/>
      <c r="F1313" s="898"/>
      <c r="G1313" s="489" t="s">
        <v>5189</v>
      </c>
      <c r="H1313" s="898"/>
      <c r="I1313" s="898"/>
      <c r="J1313" s="898"/>
      <c r="K1313" s="898"/>
      <c r="L1313" s="896"/>
      <c r="M1313" s="905"/>
      <c r="N1313" s="896"/>
    </row>
    <row r="1314" spans="1:14">
      <c r="A1314" s="123">
        <v>10</v>
      </c>
      <c r="B1314" s="751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51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51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51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5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51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5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51"/>
      <c r="C1321" s="898" t="s">
        <v>5201</v>
      </c>
      <c r="D1321" s="896" t="s">
        <v>311</v>
      </c>
      <c r="E1321" s="896" t="s">
        <v>320</v>
      </c>
      <c r="F1321" s="898" t="s">
        <v>337</v>
      </c>
      <c r="G1321" s="898" t="s">
        <v>3168</v>
      </c>
      <c r="H1321" s="898" t="s">
        <v>3057</v>
      </c>
      <c r="I1321" s="490" t="s">
        <v>5176</v>
      </c>
      <c r="J1321" s="898" t="s">
        <v>638</v>
      </c>
      <c r="K1321" s="898" t="s">
        <v>705</v>
      </c>
      <c r="L1321" s="896" t="s">
        <v>309</v>
      </c>
      <c r="M1321" s="897">
        <v>500000</v>
      </c>
      <c r="N1321" s="896" t="s">
        <v>1206</v>
      </c>
    </row>
    <row r="1322" spans="1:14">
      <c r="A1322" s="123">
        <v>10</v>
      </c>
      <c r="B1322" s="751"/>
      <c r="C1322" s="898"/>
      <c r="D1322" s="896"/>
      <c r="E1322" s="896"/>
      <c r="F1322" s="898"/>
      <c r="G1322" s="898"/>
      <c r="H1322" s="898"/>
      <c r="I1322" s="490" t="s">
        <v>5177</v>
      </c>
      <c r="J1322" s="898"/>
      <c r="K1322" s="898"/>
      <c r="L1322" s="896"/>
      <c r="M1322" s="897"/>
      <c r="N1322" s="896"/>
    </row>
    <row r="1323" spans="1:14">
      <c r="A1323" s="123">
        <v>10</v>
      </c>
      <c r="B1323" s="75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51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5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51"/>
      <c r="C1326" s="898" t="s">
        <v>5202</v>
      </c>
      <c r="D1326" s="896" t="s">
        <v>311</v>
      </c>
      <c r="E1326" s="896" t="s">
        <v>320</v>
      </c>
      <c r="F1326" s="898" t="s">
        <v>337</v>
      </c>
      <c r="G1326" s="898" t="s">
        <v>3168</v>
      </c>
      <c r="H1326" s="898" t="s">
        <v>3057</v>
      </c>
      <c r="I1326" s="490" t="s">
        <v>5176</v>
      </c>
      <c r="J1326" s="898"/>
      <c r="K1326" s="898" t="s">
        <v>705</v>
      </c>
      <c r="L1326" s="896" t="s">
        <v>309</v>
      </c>
      <c r="M1326" s="897">
        <v>500000</v>
      </c>
      <c r="N1326" s="896" t="s">
        <v>1206</v>
      </c>
    </row>
    <row r="1327" spans="1:14">
      <c r="A1327" s="123">
        <v>10</v>
      </c>
      <c r="B1327" s="751"/>
      <c r="C1327" s="898"/>
      <c r="D1327" s="896"/>
      <c r="E1327" s="896"/>
      <c r="F1327" s="898"/>
      <c r="G1327" s="898"/>
      <c r="H1327" s="898"/>
      <c r="I1327" s="490" t="s">
        <v>5177</v>
      </c>
      <c r="J1327" s="898"/>
      <c r="K1327" s="898"/>
      <c r="L1327" s="896"/>
      <c r="M1327" s="897"/>
      <c r="N1327" s="896"/>
    </row>
    <row r="1328" spans="1:14" ht="25.5">
      <c r="A1328" s="123">
        <v>10</v>
      </c>
      <c r="B1328" s="75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51"/>
      <c r="C1329" s="899" t="s">
        <v>5209</v>
      </c>
      <c r="D1329" s="900" t="s">
        <v>311</v>
      </c>
      <c r="E1329" s="900" t="s">
        <v>675</v>
      </c>
      <c r="F1329" s="520" t="s">
        <v>5210</v>
      </c>
      <c r="G1329" s="899" t="s">
        <v>5212</v>
      </c>
      <c r="H1329" s="899" t="s">
        <v>662</v>
      </c>
      <c r="I1329" s="899" t="s">
        <v>5326</v>
      </c>
      <c r="J1329" s="899" t="s">
        <v>638</v>
      </c>
      <c r="K1329" s="899" t="s">
        <v>713</v>
      </c>
      <c r="L1329" s="900" t="s">
        <v>309</v>
      </c>
      <c r="M1329" s="901">
        <v>250000</v>
      </c>
      <c r="N1329" s="896" t="s">
        <v>5032</v>
      </c>
    </row>
    <row r="1330" spans="1:14">
      <c r="A1330" s="123">
        <v>10</v>
      </c>
      <c r="B1330" s="751"/>
      <c r="C1330" s="898"/>
      <c r="D1330" s="896"/>
      <c r="E1330" s="896"/>
      <c r="F1330" s="149" t="s">
        <v>5211</v>
      </c>
      <c r="G1330" s="898"/>
      <c r="H1330" s="898"/>
      <c r="I1330" s="898"/>
      <c r="J1330" s="898"/>
      <c r="K1330" s="898"/>
      <c r="L1330" s="896"/>
      <c r="M1330" s="897"/>
      <c r="N1330" s="896"/>
    </row>
    <row r="1331" spans="1:14">
      <c r="A1331" s="123">
        <v>10</v>
      </c>
      <c r="B1331" s="751"/>
      <c r="C1331" s="899" t="s">
        <v>5213</v>
      </c>
      <c r="D1331" s="900" t="s">
        <v>311</v>
      </c>
      <c r="E1331" s="900" t="s">
        <v>675</v>
      </c>
      <c r="F1331" s="899" t="s">
        <v>5214</v>
      </c>
      <c r="G1331" s="521" t="s">
        <v>5126</v>
      </c>
      <c r="H1331" s="910" t="s">
        <v>347</v>
      </c>
      <c r="I1331" s="520" t="s">
        <v>5327</v>
      </c>
      <c r="J1331" s="899"/>
      <c r="K1331" s="899" t="s">
        <v>692</v>
      </c>
      <c r="L1331" s="900" t="s">
        <v>309</v>
      </c>
      <c r="M1331" s="901">
        <v>500000</v>
      </c>
      <c r="N1331" s="896" t="s">
        <v>5032</v>
      </c>
    </row>
    <row r="1332" spans="1:14">
      <c r="A1332" s="123">
        <v>10</v>
      </c>
      <c r="B1332" s="751"/>
      <c r="C1332" s="898"/>
      <c r="D1332" s="896"/>
      <c r="E1332" s="896"/>
      <c r="F1332" s="898"/>
      <c r="G1332" s="489" t="s">
        <v>5215</v>
      </c>
      <c r="H1332" s="911"/>
      <c r="I1332" s="149" t="s">
        <v>5217</v>
      </c>
      <c r="J1332" s="898"/>
      <c r="K1332" s="898"/>
      <c r="L1332" s="896"/>
      <c r="M1332" s="897"/>
      <c r="N1332" s="896"/>
    </row>
    <row r="1333" spans="1:14">
      <c r="A1333" s="123">
        <v>11</v>
      </c>
      <c r="B1333" s="751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51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51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51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51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51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51" t="s">
        <v>5163</v>
      </c>
      <c r="C1339" s="910" t="s">
        <v>5218</v>
      </c>
      <c r="D1339" s="912" t="s">
        <v>311</v>
      </c>
      <c r="E1339" s="912" t="s">
        <v>675</v>
      </c>
      <c r="F1339" s="910" t="s">
        <v>5214</v>
      </c>
      <c r="G1339" s="524" t="s">
        <v>5126</v>
      </c>
      <c r="H1339" s="910" t="s">
        <v>347</v>
      </c>
      <c r="I1339" s="524" t="s">
        <v>5216</v>
      </c>
      <c r="J1339" s="910"/>
      <c r="K1339" s="910" t="s">
        <v>692</v>
      </c>
      <c r="L1339" s="912" t="s">
        <v>309</v>
      </c>
      <c r="M1339" s="913">
        <v>500000</v>
      </c>
      <c r="N1339" s="911" t="s">
        <v>5225</v>
      </c>
    </row>
    <row r="1340" spans="1:14">
      <c r="A1340" s="123">
        <v>11</v>
      </c>
      <c r="B1340" s="751"/>
      <c r="C1340" s="911"/>
      <c r="D1340" s="908"/>
      <c r="E1340" s="908"/>
      <c r="F1340" s="911"/>
      <c r="G1340" s="490" t="s">
        <v>5215</v>
      </c>
      <c r="H1340" s="911"/>
      <c r="I1340" s="490" t="s">
        <v>5217</v>
      </c>
      <c r="J1340" s="911"/>
      <c r="K1340" s="911"/>
      <c r="L1340" s="908"/>
      <c r="M1340" s="914"/>
      <c r="N1340" s="911"/>
    </row>
    <row r="1341" spans="1:14">
      <c r="A1341" s="123">
        <v>11</v>
      </c>
      <c r="B1341" s="751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51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51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51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51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51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51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51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51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51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51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51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51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51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51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51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51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51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51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51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51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51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51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51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51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51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51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51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06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908" t="s">
        <v>5448</v>
      </c>
    </row>
    <row r="1370" spans="1:14">
      <c r="A1370" s="123">
        <v>14</v>
      </c>
      <c r="B1370" s="907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908"/>
    </row>
    <row r="1371" spans="1:14">
      <c r="A1371" s="123">
        <v>14</v>
      </c>
      <c r="B1371" s="907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907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907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07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07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07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09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909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909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909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909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909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55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55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55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55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55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55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55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55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55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55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55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55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55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55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55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55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55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55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55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55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55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55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51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51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51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51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51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52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53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53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53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54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51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1021"/>
    </row>
    <row r="1416" spans="1:14">
      <c r="A1416" s="634">
        <v>18</v>
      </c>
      <c r="B1416" s="751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1021"/>
    </row>
    <row r="1417" spans="1:14">
      <c r="A1417" s="634">
        <v>18</v>
      </c>
      <c r="B1417" s="751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51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51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51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51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51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51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51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31" t="s">
        <v>5819</v>
      </c>
      <c r="C1425" s="696" t="s">
        <v>5808</v>
      </c>
      <c r="D1425" s="693" t="s">
        <v>306</v>
      </c>
      <c r="E1425" s="693" t="s">
        <v>322</v>
      </c>
      <c r="F1425" s="696" t="s">
        <v>5405</v>
      </c>
      <c r="G1425" s="696" t="s">
        <v>5809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1018"/>
    </row>
    <row r="1426" spans="1:14">
      <c r="A1426" s="634">
        <v>19</v>
      </c>
      <c r="B1426" s="931"/>
      <c r="C1426" s="696" t="s">
        <v>5810</v>
      </c>
      <c r="D1426" s="693" t="s">
        <v>306</v>
      </c>
      <c r="E1426" s="693" t="s">
        <v>322</v>
      </c>
      <c r="F1426" s="696" t="s">
        <v>5405</v>
      </c>
      <c r="G1426" s="1020" t="s">
        <v>5820</v>
      </c>
      <c r="H1426" s="696" t="s">
        <v>1047</v>
      </c>
      <c r="I1426" s="713" t="s">
        <v>5811</v>
      </c>
      <c r="J1426" s="693" t="s">
        <v>1534</v>
      </c>
      <c r="K1426" s="693" t="s">
        <v>5812</v>
      </c>
      <c r="L1426" s="693"/>
      <c r="M1426" s="731">
        <v>1500000</v>
      </c>
      <c r="N1426" s="1018"/>
    </row>
    <row r="1427" spans="1:14">
      <c r="A1427" s="634">
        <v>19</v>
      </c>
      <c r="B1427" s="931"/>
      <c r="C1427" s="696" t="s">
        <v>5813</v>
      </c>
      <c r="D1427" s="693" t="s">
        <v>306</v>
      </c>
      <c r="E1427" s="693" t="s">
        <v>322</v>
      </c>
      <c r="F1427" s="696" t="s">
        <v>5405</v>
      </c>
      <c r="G1427" s="696" t="s">
        <v>5809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1018"/>
    </row>
    <row r="1428" spans="1:14">
      <c r="A1428" s="634">
        <v>19</v>
      </c>
      <c r="B1428" s="931"/>
      <c r="C1428" s="696" t="s">
        <v>5814</v>
      </c>
      <c r="D1428" s="693" t="s">
        <v>306</v>
      </c>
      <c r="E1428" s="693" t="s">
        <v>322</v>
      </c>
      <c r="F1428" s="696" t="s">
        <v>5405</v>
      </c>
      <c r="G1428" s="696" t="s">
        <v>5815</v>
      </c>
      <c r="H1428" s="696" t="s">
        <v>5816</v>
      </c>
      <c r="I1428" s="713" t="s">
        <v>5817</v>
      </c>
      <c r="J1428" s="693" t="s">
        <v>664</v>
      </c>
      <c r="K1428" s="693" t="s">
        <v>5818</v>
      </c>
      <c r="L1428" s="693"/>
      <c r="M1428" s="731">
        <v>1000000</v>
      </c>
      <c r="N1428" s="696"/>
    </row>
    <row r="1429" spans="1:14" ht="22.5">
      <c r="A1429" s="634">
        <v>19</v>
      </c>
      <c r="B1429" s="931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931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931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931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1019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15" t="s">
        <v>4857</v>
      </c>
      <c r="D10" s="915"/>
    </row>
    <row r="11" spans="1:4">
      <c r="A11" s="614" t="s">
        <v>4858</v>
      </c>
      <c r="B11" s="614">
        <v>5</v>
      </c>
      <c r="C11" s="916">
        <f>'사전품의양식 (12)'!L9</f>
        <v>3000000</v>
      </c>
      <c r="D11" s="916"/>
    </row>
    <row r="12" spans="1:4">
      <c r="A12" s="614" t="s">
        <v>4859</v>
      </c>
      <c r="B12" s="614">
        <v>3</v>
      </c>
      <c r="C12" s="916">
        <f>'사전품의양식 (12)'!L13</f>
        <v>1050000</v>
      </c>
      <c r="D12" s="916"/>
    </row>
    <row r="13" spans="1:4">
      <c r="A13" s="616" t="s">
        <v>53</v>
      </c>
      <c r="B13" s="616">
        <f>SUM(B11:B12)</f>
        <v>8</v>
      </c>
      <c r="C13" s="917">
        <f>SUM(C11:C12)</f>
        <v>4050000</v>
      </c>
      <c r="D13" s="917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1031" t="s">
        <v>5740</v>
      </c>
      <c r="B26" s="614" t="s">
        <v>5867</v>
      </c>
      <c r="C26" s="727">
        <v>46160</v>
      </c>
      <c r="D26" s="726"/>
      <c r="E26" s="726"/>
    </row>
    <row r="27" spans="1:5">
      <c r="A27" s="1032"/>
      <c r="B27" s="614" t="s">
        <v>5868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39" t="s">
        <v>5866</v>
      </c>
      <c r="B2" s="941" t="s">
        <v>1</v>
      </c>
      <c r="C2" s="941" t="s">
        <v>2</v>
      </c>
      <c r="D2" s="941" t="s">
        <v>3</v>
      </c>
      <c r="E2" s="729" t="s">
        <v>2623</v>
      </c>
      <c r="F2" s="941" t="s">
        <v>5</v>
      </c>
      <c r="G2" s="941" t="s">
        <v>6</v>
      </c>
      <c r="H2" s="941" t="s">
        <v>2624</v>
      </c>
      <c r="I2" s="941" t="s">
        <v>55</v>
      </c>
      <c r="J2" s="941" t="s">
        <v>9</v>
      </c>
      <c r="K2" s="943" t="s">
        <v>56</v>
      </c>
      <c r="L2" s="941" t="s">
        <v>57</v>
      </c>
      <c r="M2" s="937" t="s">
        <v>58</v>
      </c>
    </row>
    <row r="3" spans="1:13">
      <c r="A3" s="940"/>
      <c r="B3" s="942"/>
      <c r="C3" s="942"/>
      <c r="D3" s="942"/>
      <c r="E3" s="730" t="s">
        <v>1724</v>
      </c>
      <c r="F3" s="942"/>
      <c r="G3" s="942"/>
      <c r="H3" s="942"/>
      <c r="I3" s="942"/>
      <c r="J3" s="942"/>
      <c r="K3" s="944"/>
      <c r="L3" s="942"/>
      <c r="M3" s="938"/>
    </row>
    <row r="4" spans="1:13" s="600" customFormat="1" ht="16.5" customHeight="1">
      <c r="A4" s="934" t="s">
        <v>20</v>
      </c>
      <c r="B4" s="709" t="s">
        <v>5847</v>
      </c>
      <c r="C4" s="679" t="s">
        <v>5793</v>
      </c>
      <c r="D4" s="679" t="s">
        <v>5794</v>
      </c>
      <c r="E4" s="1022" t="s">
        <v>5848</v>
      </c>
      <c r="F4" s="1022" t="s">
        <v>5849</v>
      </c>
      <c r="G4" s="1022" t="s">
        <v>5850</v>
      </c>
      <c r="H4" s="1023" t="s">
        <v>5891</v>
      </c>
      <c r="I4" s="710" t="s">
        <v>5852</v>
      </c>
      <c r="J4" s="1024" t="s">
        <v>5892</v>
      </c>
      <c r="K4" s="698"/>
      <c r="L4" s="1025">
        <f>250000*6</f>
        <v>1500000</v>
      </c>
      <c r="M4" s="732"/>
    </row>
    <row r="5" spans="1:13" s="600" customFormat="1" ht="16.5" customHeight="1">
      <c r="A5" s="935"/>
      <c r="B5" s="709">
        <v>46160</v>
      </c>
      <c r="C5" s="679" t="s">
        <v>5793</v>
      </c>
      <c r="D5" s="679" t="s">
        <v>5794</v>
      </c>
      <c r="E5" s="1022" t="s">
        <v>5848</v>
      </c>
      <c r="F5" s="1022">
        <v>1615</v>
      </c>
      <c r="G5" s="1022" t="s">
        <v>5854</v>
      </c>
      <c r="H5" s="1023" t="s">
        <v>5855</v>
      </c>
      <c r="I5" s="710" t="s">
        <v>5856</v>
      </c>
      <c r="J5" s="1024" t="s">
        <v>5857</v>
      </c>
      <c r="K5" s="698"/>
      <c r="L5" s="1025">
        <v>250000</v>
      </c>
      <c r="M5" s="732"/>
    </row>
    <row r="6" spans="1:13" s="600" customFormat="1" ht="16.5" customHeight="1">
      <c r="A6" s="935"/>
      <c r="B6" s="709" t="s">
        <v>5860</v>
      </c>
      <c r="C6" s="679" t="s">
        <v>5793</v>
      </c>
      <c r="D6" s="679" t="s">
        <v>5794</v>
      </c>
      <c r="E6" s="1022" t="s">
        <v>5848</v>
      </c>
      <c r="F6" s="1022">
        <v>1571</v>
      </c>
      <c r="G6" s="1022" t="s">
        <v>5858</v>
      </c>
      <c r="H6" s="1023" t="s">
        <v>5859</v>
      </c>
      <c r="I6" s="710" t="s">
        <v>5856</v>
      </c>
      <c r="J6" s="1024" t="s">
        <v>5861</v>
      </c>
      <c r="K6" s="698"/>
      <c r="L6" s="1025">
        <f>250000*2</f>
        <v>500000</v>
      </c>
      <c r="M6" s="732"/>
    </row>
    <row r="7" spans="1:13" s="600" customFormat="1">
      <c r="A7" s="935"/>
      <c r="B7" s="692">
        <v>46161</v>
      </c>
      <c r="C7" s="679" t="s">
        <v>5793</v>
      </c>
      <c r="D7" s="679" t="s">
        <v>5794</v>
      </c>
      <c r="E7" s="680" t="s">
        <v>5795</v>
      </c>
      <c r="F7" s="680" t="s">
        <v>5796</v>
      </c>
      <c r="G7" s="683" t="s">
        <v>5797</v>
      </c>
      <c r="H7" s="687" t="s">
        <v>5826</v>
      </c>
      <c r="I7" s="680" t="s">
        <v>5798</v>
      </c>
      <c r="J7" s="687" t="s">
        <v>5799</v>
      </c>
      <c r="K7" s="698"/>
      <c r="L7" s="1025">
        <v>250000</v>
      </c>
      <c r="M7" s="732"/>
    </row>
    <row r="8" spans="1:13" s="600" customFormat="1">
      <c r="A8" s="935"/>
      <c r="B8" s="709" t="s">
        <v>5864</v>
      </c>
      <c r="C8" s="679" t="s">
        <v>5793</v>
      </c>
      <c r="D8" s="679" t="s">
        <v>5794</v>
      </c>
      <c r="E8" s="1022" t="s">
        <v>5848</v>
      </c>
      <c r="F8" s="1022" t="s">
        <v>5862</v>
      </c>
      <c r="G8" s="1022" t="s">
        <v>5863</v>
      </c>
      <c r="H8" s="1023" t="s">
        <v>5859</v>
      </c>
      <c r="I8" s="710" t="s">
        <v>5856</v>
      </c>
      <c r="J8" s="1024" t="s">
        <v>5861</v>
      </c>
      <c r="K8" s="698"/>
      <c r="L8" s="1025">
        <f>250000*2</f>
        <v>500000</v>
      </c>
      <c r="M8" s="733"/>
    </row>
    <row r="9" spans="1:13">
      <c r="A9" s="936"/>
      <c r="B9" s="931" t="s">
        <v>1136</v>
      </c>
      <c r="C9" s="931"/>
      <c r="D9" s="931"/>
      <c r="E9" s="931"/>
      <c r="F9" s="931"/>
      <c r="G9" s="931"/>
      <c r="H9" s="931"/>
      <c r="I9" s="931"/>
      <c r="J9" s="931"/>
      <c r="K9" s="931"/>
      <c r="L9" s="734">
        <f>SUM(L4:L8)</f>
        <v>3000000</v>
      </c>
      <c r="M9" s="735"/>
    </row>
    <row r="10" spans="1:13">
      <c r="A10" s="934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1026">
        <v>250000</v>
      </c>
      <c r="M10" s="735" t="s">
        <v>5865</v>
      </c>
    </row>
    <row r="11" spans="1:13" ht="16.5" customHeight="1">
      <c r="A11" s="935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5792</v>
      </c>
      <c r="I11" s="680"/>
      <c r="J11" s="680" t="s">
        <v>5776</v>
      </c>
      <c r="K11" s="679" t="s">
        <v>5749</v>
      </c>
      <c r="L11" s="1026">
        <v>500000</v>
      </c>
      <c r="M11" s="735"/>
    </row>
    <row r="12" spans="1:13" ht="16.5" customHeight="1">
      <c r="A12" s="935"/>
      <c r="B12" s="692">
        <v>46164</v>
      </c>
      <c r="C12" s="698" t="s">
        <v>5780</v>
      </c>
      <c r="D12" s="698" t="s">
        <v>5768</v>
      </c>
      <c r="E12" s="700" t="s">
        <v>5781</v>
      </c>
      <c r="F12" s="700">
        <v>124001</v>
      </c>
      <c r="G12" s="703" t="s">
        <v>5782</v>
      </c>
      <c r="H12" s="701" t="s">
        <v>5833</v>
      </c>
      <c r="I12" s="700" t="s">
        <v>5831</v>
      </c>
      <c r="J12" s="700" t="s">
        <v>5832</v>
      </c>
      <c r="K12" s="698" t="s">
        <v>5783</v>
      </c>
      <c r="L12" s="1026">
        <v>300000</v>
      </c>
      <c r="M12" s="735"/>
    </row>
    <row r="13" spans="1:13">
      <c r="A13" s="936"/>
      <c r="B13" s="931" t="s">
        <v>4879</v>
      </c>
      <c r="C13" s="931"/>
      <c r="D13" s="931"/>
      <c r="E13" s="931"/>
      <c r="F13" s="931"/>
      <c r="G13" s="931"/>
      <c r="H13" s="931"/>
      <c r="I13" s="931"/>
      <c r="J13" s="931"/>
      <c r="K13" s="931"/>
      <c r="L13" s="734">
        <f>SUM(L10:L12)</f>
        <v>1050000</v>
      </c>
      <c r="M13" s="735"/>
    </row>
    <row r="14" spans="1:13" ht="25.5" customHeight="1" thickBot="1">
      <c r="A14" s="932" t="s">
        <v>62</v>
      </c>
      <c r="B14" s="933"/>
      <c r="C14" s="933"/>
      <c r="D14" s="933"/>
      <c r="E14" s="933"/>
      <c r="F14" s="933"/>
      <c r="G14" s="933"/>
      <c r="H14" s="933"/>
      <c r="I14" s="933"/>
      <c r="J14" s="933"/>
      <c r="K14" s="933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29" t="s">
        <v>5807</v>
      </c>
      <c r="B32" s="920" t="s">
        <v>1</v>
      </c>
      <c r="C32" s="920" t="s">
        <v>2</v>
      </c>
      <c r="D32" s="920" t="s">
        <v>3</v>
      </c>
      <c r="E32" s="620" t="s">
        <v>2623</v>
      </c>
      <c r="F32" s="920" t="s">
        <v>5</v>
      </c>
      <c r="G32" s="920" t="s">
        <v>6</v>
      </c>
      <c r="H32" s="920" t="s">
        <v>2624</v>
      </c>
      <c r="I32" s="920" t="s">
        <v>55</v>
      </c>
      <c r="J32" s="920" t="s">
        <v>9</v>
      </c>
      <c r="K32" s="927" t="s">
        <v>56</v>
      </c>
      <c r="L32" s="920" t="s">
        <v>57</v>
      </c>
      <c r="M32" s="922" t="s">
        <v>58</v>
      </c>
    </row>
    <row r="33" spans="1:13">
      <c r="A33" s="930"/>
      <c r="B33" s="921"/>
      <c r="C33" s="921"/>
      <c r="D33" s="921"/>
      <c r="E33" s="597" t="s">
        <v>1724</v>
      </c>
      <c r="F33" s="921"/>
      <c r="G33" s="921"/>
      <c r="H33" s="921"/>
      <c r="I33" s="921"/>
      <c r="J33" s="921"/>
      <c r="K33" s="928"/>
      <c r="L33" s="921"/>
      <c r="M33" s="923"/>
    </row>
    <row r="34" spans="1:13" s="600" customFormat="1" ht="16.5" customHeight="1">
      <c r="A34" s="924" t="s">
        <v>20</v>
      </c>
      <c r="B34" s="588" t="s">
        <v>5847</v>
      </c>
      <c r="C34" s="3" t="s">
        <v>5793</v>
      </c>
      <c r="D34" s="3" t="s">
        <v>5794</v>
      </c>
      <c r="E34" s="589" t="s">
        <v>5848</v>
      </c>
      <c r="F34" s="589" t="s">
        <v>5849</v>
      </c>
      <c r="G34" s="589" t="s">
        <v>5850</v>
      </c>
      <c r="H34" s="590" t="s">
        <v>5851</v>
      </c>
      <c r="I34" s="609" t="s">
        <v>5852</v>
      </c>
      <c r="J34" s="598" t="s">
        <v>5853</v>
      </c>
      <c r="K34" s="643"/>
      <c r="L34" s="396">
        <f>250000*4</f>
        <v>1000000</v>
      </c>
      <c r="M34" s="621"/>
    </row>
    <row r="35" spans="1:13" s="600" customFormat="1" ht="16.5" customHeight="1">
      <c r="A35" s="925"/>
      <c r="B35" s="588">
        <v>46160</v>
      </c>
      <c r="C35" s="3" t="s">
        <v>5793</v>
      </c>
      <c r="D35" s="3" t="s">
        <v>5794</v>
      </c>
      <c r="E35" s="589" t="s">
        <v>5848</v>
      </c>
      <c r="F35" s="589">
        <v>1615</v>
      </c>
      <c r="G35" s="589" t="s">
        <v>5854</v>
      </c>
      <c r="H35" s="590" t="s">
        <v>5855</v>
      </c>
      <c r="I35" s="609" t="s">
        <v>5856</v>
      </c>
      <c r="J35" s="598" t="s">
        <v>5857</v>
      </c>
      <c r="K35" s="690"/>
      <c r="L35" s="396">
        <v>250000</v>
      </c>
      <c r="M35" s="621"/>
    </row>
    <row r="36" spans="1:13" s="600" customFormat="1" ht="16.5" customHeight="1">
      <c r="A36" s="925"/>
      <c r="B36" s="588" t="s">
        <v>5860</v>
      </c>
      <c r="C36" s="3" t="s">
        <v>5793</v>
      </c>
      <c r="D36" s="3" t="s">
        <v>5794</v>
      </c>
      <c r="E36" s="589" t="s">
        <v>5848</v>
      </c>
      <c r="F36" s="589">
        <v>1571</v>
      </c>
      <c r="G36" s="589" t="s">
        <v>5858</v>
      </c>
      <c r="H36" s="590" t="s">
        <v>5859</v>
      </c>
      <c r="I36" s="609" t="s">
        <v>5856</v>
      </c>
      <c r="J36" s="598" t="s">
        <v>5861</v>
      </c>
      <c r="K36" s="690"/>
      <c r="L36" s="396">
        <f>250000*2</f>
        <v>500000</v>
      </c>
      <c r="M36" s="621"/>
    </row>
    <row r="37" spans="1:13" s="600" customFormat="1">
      <c r="A37" s="925"/>
      <c r="B37" s="370">
        <v>46161</v>
      </c>
      <c r="C37" s="3" t="s">
        <v>5793</v>
      </c>
      <c r="D37" s="3" t="s">
        <v>5794</v>
      </c>
      <c r="E37" s="467" t="s">
        <v>5795</v>
      </c>
      <c r="F37" s="467" t="s">
        <v>5796</v>
      </c>
      <c r="G37" s="472" t="s">
        <v>5797</v>
      </c>
      <c r="H37" s="466" t="s">
        <v>5826</v>
      </c>
      <c r="I37" s="467" t="s">
        <v>5798</v>
      </c>
      <c r="J37" s="466" t="s">
        <v>5799</v>
      </c>
      <c r="K37" s="643"/>
      <c r="L37" s="396">
        <v>250000</v>
      </c>
      <c r="M37" s="621"/>
    </row>
    <row r="38" spans="1:13" s="600" customFormat="1">
      <c r="A38" s="925"/>
      <c r="B38" s="588" t="s">
        <v>5864</v>
      </c>
      <c r="C38" s="3" t="s">
        <v>5793</v>
      </c>
      <c r="D38" s="3" t="s">
        <v>5794</v>
      </c>
      <c r="E38" s="589" t="s">
        <v>5848</v>
      </c>
      <c r="F38" s="589" t="s">
        <v>5862</v>
      </c>
      <c r="G38" s="589" t="s">
        <v>5863</v>
      </c>
      <c r="H38" s="590" t="s">
        <v>5859</v>
      </c>
      <c r="I38" s="609" t="s">
        <v>5856</v>
      </c>
      <c r="J38" s="598" t="s">
        <v>5861</v>
      </c>
      <c r="K38" s="643"/>
      <c r="L38" s="396">
        <f>250000*2</f>
        <v>500000</v>
      </c>
      <c r="M38" s="622"/>
    </row>
    <row r="39" spans="1:13">
      <c r="A39" s="926"/>
      <c r="B39" s="755" t="s">
        <v>1136</v>
      </c>
      <c r="C39" s="755"/>
      <c r="D39" s="755"/>
      <c r="E39" s="755"/>
      <c r="F39" s="755"/>
      <c r="G39" s="755"/>
      <c r="H39" s="755"/>
      <c r="I39" s="755"/>
      <c r="J39" s="755"/>
      <c r="K39" s="755"/>
      <c r="L39" s="96">
        <f>SUM(L34:L38)</f>
        <v>2500000</v>
      </c>
      <c r="M39" s="623"/>
    </row>
    <row r="40" spans="1:13">
      <c r="A40" s="924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5806</v>
      </c>
    </row>
    <row r="41" spans="1:13" ht="24">
      <c r="A41" s="925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5792</v>
      </c>
      <c r="I41" s="467"/>
      <c r="J41" s="467" t="s">
        <v>5776</v>
      </c>
      <c r="K41" s="136" t="s">
        <v>5749</v>
      </c>
      <c r="L41" s="96">
        <v>500000</v>
      </c>
      <c r="M41" s="623"/>
    </row>
    <row r="42" spans="1:13" ht="16.5" customHeight="1">
      <c r="A42" s="925"/>
      <c r="B42" s="370">
        <v>46164</v>
      </c>
      <c r="C42" s="4" t="s">
        <v>5780</v>
      </c>
      <c r="D42" s="4" t="s">
        <v>5768</v>
      </c>
      <c r="E42" s="688" t="s">
        <v>5781</v>
      </c>
      <c r="F42" s="688">
        <v>124001</v>
      </c>
      <c r="G42" s="16" t="s">
        <v>5782</v>
      </c>
      <c r="H42" s="689" t="s">
        <v>5833</v>
      </c>
      <c r="I42" s="688" t="s">
        <v>5831</v>
      </c>
      <c r="J42" s="688" t="s">
        <v>5832</v>
      </c>
      <c r="K42" s="125" t="s">
        <v>5783</v>
      </c>
      <c r="L42" s="96">
        <v>300000</v>
      </c>
      <c r="M42" s="623"/>
    </row>
    <row r="43" spans="1:13">
      <c r="A43" s="925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26"/>
      <c r="B44" s="755" t="s">
        <v>5846</v>
      </c>
      <c r="C44" s="755"/>
      <c r="D44" s="755"/>
      <c r="E44" s="755"/>
      <c r="F44" s="755"/>
      <c r="G44" s="755"/>
      <c r="H44" s="755"/>
      <c r="I44" s="755"/>
      <c r="J44" s="755"/>
      <c r="K44" s="755"/>
      <c r="L44" s="96">
        <f>SUM(L40:L43)</f>
        <v>1050000</v>
      </c>
      <c r="M44" s="623"/>
    </row>
    <row r="45" spans="1:13" ht="25.5" customHeight="1" thickBot="1">
      <c r="A45" s="918" t="s">
        <v>62</v>
      </c>
      <c r="B45" s="919"/>
      <c r="C45" s="919"/>
      <c r="D45" s="919"/>
      <c r="E45" s="919"/>
      <c r="F45" s="919"/>
      <c r="G45" s="919"/>
      <c r="H45" s="919"/>
      <c r="I45" s="919"/>
      <c r="J45" s="919"/>
      <c r="K45" s="919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1027" t="s">
        <v>5845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1028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5792</v>
      </c>
      <c r="I61" s="680"/>
      <c r="J61" s="680" t="s">
        <v>5776</v>
      </c>
      <c r="K61" s="679" t="s">
        <v>5749</v>
      </c>
      <c r="L61" s="743">
        <v>2</v>
      </c>
      <c r="M61" s="743"/>
    </row>
    <row r="62" spans="1:13">
      <c r="A62" s="1028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1028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1028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1028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5841</v>
      </c>
      <c r="H65" s="687" t="s">
        <v>5842</v>
      </c>
      <c r="I65" s="680" t="s">
        <v>5843</v>
      </c>
      <c r="J65" s="687"/>
      <c r="K65" s="679" t="s">
        <v>5844</v>
      </c>
      <c r="L65" s="743">
        <v>2</v>
      </c>
      <c r="M65" s="743"/>
    </row>
    <row r="66" spans="1:13">
      <c r="A66" s="1028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1028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5828</v>
      </c>
      <c r="J67" s="701"/>
      <c r="K67" s="698" t="s">
        <v>5829</v>
      </c>
      <c r="L67" s="742">
        <v>2</v>
      </c>
      <c r="M67" s="742"/>
    </row>
    <row r="68" spans="1:13">
      <c r="A68" s="1028"/>
      <c r="B68" s="709">
        <v>46163</v>
      </c>
      <c r="C68" s="698"/>
      <c r="D68" s="698"/>
      <c r="E68" s="1029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1030"/>
      <c r="B69" s="692">
        <v>46164</v>
      </c>
      <c r="C69" s="698" t="s">
        <v>5780</v>
      </c>
      <c r="D69" s="698" t="s">
        <v>5768</v>
      </c>
      <c r="E69" s="700" t="s">
        <v>5781</v>
      </c>
      <c r="F69" s="700">
        <v>124001</v>
      </c>
      <c r="G69" s="703" t="s">
        <v>5782</v>
      </c>
      <c r="H69" s="701" t="s">
        <v>5833</v>
      </c>
      <c r="I69" s="700" t="s">
        <v>5831</v>
      </c>
      <c r="J69" s="700" t="s">
        <v>5832</v>
      </c>
      <c r="K69" s="698" t="s">
        <v>5783</v>
      </c>
      <c r="L69" s="742">
        <v>3</v>
      </c>
      <c r="M69" s="742"/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32:F33"/>
    <mergeCell ref="B9:K9"/>
    <mergeCell ref="A14:K14"/>
    <mergeCell ref="B13:K13"/>
    <mergeCell ref="A10:A13"/>
    <mergeCell ref="A4:A9"/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6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51" t="s">
        <v>53</v>
      </c>
      <c r="B21" s="751"/>
      <c r="C21" s="751"/>
      <c r="D21" s="751"/>
      <c r="E21" s="751"/>
      <c r="F21" s="751"/>
      <c r="G21" s="751"/>
      <c r="H21" s="751"/>
      <c r="I21" s="75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69" t="s">
        <v>53</v>
      </c>
      <c r="B26" s="970"/>
      <c r="C26" s="970"/>
      <c r="D26" s="970"/>
      <c r="E26" s="970"/>
      <c r="F26" s="970"/>
      <c r="G26" s="970"/>
      <c r="H26" s="970"/>
      <c r="I26" s="97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69" t="s">
        <v>53</v>
      </c>
      <c r="B35" s="970"/>
      <c r="C35" s="970"/>
      <c r="D35" s="970"/>
      <c r="E35" s="970"/>
      <c r="F35" s="970"/>
      <c r="G35" s="970"/>
      <c r="H35" s="970"/>
      <c r="I35" s="97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6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69" t="s">
        <v>53</v>
      </c>
      <c r="B42" s="970"/>
      <c r="C42" s="970"/>
      <c r="D42" s="970"/>
      <c r="E42" s="970"/>
      <c r="F42" s="970"/>
      <c r="G42" s="970"/>
      <c r="H42" s="970"/>
      <c r="I42" s="97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69" t="s">
        <v>53</v>
      </c>
      <c r="B48" s="970"/>
      <c r="C48" s="970"/>
      <c r="D48" s="970"/>
      <c r="E48" s="970"/>
      <c r="F48" s="970"/>
      <c r="G48" s="970"/>
      <c r="H48" s="970"/>
      <c r="I48" s="97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6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69" t="s">
        <v>53</v>
      </c>
      <c r="B54" s="970"/>
      <c r="C54" s="970"/>
      <c r="D54" s="970"/>
      <c r="E54" s="970"/>
      <c r="F54" s="970"/>
      <c r="G54" s="970"/>
      <c r="H54" s="970"/>
      <c r="I54" s="97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7"/>
      <c r="B61" s="100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7"/>
      <c r="B62" s="100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7"/>
      <c r="B63" s="100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69" t="s">
        <v>53</v>
      </c>
      <c r="B64" s="970"/>
      <c r="C64" s="970"/>
      <c r="D64" s="970"/>
      <c r="E64" s="970"/>
      <c r="F64" s="970"/>
      <c r="G64" s="970"/>
      <c r="H64" s="970"/>
      <c r="I64" s="97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9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69" t="s">
        <v>53</v>
      </c>
      <c r="B70" s="970"/>
      <c r="C70" s="970"/>
      <c r="D70" s="970"/>
      <c r="E70" s="970"/>
      <c r="F70" s="970"/>
      <c r="G70" s="970"/>
      <c r="H70" s="970"/>
      <c r="I70" s="97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51" t="s">
        <v>53</v>
      </c>
      <c r="B78" s="751"/>
      <c r="C78" s="751"/>
      <c r="D78" s="751"/>
      <c r="E78" s="751"/>
      <c r="F78" s="751"/>
      <c r="G78" s="751"/>
      <c r="H78" s="751"/>
      <c r="I78" s="75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69" t="s">
        <v>53</v>
      </c>
      <c r="B86" s="970"/>
      <c r="C86" s="970"/>
      <c r="D86" s="970"/>
      <c r="E86" s="970"/>
      <c r="F86" s="970"/>
      <c r="G86" s="970"/>
      <c r="H86" s="970"/>
      <c r="I86" s="97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69" t="s">
        <v>53</v>
      </c>
      <c r="B92" s="970"/>
      <c r="C92" s="970"/>
      <c r="D92" s="970"/>
      <c r="E92" s="970"/>
      <c r="F92" s="970"/>
      <c r="G92" s="970"/>
      <c r="H92" s="970"/>
      <c r="I92" s="97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69" t="s">
        <v>53</v>
      </c>
      <c r="B101" s="970"/>
      <c r="C101" s="970"/>
      <c r="D101" s="970"/>
      <c r="E101" s="970"/>
      <c r="F101" s="970"/>
      <c r="G101" s="970"/>
      <c r="H101" s="970"/>
      <c r="I101" s="97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7"/>
      <c r="B107" s="99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7"/>
      <c r="B108" s="99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6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51" t="s">
        <v>53</v>
      </c>
      <c r="B112" s="751"/>
      <c r="C112" s="751"/>
      <c r="D112" s="751"/>
      <c r="E112" s="751"/>
      <c r="F112" s="751"/>
      <c r="G112" s="751"/>
      <c r="H112" s="751"/>
      <c r="I112" s="75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52" t="s">
        <v>954</v>
      </c>
      <c r="B119" s="77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53"/>
      <c r="B120" s="78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51" t="s">
        <v>53</v>
      </c>
      <c r="B121" s="751"/>
      <c r="C121" s="751"/>
      <c r="D121" s="751"/>
      <c r="E121" s="751"/>
      <c r="F121" s="751"/>
      <c r="G121" s="751"/>
      <c r="H121" s="751"/>
      <c r="I121" s="75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53"/>
      <c r="B129" s="100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87">
        <v>2</v>
      </c>
      <c r="K129" s="25" t="s">
        <v>52</v>
      </c>
      <c r="L129" s="25" t="s">
        <v>51</v>
      </c>
    </row>
    <row r="130" spans="1:12">
      <c r="A130" s="753"/>
      <c r="B130" s="100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88"/>
      <c r="K130" s="25" t="s">
        <v>52</v>
      </c>
      <c r="L130" s="25" t="s">
        <v>51</v>
      </c>
    </row>
    <row r="131" spans="1:12">
      <c r="A131" s="7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53"/>
      <c r="B133" s="84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87" t="s">
        <v>1277</v>
      </c>
      <c r="J133" s="987">
        <v>1</v>
      </c>
      <c r="K133" s="25" t="s">
        <v>52</v>
      </c>
      <c r="L133" s="25" t="s">
        <v>51</v>
      </c>
    </row>
    <row r="134" spans="1:12">
      <c r="A134" s="753"/>
      <c r="B134" s="84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7"/>
      <c r="J134" s="988"/>
      <c r="K134" s="25" t="s">
        <v>52</v>
      </c>
      <c r="L134" s="25" t="s">
        <v>51</v>
      </c>
    </row>
    <row r="135" spans="1:12">
      <c r="A135" s="7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51" t="s">
        <v>53</v>
      </c>
      <c r="B137" s="751"/>
      <c r="C137" s="751"/>
      <c r="D137" s="751"/>
      <c r="E137" s="751"/>
      <c r="F137" s="751"/>
      <c r="G137" s="751"/>
      <c r="H137" s="751"/>
      <c r="I137" s="75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53" t="s">
        <v>1007</v>
      </c>
      <c r="B142" s="84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53"/>
      <c r="B143" s="84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51" t="s">
        <v>53</v>
      </c>
      <c r="B145" s="751"/>
      <c r="C145" s="751"/>
      <c r="D145" s="751"/>
      <c r="E145" s="751"/>
      <c r="F145" s="751"/>
      <c r="G145" s="751"/>
      <c r="H145" s="751"/>
      <c r="I145" s="75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4"/>
      <c r="B150" s="77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4"/>
      <c r="B151" s="78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6" t="s">
        <v>53</v>
      </c>
      <c r="B154" s="956"/>
      <c r="C154" s="956"/>
      <c r="D154" s="956"/>
      <c r="E154" s="956"/>
      <c r="F154" s="956"/>
      <c r="G154" s="956"/>
      <c r="H154" s="956"/>
      <c r="I154" s="9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51" t="s">
        <v>53</v>
      </c>
      <c r="B163" s="751"/>
      <c r="C163" s="751"/>
      <c r="D163" s="751"/>
      <c r="E163" s="751"/>
      <c r="F163" s="751"/>
      <c r="G163" s="751"/>
      <c r="H163" s="751"/>
      <c r="I163" s="75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6" t="s">
        <v>53</v>
      </c>
      <c r="B167" s="956"/>
      <c r="C167" s="956"/>
      <c r="D167" s="956"/>
      <c r="E167" s="956"/>
      <c r="F167" s="956"/>
      <c r="G167" s="956"/>
      <c r="H167" s="956"/>
      <c r="I167" s="9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51" t="s">
        <v>53</v>
      </c>
      <c r="B183" s="751"/>
      <c r="C183" s="751"/>
      <c r="D183" s="751"/>
      <c r="E183" s="751"/>
      <c r="F183" s="751"/>
      <c r="G183" s="751"/>
      <c r="H183" s="751"/>
      <c r="I183" s="75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0" t="s">
        <v>1061</v>
      </c>
      <c r="B189" s="77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1"/>
      <c r="B190" s="78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1"/>
      <c r="B191" s="77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1"/>
      <c r="B192" s="78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51" t="s">
        <v>53</v>
      </c>
      <c r="B193" s="751"/>
      <c r="C193" s="751"/>
      <c r="D193" s="751"/>
      <c r="E193" s="751"/>
      <c r="F193" s="751"/>
      <c r="G193" s="751"/>
      <c r="H193" s="751"/>
      <c r="I193" s="75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6" t="s">
        <v>53</v>
      </c>
      <c r="B203" s="956"/>
      <c r="C203" s="956"/>
      <c r="D203" s="956"/>
      <c r="E203" s="956"/>
      <c r="F203" s="956"/>
      <c r="G203" s="956"/>
      <c r="H203" s="956"/>
      <c r="I203" s="9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6" t="s">
        <v>53</v>
      </c>
      <c r="B214" s="956"/>
      <c r="C214" s="956"/>
      <c r="D214" s="956"/>
      <c r="E214" s="956"/>
      <c r="F214" s="956"/>
      <c r="G214" s="956"/>
      <c r="H214" s="956"/>
      <c r="I214" s="95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6" t="s">
        <v>1458</v>
      </c>
      <c r="B226" s="956"/>
      <c r="C226" s="956"/>
      <c r="D226" s="956"/>
      <c r="E226" s="956"/>
      <c r="F226" s="956"/>
      <c r="G226" s="956"/>
      <c r="H226" s="956"/>
      <c r="I226" s="9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6" t="s">
        <v>1499</v>
      </c>
      <c r="B236" s="956"/>
      <c r="C236" s="956"/>
      <c r="D236" s="956"/>
      <c r="E236" s="956"/>
      <c r="F236" s="956"/>
      <c r="G236" s="956"/>
      <c r="H236" s="956"/>
      <c r="I236" s="9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69" t="s">
        <v>53</v>
      </c>
      <c r="B244" s="970"/>
      <c r="C244" s="970"/>
      <c r="D244" s="970"/>
      <c r="E244" s="970"/>
      <c r="F244" s="970"/>
      <c r="G244" s="970"/>
      <c r="H244" s="970"/>
      <c r="I244" s="97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69" t="s">
        <v>53</v>
      </c>
      <c r="B250" s="970"/>
      <c r="C250" s="970"/>
      <c r="D250" s="970"/>
      <c r="E250" s="970"/>
      <c r="F250" s="970"/>
      <c r="G250" s="970"/>
      <c r="H250" s="970"/>
      <c r="I250" s="97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69" t="s">
        <v>53</v>
      </c>
      <c r="B257" s="970"/>
      <c r="C257" s="970"/>
      <c r="D257" s="970"/>
      <c r="E257" s="970"/>
      <c r="F257" s="970"/>
      <c r="G257" s="970"/>
      <c r="H257" s="970"/>
      <c r="I257" s="97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69" t="s">
        <v>53</v>
      </c>
      <c r="B262" s="970"/>
      <c r="C262" s="970"/>
      <c r="D262" s="970"/>
      <c r="E262" s="970"/>
      <c r="F262" s="970"/>
      <c r="G262" s="970"/>
      <c r="H262" s="970"/>
      <c r="I262" s="97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8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6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69" t="s">
        <v>53</v>
      </c>
      <c r="B271" s="970"/>
      <c r="C271" s="970"/>
      <c r="D271" s="970"/>
      <c r="E271" s="970"/>
      <c r="F271" s="970"/>
      <c r="G271" s="970"/>
      <c r="H271" s="970"/>
      <c r="I271" s="97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69" t="s">
        <v>53</v>
      </c>
      <c r="B275" s="970"/>
      <c r="C275" s="970"/>
      <c r="D275" s="970"/>
      <c r="E275" s="970"/>
      <c r="F275" s="970"/>
      <c r="G275" s="970"/>
      <c r="H275" s="970"/>
      <c r="I275" s="97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7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7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7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7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7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7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7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69" t="s">
        <v>1646</v>
      </c>
      <c r="B296" s="970"/>
      <c r="C296" s="970"/>
      <c r="D296" s="970"/>
      <c r="E296" s="970"/>
      <c r="F296" s="970"/>
      <c r="G296" s="970"/>
      <c r="H296" s="970"/>
      <c r="I296" s="970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6" t="s">
        <v>1659</v>
      </c>
      <c r="B305" s="956"/>
      <c r="C305" s="956"/>
      <c r="D305" s="956"/>
      <c r="E305" s="956"/>
      <c r="F305" s="956"/>
      <c r="G305" s="956"/>
      <c r="H305" s="956"/>
      <c r="I305" s="9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6" t="s">
        <v>53</v>
      </c>
      <c r="B309" s="956"/>
      <c r="C309" s="956"/>
      <c r="D309" s="956"/>
      <c r="E309" s="956"/>
      <c r="F309" s="956"/>
      <c r="G309" s="956"/>
      <c r="H309" s="956"/>
      <c r="I309" s="95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6" t="s">
        <v>1659</v>
      </c>
      <c r="B314" s="956"/>
      <c r="C314" s="956"/>
      <c r="D314" s="956"/>
      <c r="E314" s="956"/>
      <c r="F314" s="956"/>
      <c r="G314" s="956"/>
      <c r="H314" s="956"/>
      <c r="I314" s="9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6" t="s">
        <v>1659</v>
      </c>
      <c r="B321" s="956"/>
      <c r="C321" s="956"/>
      <c r="D321" s="956"/>
      <c r="E321" s="956"/>
      <c r="F321" s="956"/>
      <c r="G321" s="956"/>
      <c r="H321" s="956"/>
      <c r="I321" s="95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6" t="s">
        <v>1659</v>
      </c>
      <c r="B330" s="956"/>
      <c r="C330" s="956"/>
      <c r="D330" s="956"/>
      <c r="E330" s="956"/>
      <c r="F330" s="956"/>
      <c r="G330" s="956"/>
      <c r="H330" s="956"/>
      <c r="I330" s="95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6" t="s">
        <v>1659</v>
      </c>
      <c r="B338" s="956"/>
      <c r="C338" s="956"/>
      <c r="D338" s="956"/>
      <c r="E338" s="956"/>
      <c r="F338" s="956"/>
      <c r="G338" s="956"/>
      <c r="H338" s="956"/>
      <c r="I338" s="95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9" t="s">
        <v>1521</v>
      </c>
      <c r="B343" s="128" t="s">
        <v>1531</v>
      </c>
      <c r="C343" s="882" t="s">
        <v>306</v>
      </c>
      <c r="D343" s="882" t="s">
        <v>322</v>
      </c>
      <c r="E343" s="756" t="s">
        <v>307</v>
      </c>
      <c r="F343" s="1012">
        <v>4266</v>
      </c>
      <c r="G343" s="882" t="s">
        <v>640</v>
      </c>
      <c r="H343" s="1012" t="s">
        <v>1533</v>
      </c>
      <c r="I343" s="882" t="s">
        <v>1534</v>
      </c>
      <c r="J343" s="756">
        <v>2</v>
      </c>
      <c r="K343" s="966" t="s">
        <v>50</v>
      </c>
      <c r="L343" s="966" t="s">
        <v>51</v>
      </c>
    </row>
    <row r="344" spans="1:13">
      <c r="A344" s="1010"/>
      <c r="B344" s="129" t="s">
        <v>1532</v>
      </c>
      <c r="C344" s="757"/>
      <c r="D344" s="757"/>
      <c r="E344" s="757"/>
      <c r="F344" s="759"/>
      <c r="G344" s="757"/>
      <c r="H344" s="759"/>
      <c r="I344" s="757"/>
      <c r="J344" s="757"/>
      <c r="K344" s="968"/>
      <c r="L344" s="968"/>
    </row>
    <row r="345" spans="1:13">
      <c r="A345" s="1010"/>
      <c r="B345" s="128" t="s">
        <v>1536</v>
      </c>
      <c r="C345" s="756" t="s">
        <v>306</v>
      </c>
      <c r="D345" s="756" t="s">
        <v>322</v>
      </c>
      <c r="E345" s="756" t="s">
        <v>307</v>
      </c>
      <c r="F345" s="758">
        <v>3306</v>
      </c>
      <c r="G345" s="756" t="s">
        <v>1153</v>
      </c>
      <c r="H345" s="758" t="s">
        <v>1538</v>
      </c>
      <c r="I345" s="756" t="s">
        <v>1534</v>
      </c>
      <c r="J345" s="756">
        <v>2</v>
      </c>
      <c r="K345" s="966" t="s">
        <v>50</v>
      </c>
      <c r="L345" s="966" t="s">
        <v>51</v>
      </c>
    </row>
    <row r="346" spans="1:13">
      <c r="A346" s="1011"/>
      <c r="B346" s="129" t="s">
        <v>1537</v>
      </c>
      <c r="C346" s="757"/>
      <c r="D346" s="757"/>
      <c r="E346" s="757"/>
      <c r="F346" s="759"/>
      <c r="G346" s="757"/>
      <c r="H346" s="759"/>
      <c r="I346" s="757"/>
      <c r="J346" s="757"/>
      <c r="K346" s="968"/>
      <c r="L346" s="968"/>
    </row>
    <row r="347" spans="1:13">
      <c r="A347" s="969" t="s">
        <v>53</v>
      </c>
      <c r="B347" s="970"/>
      <c r="C347" s="970"/>
      <c r="D347" s="970"/>
      <c r="E347" s="970"/>
      <c r="F347" s="970"/>
      <c r="G347" s="970"/>
      <c r="H347" s="970"/>
      <c r="I347" s="97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51" t="s">
        <v>53</v>
      </c>
      <c r="B357" s="751"/>
      <c r="C357" s="751"/>
      <c r="D357" s="751"/>
      <c r="E357" s="751"/>
      <c r="F357" s="751"/>
      <c r="G357" s="751"/>
      <c r="H357" s="751"/>
      <c r="I357" s="75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6" t="s">
        <v>1458</v>
      </c>
      <c r="B361" s="956"/>
      <c r="C361" s="956"/>
      <c r="D361" s="956"/>
      <c r="E361" s="956"/>
      <c r="F361" s="956"/>
      <c r="G361" s="956"/>
      <c r="H361" s="956"/>
      <c r="I361" s="9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6" t="s">
        <v>1659</v>
      </c>
      <c r="B370" s="956"/>
      <c r="C370" s="956"/>
      <c r="D370" s="956"/>
      <c r="E370" s="956"/>
      <c r="F370" s="956"/>
      <c r="G370" s="956"/>
      <c r="H370" s="956"/>
      <c r="I370" s="95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51" t="s">
        <v>1646</v>
      </c>
      <c r="B378" s="751"/>
      <c r="C378" s="751"/>
      <c r="D378" s="751"/>
      <c r="E378" s="751"/>
      <c r="F378" s="751"/>
      <c r="G378" s="751"/>
      <c r="H378" s="751"/>
      <c r="I378" s="751"/>
      <c r="J378" s="751"/>
      <c r="K378" s="4">
        <v>25</v>
      </c>
      <c r="L378" s="55"/>
    </row>
    <row r="381" spans="1:12">
      <c r="B381" s="992" t="s">
        <v>1</v>
      </c>
      <c r="C381" s="992" t="s">
        <v>2</v>
      </c>
      <c r="D381" s="992" t="s">
        <v>3</v>
      </c>
      <c r="E381" s="36" t="s">
        <v>54</v>
      </c>
      <c r="F381" s="992" t="s">
        <v>5</v>
      </c>
      <c r="G381" s="992" t="s">
        <v>6</v>
      </c>
      <c r="H381" s="992" t="s">
        <v>7</v>
      </c>
      <c r="I381" s="992" t="s">
        <v>55</v>
      </c>
      <c r="J381" s="992" t="s">
        <v>9</v>
      </c>
      <c r="K381" s="994" t="s">
        <v>56</v>
      </c>
      <c r="L381" s="992" t="s">
        <v>57</v>
      </c>
    </row>
    <row r="382" spans="1:12">
      <c r="B382" s="993"/>
      <c r="C382" s="993"/>
      <c r="D382" s="993"/>
      <c r="E382" s="37" t="s">
        <v>59</v>
      </c>
      <c r="F382" s="993"/>
      <c r="G382" s="993"/>
      <c r="H382" s="993"/>
      <c r="I382" s="993"/>
      <c r="J382" s="993"/>
      <c r="K382" s="995"/>
      <c r="L382" s="9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6" t="s">
        <v>53</v>
      </c>
      <c r="B394" s="956"/>
      <c r="C394" s="956"/>
      <c r="D394" s="956"/>
      <c r="E394" s="956"/>
      <c r="F394" s="956"/>
      <c r="G394" s="956"/>
      <c r="H394" s="956"/>
      <c r="I394" s="95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6" t="s">
        <v>53</v>
      </c>
      <c r="B401" s="956"/>
      <c r="C401" s="956"/>
      <c r="D401" s="956"/>
      <c r="E401" s="956"/>
      <c r="F401" s="956"/>
      <c r="G401" s="956"/>
      <c r="H401" s="956"/>
      <c r="I401" s="95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4" t="s">
        <v>229</v>
      </c>
      <c r="B405" s="977" t="s">
        <v>1805</v>
      </c>
      <c r="C405" s="977" t="s">
        <v>700</v>
      </c>
      <c r="D405" s="973" t="s">
        <v>675</v>
      </c>
      <c r="E405" s="977" t="s">
        <v>1806</v>
      </c>
      <c r="F405" s="977" t="s">
        <v>1807</v>
      </c>
      <c r="G405" s="977" t="s">
        <v>662</v>
      </c>
      <c r="H405" s="978" t="s">
        <v>1808</v>
      </c>
      <c r="I405" s="973"/>
      <c r="J405" s="978">
        <v>1</v>
      </c>
      <c r="K405" s="966" t="s">
        <v>631</v>
      </c>
      <c r="L405" s="763" t="s">
        <v>51</v>
      </c>
    </row>
    <row r="406" spans="1:12" ht="13.5" customHeight="1">
      <c r="A406" s="984"/>
      <c r="B406" s="977"/>
      <c r="C406" s="977"/>
      <c r="D406" s="973"/>
      <c r="E406" s="977"/>
      <c r="F406" s="977"/>
      <c r="G406" s="977"/>
      <c r="H406" s="978"/>
      <c r="I406" s="973"/>
      <c r="J406" s="978"/>
      <c r="K406" s="968"/>
      <c r="L406" s="765"/>
    </row>
    <row r="407" spans="1:12" ht="27" customHeight="1">
      <c r="A407" s="98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4" t="s">
        <v>1646</v>
      </c>
      <c r="B409" s="984"/>
      <c r="C409" s="984"/>
      <c r="D409" s="984"/>
      <c r="E409" s="984"/>
      <c r="F409" s="984"/>
      <c r="G409" s="984"/>
      <c r="H409" s="984"/>
      <c r="I409" s="98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4" t="s">
        <v>2008</v>
      </c>
      <c r="B412" s="989" t="s">
        <v>2009</v>
      </c>
      <c r="C412" s="966" t="s">
        <v>21</v>
      </c>
      <c r="D412" s="839" t="s">
        <v>14</v>
      </c>
      <c r="E412" s="966" t="s">
        <v>78</v>
      </c>
      <c r="F412" s="977" t="s">
        <v>2010</v>
      </c>
      <c r="G412" s="977" t="s">
        <v>40</v>
      </c>
      <c r="H412" s="978" t="s">
        <v>614</v>
      </c>
      <c r="I412" s="973"/>
      <c r="J412" s="978">
        <v>1</v>
      </c>
      <c r="K412" s="966" t="s">
        <v>2011</v>
      </c>
      <c r="L412" s="763" t="s">
        <v>1997</v>
      </c>
    </row>
    <row r="413" spans="1:12" ht="20.100000000000001" customHeight="1">
      <c r="A413" s="984"/>
      <c r="B413" s="977"/>
      <c r="C413" s="968"/>
      <c r="D413" s="841"/>
      <c r="E413" s="968"/>
      <c r="F413" s="977"/>
      <c r="G413" s="977"/>
      <c r="H413" s="978"/>
      <c r="I413" s="973"/>
      <c r="J413" s="978"/>
      <c r="K413" s="968"/>
      <c r="L413" s="765"/>
    </row>
    <row r="414" spans="1:12" ht="20.100000000000001" customHeight="1">
      <c r="A414" s="984" t="s">
        <v>1646</v>
      </c>
      <c r="B414" s="984"/>
      <c r="C414" s="984"/>
      <c r="D414" s="984"/>
      <c r="E414" s="984"/>
      <c r="F414" s="984"/>
      <c r="G414" s="984"/>
      <c r="H414" s="984"/>
      <c r="I414" s="98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6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64"/>
      <c r="B418" s="78" t="s">
        <v>1748</v>
      </c>
      <c r="C418" s="973" t="s">
        <v>306</v>
      </c>
      <c r="D418" s="973" t="s">
        <v>322</v>
      </c>
      <c r="E418" s="973" t="s">
        <v>307</v>
      </c>
      <c r="F418" s="978">
        <v>3306</v>
      </c>
      <c r="G418" s="973" t="s">
        <v>1153</v>
      </c>
      <c r="H418" s="978" t="s">
        <v>1749</v>
      </c>
      <c r="I418" s="973" t="s">
        <v>664</v>
      </c>
      <c r="J418" s="973">
        <v>4</v>
      </c>
      <c r="K418" s="966" t="s">
        <v>631</v>
      </c>
      <c r="L418" s="763" t="s">
        <v>51</v>
      </c>
    </row>
    <row r="419" spans="1:12" ht="13.5" customHeight="1">
      <c r="A419" s="764"/>
      <c r="B419" s="79" t="s">
        <v>1751</v>
      </c>
      <c r="C419" s="973"/>
      <c r="D419" s="973"/>
      <c r="E419" s="973"/>
      <c r="F419" s="978"/>
      <c r="G419" s="973"/>
      <c r="H419" s="978"/>
      <c r="I419" s="973"/>
      <c r="J419" s="973"/>
      <c r="K419" s="968"/>
      <c r="L419" s="765"/>
    </row>
    <row r="420" spans="1:12" ht="13.5" customHeight="1">
      <c r="A420" s="764"/>
      <c r="B420" s="78" t="s">
        <v>1800</v>
      </c>
      <c r="C420" s="973" t="s">
        <v>306</v>
      </c>
      <c r="D420" s="973" t="s">
        <v>322</v>
      </c>
      <c r="E420" s="973" t="s">
        <v>307</v>
      </c>
      <c r="F420" s="978" t="s">
        <v>1801</v>
      </c>
      <c r="G420" s="973" t="s">
        <v>1802</v>
      </c>
      <c r="H420" s="978" t="s">
        <v>1803</v>
      </c>
      <c r="I420" s="973" t="s">
        <v>664</v>
      </c>
      <c r="J420" s="973">
        <v>5</v>
      </c>
      <c r="K420" s="966" t="s">
        <v>631</v>
      </c>
      <c r="L420" s="763" t="s">
        <v>51</v>
      </c>
    </row>
    <row r="421" spans="1:12" ht="13.5" customHeight="1">
      <c r="A421" s="764"/>
      <c r="B421" s="79" t="s">
        <v>1795</v>
      </c>
      <c r="C421" s="973"/>
      <c r="D421" s="973"/>
      <c r="E421" s="973"/>
      <c r="F421" s="978"/>
      <c r="G421" s="973"/>
      <c r="H421" s="978"/>
      <c r="I421" s="973"/>
      <c r="J421" s="973"/>
      <c r="K421" s="968"/>
      <c r="L421" s="765"/>
    </row>
    <row r="422" spans="1:12" ht="27" customHeight="1">
      <c r="A422" s="76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4" t="s">
        <v>1646</v>
      </c>
      <c r="B423" s="984"/>
      <c r="C423" s="984"/>
      <c r="D423" s="984"/>
      <c r="E423" s="984"/>
      <c r="F423" s="984"/>
      <c r="G423" s="984"/>
      <c r="H423" s="984"/>
      <c r="I423" s="98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7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6" t="s">
        <v>1646</v>
      </c>
      <c r="B431" s="956"/>
      <c r="C431" s="956"/>
      <c r="D431" s="956"/>
      <c r="E431" s="956"/>
      <c r="F431" s="956"/>
      <c r="G431" s="956"/>
      <c r="H431" s="956"/>
      <c r="I431" s="95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6" t="s">
        <v>1646</v>
      </c>
      <c r="B435" s="956"/>
      <c r="C435" s="956"/>
      <c r="D435" s="956"/>
      <c r="E435" s="956"/>
      <c r="F435" s="956"/>
      <c r="G435" s="956"/>
      <c r="H435" s="956"/>
      <c r="I435" s="95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78" t="s">
        <v>2027</v>
      </c>
      <c r="B438" s="252" t="s">
        <v>1760</v>
      </c>
      <c r="C438" s="844" t="s">
        <v>306</v>
      </c>
      <c r="D438" s="844" t="s">
        <v>322</v>
      </c>
      <c r="E438" s="844" t="s">
        <v>307</v>
      </c>
      <c r="F438" s="985" t="s">
        <v>1761</v>
      </c>
      <c r="G438" s="844" t="s">
        <v>329</v>
      </c>
      <c r="H438" s="987" t="s">
        <v>1762</v>
      </c>
      <c r="I438" s="827" t="s">
        <v>664</v>
      </c>
      <c r="J438" s="982">
        <v>2</v>
      </c>
      <c r="K438" s="966" t="s">
        <v>1996</v>
      </c>
      <c r="L438" s="966" t="s">
        <v>51</v>
      </c>
    </row>
    <row r="439" spans="1:12" ht="13.5" customHeight="1">
      <c r="A439" s="779"/>
      <c r="B439" s="253" t="s">
        <v>2028</v>
      </c>
      <c r="C439" s="845"/>
      <c r="D439" s="845"/>
      <c r="E439" s="845"/>
      <c r="F439" s="986"/>
      <c r="G439" s="845"/>
      <c r="H439" s="988"/>
      <c r="I439" s="828"/>
      <c r="J439" s="983"/>
      <c r="K439" s="968"/>
      <c r="L439" s="968"/>
    </row>
    <row r="440" spans="1:12" ht="13.5" customHeight="1">
      <c r="A440" s="779"/>
      <c r="B440" s="254" t="s">
        <v>1794</v>
      </c>
      <c r="C440" s="896" t="s">
        <v>306</v>
      </c>
      <c r="D440" s="896" t="s">
        <v>322</v>
      </c>
      <c r="E440" s="896" t="s">
        <v>307</v>
      </c>
      <c r="F440" s="898" t="s">
        <v>1796</v>
      </c>
      <c r="G440" s="896" t="s">
        <v>1797</v>
      </c>
      <c r="H440" s="898" t="s">
        <v>1792</v>
      </c>
      <c r="I440" s="896" t="s">
        <v>664</v>
      </c>
      <c r="J440" s="756">
        <v>4</v>
      </c>
      <c r="K440" s="966" t="s">
        <v>631</v>
      </c>
      <c r="L440" s="966" t="s">
        <v>1997</v>
      </c>
    </row>
    <row r="441" spans="1:12" ht="13.5" customHeight="1">
      <c r="A441" s="779"/>
      <c r="B441" s="255" t="s">
        <v>1795</v>
      </c>
      <c r="C441" s="896"/>
      <c r="D441" s="896"/>
      <c r="E441" s="896"/>
      <c r="F441" s="898"/>
      <c r="G441" s="896"/>
      <c r="H441" s="898"/>
      <c r="I441" s="896"/>
      <c r="J441" s="757"/>
      <c r="K441" s="968"/>
      <c r="L441" s="968"/>
    </row>
    <row r="442" spans="1:12" ht="20.100000000000001" customHeight="1">
      <c r="A442" s="77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7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7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7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7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7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7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69" t="s">
        <v>1646</v>
      </c>
      <c r="B450" s="970"/>
      <c r="C450" s="970"/>
      <c r="D450" s="970"/>
      <c r="E450" s="970"/>
      <c r="F450" s="970"/>
      <c r="G450" s="970"/>
      <c r="H450" s="970"/>
      <c r="I450" s="970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51" t="s">
        <v>2059</v>
      </c>
      <c r="B459" s="751"/>
      <c r="C459" s="751"/>
      <c r="D459" s="751"/>
      <c r="E459" s="751"/>
      <c r="F459" s="751"/>
      <c r="G459" s="751"/>
      <c r="H459" s="751"/>
      <c r="I459" s="75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7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0"/>
      <c r="B463" s="974" t="s">
        <v>1767</v>
      </c>
      <c r="C463" s="975" t="s">
        <v>311</v>
      </c>
      <c r="D463" s="975" t="s">
        <v>320</v>
      </c>
      <c r="E463" s="975" t="s">
        <v>709</v>
      </c>
      <c r="F463" s="975" t="s">
        <v>1768</v>
      </c>
      <c r="G463" s="974" t="s">
        <v>1769</v>
      </c>
      <c r="H463" s="258" t="s">
        <v>1770</v>
      </c>
      <c r="I463" s="975"/>
      <c r="J463" s="975">
        <v>1</v>
      </c>
      <c r="K463" s="839" t="s">
        <v>631</v>
      </c>
      <c r="L463" s="871" t="s">
        <v>51</v>
      </c>
    </row>
    <row r="464" spans="1:12" ht="13.5" customHeight="1">
      <c r="A464" s="980"/>
      <c r="B464" s="974"/>
      <c r="C464" s="975"/>
      <c r="D464" s="975"/>
      <c r="E464" s="975"/>
      <c r="F464" s="975"/>
      <c r="G464" s="974"/>
      <c r="H464" s="259" t="s">
        <v>1773</v>
      </c>
      <c r="I464" s="975"/>
      <c r="J464" s="975"/>
      <c r="K464" s="841"/>
      <c r="L464" s="872"/>
    </row>
    <row r="465" spans="1:12" ht="13.5" customHeight="1">
      <c r="A465" s="980"/>
      <c r="B465" s="976" t="s">
        <v>1813</v>
      </c>
      <c r="C465" s="977" t="s">
        <v>700</v>
      </c>
      <c r="D465" s="973" t="s">
        <v>320</v>
      </c>
      <c r="E465" s="973" t="s">
        <v>337</v>
      </c>
      <c r="F465" s="977" t="s">
        <v>353</v>
      </c>
      <c r="G465" s="977" t="s">
        <v>1814</v>
      </c>
      <c r="H465" s="978" t="s">
        <v>1815</v>
      </c>
      <c r="I465" s="973" t="s">
        <v>638</v>
      </c>
      <c r="J465" s="978">
        <v>2</v>
      </c>
      <c r="K465" s="966" t="s">
        <v>631</v>
      </c>
      <c r="L465" s="966" t="s">
        <v>51</v>
      </c>
    </row>
    <row r="466" spans="1:12" ht="13.5" customHeight="1">
      <c r="A466" s="980"/>
      <c r="B466" s="976"/>
      <c r="C466" s="977"/>
      <c r="D466" s="973"/>
      <c r="E466" s="973"/>
      <c r="F466" s="977"/>
      <c r="G466" s="977"/>
      <c r="H466" s="978"/>
      <c r="I466" s="973"/>
      <c r="J466" s="978"/>
      <c r="K466" s="968"/>
      <c r="L466" s="968"/>
    </row>
    <row r="467" spans="1:12" ht="27" customHeight="1">
      <c r="A467" s="98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0"/>
      <c r="B468" s="977" t="s">
        <v>1820</v>
      </c>
      <c r="C468" s="977" t="s">
        <v>700</v>
      </c>
      <c r="D468" s="973" t="s">
        <v>320</v>
      </c>
      <c r="E468" s="973" t="s">
        <v>709</v>
      </c>
      <c r="F468" s="973" t="s">
        <v>1768</v>
      </c>
      <c r="G468" s="977" t="s">
        <v>1821</v>
      </c>
      <c r="H468" s="261" t="s">
        <v>1822</v>
      </c>
      <c r="I468" s="973" t="s">
        <v>638</v>
      </c>
      <c r="J468" s="973">
        <v>2</v>
      </c>
      <c r="K468" s="966" t="s">
        <v>631</v>
      </c>
      <c r="L468" s="966" t="s">
        <v>51</v>
      </c>
    </row>
    <row r="469" spans="1:12" ht="13.5" customHeight="1">
      <c r="A469" s="980"/>
      <c r="B469" s="977"/>
      <c r="C469" s="977"/>
      <c r="D469" s="973"/>
      <c r="E469" s="973"/>
      <c r="F469" s="973"/>
      <c r="G469" s="977"/>
      <c r="H469" s="262" t="s">
        <v>1823</v>
      </c>
      <c r="I469" s="973"/>
      <c r="J469" s="973"/>
      <c r="K469" s="968"/>
      <c r="L469" s="968"/>
    </row>
    <row r="470" spans="1:12" ht="27" customHeight="1">
      <c r="A470" s="98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6" t="s">
        <v>53</v>
      </c>
      <c r="B472" s="956"/>
      <c r="C472" s="956"/>
      <c r="D472" s="956"/>
      <c r="E472" s="956"/>
      <c r="F472" s="956"/>
      <c r="G472" s="956"/>
      <c r="H472" s="956"/>
      <c r="I472" s="95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6" t="s">
        <v>228</v>
      </c>
      <c r="B476" s="974" t="s">
        <v>1767</v>
      </c>
      <c r="C476" s="975" t="s">
        <v>311</v>
      </c>
      <c r="D476" s="975" t="s">
        <v>320</v>
      </c>
      <c r="E476" s="975" t="s">
        <v>709</v>
      </c>
      <c r="F476" s="975" t="s">
        <v>1768</v>
      </c>
      <c r="G476" s="974" t="s">
        <v>1769</v>
      </c>
      <c r="H476" s="258" t="s">
        <v>1770</v>
      </c>
      <c r="I476" s="975"/>
      <c r="J476" s="975">
        <v>1</v>
      </c>
      <c r="K476" s="839" t="s">
        <v>631</v>
      </c>
      <c r="L476" s="871" t="s">
        <v>51</v>
      </c>
    </row>
    <row r="477" spans="1:12" ht="13.5" customHeight="1">
      <c r="A477" s="956"/>
      <c r="B477" s="974"/>
      <c r="C477" s="975"/>
      <c r="D477" s="975"/>
      <c r="E477" s="975"/>
      <c r="F477" s="975"/>
      <c r="G477" s="974"/>
      <c r="H477" s="259" t="s">
        <v>1773</v>
      </c>
      <c r="I477" s="975"/>
      <c r="J477" s="975"/>
      <c r="K477" s="841"/>
      <c r="L477" s="872"/>
    </row>
    <row r="478" spans="1:12" ht="27" customHeight="1">
      <c r="A478" s="95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6" t="s">
        <v>1646</v>
      </c>
      <c r="B479" s="956"/>
      <c r="C479" s="956"/>
      <c r="D479" s="956"/>
      <c r="E479" s="956"/>
      <c r="F479" s="956"/>
      <c r="G479" s="956"/>
      <c r="H479" s="956"/>
      <c r="I479" s="95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6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69" t="s">
        <v>53</v>
      </c>
      <c r="B487" s="970"/>
      <c r="C487" s="970"/>
      <c r="D487" s="970"/>
      <c r="E487" s="970"/>
      <c r="F487" s="970"/>
      <c r="G487" s="970"/>
      <c r="H487" s="970"/>
      <c r="I487" s="97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5"/>
      <c r="B494" s="963" t="s">
        <v>2182</v>
      </c>
      <c r="C494" s="963" t="s">
        <v>306</v>
      </c>
      <c r="D494" s="963" t="s">
        <v>322</v>
      </c>
      <c r="E494" s="963" t="s">
        <v>307</v>
      </c>
      <c r="F494" s="972" t="s">
        <v>1919</v>
      </c>
      <c r="G494" s="963" t="s">
        <v>662</v>
      </c>
      <c r="H494" s="972" t="s">
        <v>1920</v>
      </c>
      <c r="I494" s="963" t="s">
        <v>349</v>
      </c>
      <c r="J494" s="963">
        <v>2</v>
      </c>
      <c r="K494" s="977" t="s">
        <v>50</v>
      </c>
      <c r="L494" s="222">
        <v>23</v>
      </c>
    </row>
    <row r="495" spans="1:12" ht="12.6" customHeight="1">
      <c r="A495" s="965"/>
      <c r="B495" s="963"/>
      <c r="C495" s="963"/>
      <c r="D495" s="963"/>
      <c r="E495" s="963"/>
      <c r="F495" s="972"/>
      <c r="G495" s="963"/>
      <c r="H495" s="972"/>
      <c r="I495" s="963"/>
      <c r="J495" s="963"/>
      <c r="K495" s="977"/>
    </row>
    <row r="496" spans="1:12" ht="24.95" customHeight="1">
      <c r="A496" s="96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6" t="s">
        <v>53</v>
      </c>
      <c r="B500" s="956"/>
      <c r="C500" s="956"/>
      <c r="D500" s="956"/>
      <c r="E500" s="956"/>
      <c r="F500" s="956"/>
      <c r="G500" s="956"/>
      <c r="H500" s="956"/>
      <c r="I500" s="95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5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5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5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5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5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6" t="s">
        <v>2217</v>
      </c>
      <c r="B511" s="956"/>
      <c r="C511" s="956"/>
      <c r="D511" s="956"/>
      <c r="E511" s="956"/>
      <c r="F511" s="956"/>
      <c r="G511" s="956"/>
      <c r="H511" s="956"/>
      <c r="I511" s="95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5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5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5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5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5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5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5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51" t="s">
        <v>2233</v>
      </c>
      <c r="B522" s="751"/>
      <c r="C522" s="751"/>
      <c r="D522" s="751"/>
      <c r="E522" s="751"/>
      <c r="F522" s="751"/>
      <c r="G522" s="751"/>
      <c r="H522" s="751"/>
      <c r="I522" s="75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6" t="s">
        <v>2238</v>
      </c>
      <c r="B528" s="956"/>
      <c r="C528" s="956"/>
      <c r="D528" s="956"/>
      <c r="E528" s="956"/>
      <c r="F528" s="956"/>
      <c r="G528" s="956"/>
      <c r="H528" s="956"/>
      <c r="I528" s="95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5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5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5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6" t="s">
        <v>2233</v>
      </c>
      <c r="B535" s="956"/>
      <c r="C535" s="956"/>
      <c r="D535" s="956"/>
      <c r="E535" s="956"/>
      <c r="F535" s="956"/>
      <c r="G535" s="956"/>
      <c r="H535" s="956"/>
      <c r="I535" s="95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69" t="s">
        <v>2238</v>
      </c>
      <c r="B540" s="970"/>
      <c r="C540" s="970"/>
      <c r="D540" s="970"/>
      <c r="E540" s="970"/>
      <c r="F540" s="970"/>
      <c r="G540" s="970"/>
      <c r="H540" s="970"/>
      <c r="I540" s="97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4" t="s">
        <v>2233</v>
      </c>
      <c r="B546" s="984"/>
      <c r="C546" s="984"/>
      <c r="D546" s="984"/>
      <c r="E546" s="984"/>
      <c r="F546" s="984"/>
      <c r="G546" s="984"/>
      <c r="H546" s="984"/>
      <c r="I546" s="98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6" t="s">
        <v>2233</v>
      </c>
      <c r="B550" s="956"/>
      <c r="C550" s="956"/>
      <c r="D550" s="956"/>
      <c r="E550" s="956"/>
      <c r="F550" s="956"/>
      <c r="G550" s="956"/>
      <c r="H550" s="956"/>
      <c r="I550" s="95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6" t="s">
        <v>2233</v>
      </c>
      <c r="B565" s="956"/>
      <c r="C565" s="956"/>
      <c r="D565" s="956"/>
      <c r="E565" s="956"/>
      <c r="F565" s="956"/>
      <c r="G565" s="956"/>
      <c r="H565" s="956"/>
      <c r="I565" s="95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87" t="s">
        <v>306</v>
      </c>
      <c r="D569" s="787" t="s">
        <v>322</v>
      </c>
      <c r="E569" s="787" t="s">
        <v>307</v>
      </c>
      <c r="F569" s="787">
        <v>3306</v>
      </c>
      <c r="G569" s="787" t="s">
        <v>1153</v>
      </c>
      <c r="H569" s="787" t="s">
        <v>1907</v>
      </c>
      <c r="I569" s="787" t="s">
        <v>1111</v>
      </c>
      <c r="J569" s="787" t="s">
        <v>692</v>
      </c>
      <c r="K569" s="1015" t="s">
        <v>2291</v>
      </c>
    </row>
    <row r="570" spans="1:12">
      <c r="B570" s="243" t="s">
        <v>1909</v>
      </c>
      <c r="C570" s="788"/>
      <c r="D570" s="788"/>
      <c r="E570" s="788"/>
      <c r="F570" s="788"/>
      <c r="G570" s="788"/>
      <c r="H570" s="788"/>
      <c r="I570" s="788"/>
      <c r="J570" s="788"/>
      <c r="K570" s="101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6" t="s">
        <v>1458</v>
      </c>
      <c r="B582" s="956"/>
      <c r="C582" s="956"/>
      <c r="D582" s="956"/>
      <c r="E582" s="956"/>
      <c r="F582" s="956"/>
      <c r="G582" s="956"/>
      <c r="H582" s="956"/>
      <c r="I582" s="95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5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5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6" t="s">
        <v>2393</v>
      </c>
      <c r="B588" s="956"/>
      <c r="C588" s="956"/>
      <c r="D588" s="956"/>
      <c r="E588" s="956"/>
      <c r="F588" s="956"/>
      <c r="G588" s="956"/>
      <c r="H588" s="956"/>
      <c r="I588" s="95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51" t="s">
        <v>2406</v>
      </c>
      <c r="B592" s="751"/>
      <c r="C592" s="751"/>
      <c r="D592" s="751"/>
      <c r="E592" s="751"/>
      <c r="F592" s="751"/>
      <c r="G592" s="751"/>
      <c r="H592" s="751"/>
      <c r="I592" s="75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5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5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5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5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5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5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51" t="s">
        <v>2406</v>
      </c>
      <c r="B601" s="751"/>
      <c r="C601" s="751"/>
      <c r="D601" s="751"/>
      <c r="E601" s="751"/>
      <c r="F601" s="751"/>
      <c r="G601" s="751"/>
      <c r="H601" s="751"/>
      <c r="I601" s="75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6" t="s">
        <v>2437</v>
      </c>
      <c r="B606" s="956"/>
      <c r="C606" s="956"/>
      <c r="D606" s="956"/>
      <c r="E606" s="956"/>
      <c r="F606" s="956"/>
      <c r="G606" s="956"/>
      <c r="H606" s="956"/>
      <c r="I606" s="95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5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5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5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6" t="s">
        <v>2406</v>
      </c>
      <c r="B613" s="956"/>
      <c r="C613" s="956"/>
      <c r="D613" s="956"/>
      <c r="E613" s="956"/>
      <c r="F613" s="956"/>
      <c r="G613" s="956"/>
      <c r="H613" s="956"/>
      <c r="I613" s="95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6" t="s">
        <v>2406</v>
      </c>
      <c r="B627" s="956"/>
      <c r="C627" s="956"/>
      <c r="D627" s="956"/>
      <c r="E627" s="956"/>
      <c r="F627" s="956"/>
      <c r="G627" s="956"/>
      <c r="H627" s="956"/>
      <c r="I627" s="95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58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958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958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958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958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958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958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58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958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58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958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958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95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958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5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96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960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96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96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96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962" t="s">
        <v>1646</v>
      </c>
      <c r="B655" s="962"/>
      <c r="C655" s="962"/>
      <c r="D655" s="962"/>
      <c r="E655" s="962"/>
      <c r="F655" s="962"/>
      <c r="G655" s="962"/>
      <c r="H655" s="962"/>
      <c r="I655" s="96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62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962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962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96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962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962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962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962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962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962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962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962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962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962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962" t="s">
        <v>1646</v>
      </c>
      <c r="B674" s="962"/>
      <c r="C674" s="962"/>
      <c r="D674" s="962"/>
      <c r="E674" s="962"/>
      <c r="F674" s="962"/>
      <c r="G674" s="962"/>
      <c r="H674" s="962"/>
      <c r="I674" s="96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62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962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96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962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962" t="s">
        <v>1646</v>
      </c>
      <c r="B681" s="962"/>
      <c r="C681" s="962"/>
      <c r="D681" s="962"/>
      <c r="E681" s="962"/>
      <c r="F681" s="962"/>
      <c r="G681" s="962"/>
      <c r="H681" s="962"/>
      <c r="I681" s="96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57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957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957" t="s">
        <v>1646</v>
      </c>
      <c r="B688" s="957"/>
      <c r="C688" s="957"/>
      <c r="D688" s="957"/>
      <c r="E688" s="957"/>
      <c r="F688" s="957"/>
      <c r="G688" s="957"/>
      <c r="H688" s="957"/>
      <c r="I688" s="95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58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958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958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958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958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958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958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957" t="s">
        <v>1646</v>
      </c>
      <c r="B699" s="957"/>
      <c r="C699" s="957"/>
      <c r="D699" s="957"/>
      <c r="E699" s="957"/>
      <c r="F699" s="957"/>
      <c r="G699" s="957"/>
      <c r="H699" s="957"/>
      <c r="I699" s="95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1013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1013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1013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1013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1013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1013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1013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1013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1013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1013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1013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1013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1013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1014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47" t="s">
        <v>1646</v>
      </c>
      <c r="B717" s="947"/>
      <c r="C717" s="947"/>
      <c r="D717" s="947"/>
      <c r="E717" s="947"/>
      <c r="F717" s="947"/>
      <c r="G717" s="947"/>
      <c r="H717" s="947"/>
      <c r="I717" s="94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8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949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949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949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949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949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949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950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47" t="s">
        <v>1646</v>
      </c>
      <c r="B731" s="947"/>
      <c r="C731" s="947"/>
      <c r="D731" s="947"/>
      <c r="E731" s="947"/>
      <c r="F731" s="947"/>
      <c r="G731" s="947"/>
      <c r="H731" s="947"/>
      <c r="I731" s="94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1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1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951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951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951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951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951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951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951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951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951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951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951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47" t="s">
        <v>1646</v>
      </c>
      <c r="B749" s="947"/>
      <c r="C749" s="947"/>
      <c r="D749" s="947"/>
      <c r="E749" s="947"/>
      <c r="F749" s="947"/>
      <c r="G749" s="947"/>
      <c r="H749" s="947"/>
      <c r="I749" s="94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52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953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53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953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53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53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53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953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54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945" t="s">
        <v>1646</v>
      </c>
      <c r="B762" s="945"/>
      <c r="C762" s="945"/>
      <c r="D762" s="945"/>
      <c r="E762" s="945"/>
      <c r="F762" s="945"/>
      <c r="G762" s="945"/>
      <c r="H762" s="945"/>
      <c r="I762" s="945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55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955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945" t="s">
        <v>1646</v>
      </c>
      <c r="B767" s="945"/>
      <c r="C767" s="945"/>
      <c r="D767" s="945"/>
      <c r="E767" s="945"/>
      <c r="F767" s="945"/>
      <c r="G767" s="945"/>
      <c r="H767" s="945"/>
      <c r="I767" s="945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46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946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946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946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946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945" t="s">
        <v>1646</v>
      </c>
      <c r="B775" s="945"/>
      <c r="C775" s="945"/>
      <c r="D775" s="945"/>
      <c r="E775" s="945"/>
      <c r="F775" s="945"/>
      <c r="G775" s="945"/>
      <c r="H775" s="945"/>
      <c r="I775" s="945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46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946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946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946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946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946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946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946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945" t="s">
        <v>1646</v>
      </c>
      <c r="B787" s="945"/>
      <c r="C787" s="945"/>
      <c r="D787" s="945"/>
      <c r="E787" s="945"/>
      <c r="F787" s="945"/>
      <c r="G787" s="945"/>
      <c r="H787" s="945"/>
      <c r="I787" s="945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51" t="s">
        <v>5390</v>
      </c>
      <c r="I12" s="751"/>
      <c r="J12" s="751"/>
      <c r="K12" s="751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51" t="s">
        <v>5391</v>
      </c>
      <c r="I20" s="751"/>
      <c r="J20" s="751"/>
      <c r="K20" s="751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G8"/>
  <sheetViews>
    <sheetView workbookViewId="0">
      <selection activeCell="E8" sqref="E8"/>
    </sheetView>
  </sheetViews>
  <sheetFormatPr defaultRowHeight="16.5"/>
  <cols>
    <col min="3" max="3" width="5.5" bestFit="1" customWidth="1"/>
    <col min="4" max="4" width="18.75" customWidth="1"/>
    <col min="5" max="5" width="27" customWidth="1"/>
    <col min="6" max="6" width="22.625" customWidth="1"/>
    <col min="7" max="7" width="25.75" customWidth="1"/>
  </cols>
  <sheetData>
    <row r="4" spans="3:7">
      <c r="C4" s="1033" t="s">
        <v>5869</v>
      </c>
      <c r="D4" s="1033" t="s">
        <v>5888</v>
      </c>
      <c r="E4" s="1033" t="s">
        <v>5886</v>
      </c>
      <c r="F4" s="1033" t="s">
        <v>5887</v>
      </c>
      <c r="G4" s="1033" t="s">
        <v>5870</v>
      </c>
    </row>
    <row r="5" spans="3:7" ht="82.5">
      <c r="C5" s="1035">
        <v>1</v>
      </c>
      <c r="D5" s="1034" t="s">
        <v>5871</v>
      </c>
      <c r="E5" s="1034" t="s">
        <v>5872</v>
      </c>
      <c r="F5" s="1034" t="s">
        <v>5873</v>
      </c>
      <c r="G5" s="1034" t="s">
        <v>5874</v>
      </c>
    </row>
    <row r="6" spans="3:7" ht="66">
      <c r="C6" s="1035">
        <v>2</v>
      </c>
      <c r="D6" s="1034" t="s">
        <v>5875</v>
      </c>
      <c r="E6" s="1034" t="s">
        <v>5876</v>
      </c>
      <c r="F6" s="1034" t="s">
        <v>5877</v>
      </c>
      <c r="G6" s="1034" t="s">
        <v>5878</v>
      </c>
    </row>
    <row r="7" spans="3:7" ht="99">
      <c r="C7" s="1035">
        <v>3</v>
      </c>
      <c r="D7" s="1034" t="s">
        <v>5879</v>
      </c>
      <c r="E7" s="1034" t="s">
        <v>5880</v>
      </c>
      <c r="F7" s="1034" t="s">
        <v>5881</v>
      </c>
      <c r="G7" s="1034" t="s">
        <v>5882</v>
      </c>
    </row>
    <row r="8" spans="3:7" ht="33">
      <c r="C8" s="1035">
        <v>4</v>
      </c>
      <c r="D8" s="1034" t="s">
        <v>5883</v>
      </c>
      <c r="E8" s="1034" t="s">
        <v>5884</v>
      </c>
      <c r="F8" s="1034" t="s">
        <v>5885</v>
      </c>
      <c r="G8" s="1034" t="s">
        <v>5889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2026-05-15T08:38:19Z</dcterms:modified>
</cp:coreProperties>
</file>